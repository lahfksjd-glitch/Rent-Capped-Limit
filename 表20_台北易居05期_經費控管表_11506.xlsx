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G:\我的雲端硬碟\易居月報\台北5期\"/>
    </mc:Choice>
  </mc:AlternateContent>
  <xr:revisionPtr revIDLastSave="0" documentId="13_ncr:1_{3E6194BD-CF93-4150-ABFF-CD0AC74450AB}" xr6:coauthVersionLast="47" xr6:coauthVersionMax="47" xr10:uidLastSave="{00000000-0000-0000-0000-000000000000}"/>
  <bookViews>
    <workbookView xWindow="-108" yWindow="-108" windowWidth="23256" windowHeight="12456" tabRatio="841" firstSheet="2" activeTab="2" xr2:uid="{00000000-000D-0000-FFFF-FFFF00000000}"/>
  </bookViews>
  <sheets>
    <sheet name="累積半月報" sheetId="43" state="hidden" r:id="rId1"/>
    <sheet name="半月報" sheetId="45" state="hidden" r:id="rId2"/>
    <sheet name="代租 " sheetId="34" r:id="rId3"/>
    <sheet name="包租 " sheetId="35" r:id="rId4"/>
  </sheets>
  <definedNames>
    <definedName name="_xlnm._FilterDatabase" localSheetId="2" hidden="1">'代租 '!$A$4:$KK$4</definedName>
    <definedName name="_xlnm._FilterDatabase" localSheetId="3" hidden="1">'包租 '!$A$4:$IX$4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G8" i="34" l="1"/>
  <c r="AG6" i="34"/>
  <c r="AI5" i="34"/>
  <c r="AE8" i="34"/>
  <c r="AE6" i="34"/>
  <c r="AG5" i="34"/>
  <c r="AC8" i="34"/>
  <c r="AC6" i="34"/>
  <c r="AE5" i="34"/>
  <c r="AI6" i="35"/>
  <c r="AK5" i="35"/>
  <c r="AA8" i="34"/>
  <c r="AA6" i="34"/>
  <c r="AC5" i="34"/>
  <c r="AA5" i="34"/>
  <c r="Y8" i="34"/>
  <c r="Y6" i="34"/>
  <c r="AG6" i="35"/>
  <c r="W8" i="34"/>
  <c r="W6" i="34"/>
  <c r="Y5" i="34"/>
  <c r="AE6" i="35"/>
  <c r="AG5" i="35"/>
  <c r="AE5" i="35"/>
  <c r="AC6" i="35"/>
  <c r="W5" i="34"/>
  <c r="U8" i="34"/>
  <c r="U6" i="34"/>
  <c r="AC5" i="35"/>
  <c r="O8" i="34" l="1"/>
  <c r="DJ6" i="35"/>
  <c r="DJ29" i="35"/>
  <c r="DJ28" i="35"/>
  <c r="DJ27" i="35"/>
  <c r="DJ26" i="35"/>
  <c r="DJ25" i="35"/>
  <c r="DJ24" i="35"/>
  <c r="DJ23" i="35"/>
  <c r="DJ22" i="35"/>
  <c r="DJ21" i="35"/>
  <c r="DJ20" i="35"/>
  <c r="DJ19" i="35"/>
  <c r="DJ18" i="35"/>
  <c r="DJ17" i="35"/>
  <c r="DJ16" i="35"/>
  <c r="DJ15" i="35"/>
  <c r="DJ14" i="35"/>
  <c r="DJ13" i="35"/>
  <c r="DJ12" i="35"/>
  <c r="DJ11" i="35"/>
  <c r="DJ10" i="35"/>
  <c r="DJ9" i="35"/>
  <c r="DJ8" i="35"/>
  <c r="DJ7" i="35"/>
  <c r="AA6" i="35"/>
  <c r="Q6" i="35"/>
  <c r="O6" i="35"/>
  <c r="M29" i="35"/>
  <c r="M28" i="35"/>
  <c r="M27" i="35"/>
  <c r="M26" i="35"/>
  <c r="M25" i="35"/>
  <c r="M24" i="35"/>
  <c r="M23" i="35"/>
  <c r="M22" i="35"/>
  <c r="M21" i="35"/>
  <c r="M20" i="35"/>
  <c r="M19" i="35"/>
  <c r="M18" i="35"/>
  <c r="M17" i="35"/>
  <c r="M16" i="35"/>
  <c r="M15" i="35"/>
  <c r="M14" i="35"/>
  <c r="M13" i="35"/>
  <c r="M12" i="35"/>
  <c r="M11" i="35"/>
  <c r="M10" i="35"/>
  <c r="M9" i="35"/>
  <c r="M8" i="35"/>
  <c r="M7" i="35"/>
  <c r="H29" i="35"/>
  <c r="H28" i="35"/>
  <c r="H27" i="35"/>
  <c r="H26" i="35"/>
  <c r="H25" i="35"/>
  <c r="H24" i="35"/>
  <c r="H23" i="35"/>
  <c r="H22" i="35"/>
  <c r="H21" i="35"/>
  <c r="H20" i="35"/>
  <c r="H19" i="35"/>
  <c r="H18" i="35"/>
  <c r="H17" i="35"/>
  <c r="H16" i="35"/>
  <c r="H15" i="35"/>
  <c r="H14" i="35"/>
  <c r="H13" i="35"/>
  <c r="H12" i="35"/>
  <c r="H11" i="35"/>
  <c r="H10" i="35"/>
  <c r="H9" i="35"/>
  <c r="H8" i="35"/>
  <c r="H7" i="35"/>
  <c r="H6" i="35"/>
  <c r="M6" i="35"/>
  <c r="U5" i="34"/>
  <c r="S15" i="34"/>
  <c r="S14" i="34"/>
  <c r="S13" i="34"/>
  <c r="S12" i="34"/>
  <c r="S11" i="34"/>
  <c r="S10" i="34"/>
  <c r="S9" i="34"/>
  <c r="S8" i="34"/>
  <c r="S7" i="34"/>
  <c r="U7" i="34" s="1"/>
  <c r="W7" i="34" s="1"/>
  <c r="Y7" i="34" s="1"/>
  <c r="AA7" i="34" s="1"/>
  <c r="AC7" i="34" s="1"/>
  <c r="AE7" i="34" s="1"/>
  <c r="AE18" i="34" s="1"/>
  <c r="S6" i="34"/>
  <c r="S5" i="34"/>
  <c r="M15" i="34"/>
  <c r="M14" i="34"/>
  <c r="M13" i="34"/>
  <c r="M12" i="34"/>
  <c r="M11" i="34"/>
  <c r="M10" i="34"/>
  <c r="M9" i="34"/>
  <c r="M8" i="34"/>
  <c r="M7" i="34"/>
  <c r="M6" i="34"/>
  <c r="EF5" i="35"/>
  <c r="DU5" i="35"/>
  <c r="DJ5" i="35"/>
  <c r="AA5" i="35"/>
  <c r="Q5" i="35"/>
  <c r="O5" i="35"/>
  <c r="A13" i="35"/>
  <c r="A12" i="35"/>
  <c r="A11" i="35"/>
  <c r="A10" i="35"/>
  <c r="A9" i="35"/>
  <c r="A8" i="35"/>
  <c r="A7" i="35"/>
  <c r="A6" i="35"/>
  <c r="A21" i="35"/>
  <c r="A20" i="35"/>
  <c r="A19" i="35"/>
  <c r="A18" i="35"/>
  <c r="A17" i="35"/>
  <c r="A16" i="35"/>
  <c r="A15" i="35"/>
  <c r="A14" i="35"/>
  <c r="M5" i="35"/>
  <c r="H5" i="35"/>
  <c r="DH8" i="34"/>
  <c r="DH7" i="34"/>
  <c r="DH6" i="34"/>
  <c r="DH5" i="34"/>
  <c r="DQ6" i="34"/>
  <c r="DQ15" i="34"/>
  <c r="DQ14" i="34"/>
  <c r="DQ13" i="34"/>
  <c r="DQ12" i="34"/>
  <c r="DQ11" i="34"/>
  <c r="DQ10" i="34"/>
  <c r="DQ9" i="34"/>
  <c r="DQ8" i="34"/>
  <c r="DQ7" i="34"/>
  <c r="DQ5" i="34"/>
  <c r="DZ15" i="34"/>
  <c r="DZ14" i="34"/>
  <c r="DZ13" i="34"/>
  <c r="DZ12" i="34"/>
  <c r="DZ11" i="34"/>
  <c r="DZ10" i="34"/>
  <c r="DZ9" i="34"/>
  <c r="DZ8" i="34"/>
  <c r="DZ7" i="34"/>
  <c r="DZ5" i="34"/>
  <c r="DZ6" i="34"/>
  <c r="O5" i="34"/>
  <c r="FY18" i="34"/>
  <c r="FW18" i="34"/>
  <c r="FU18" i="34"/>
  <c r="FS18" i="34"/>
  <c r="FQ18" i="34"/>
  <c r="FO18" i="34"/>
  <c r="FM18" i="34"/>
  <c r="FK18" i="34"/>
  <c r="FI18" i="34"/>
  <c r="FG18" i="34"/>
  <c r="FE18" i="34"/>
  <c r="FC18" i="34"/>
  <c r="DX18" i="34"/>
  <c r="DV18" i="34"/>
  <c r="DT18" i="34"/>
  <c r="DR18" i="34"/>
  <c r="DO18" i="34"/>
  <c r="DM18" i="34"/>
  <c r="DK18" i="34"/>
  <c r="DI18" i="34"/>
  <c r="DF18" i="34"/>
  <c r="DD18" i="34"/>
  <c r="DB18" i="34"/>
  <c r="CZ18" i="34"/>
  <c r="CX18" i="34"/>
  <c r="CV18" i="34"/>
  <c r="CT18" i="34"/>
  <c r="CI18" i="34"/>
  <c r="CG18" i="34"/>
  <c r="CE18" i="34"/>
  <c r="CC18" i="34"/>
  <c r="CA18" i="34"/>
  <c r="BY18" i="34"/>
  <c r="BW18" i="34"/>
  <c r="BU18" i="34"/>
  <c r="BS18" i="34"/>
  <c r="BQ18" i="34"/>
  <c r="BO18" i="34"/>
  <c r="BM18" i="34"/>
  <c r="BK18" i="34"/>
  <c r="BI18" i="34"/>
  <c r="BG18" i="34"/>
  <c r="BE18" i="34"/>
  <c r="BC18" i="34"/>
  <c r="BA18" i="34"/>
  <c r="AY18" i="34"/>
  <c r="AW18" i="34"/>
  <c r="AU18" i="34"/>
  <c r="AS18" i="34"/>
  <c r="Q18" i="34"/>
  <c r="O15" i="34"/>
  <c r="O14" i="34"/>
  <c r="O13" i="34"/>
  <c r="O12" i="34"/>
  <c r="O11" i="34"/>
  <c r="O10" i="34"/>
  <c r="O9" i="34"/>
  <c r="O6" i="34"/>
  <c r="O7" i="34"/>
  <c r="H15" i="34"/>
  <c r="H14" i="34"/>
  <c r="H13" i="34"/>
  <c r="H12" i="34"/>
  <c r="H11" i="34"/>
  <c r="H10" i="34"/>
  <c r="H9" i="34"/>
  <c r="H8" i="34"/>
  <c r="H7" i="34"/>
  <c r="H6" i="34"/>
  <c r="H5" i="34"/>
  <c r="A29" i="35"/>
  <c r="A28" i="35"/>
  <c r="A27" i="35"/>
  <c r="A26" i="35"/>
  <c r="A25" i="35"/>
  <c r="A24" i="35"/>
  <c r="A23" i="35"/>
  <c r="A22" i="35"/>
  <c r="A5" i="35"/>
  <c r="A10" i="34"/>
  <c r="A9" i="34"/>
  <c r="A8" i="34"/>
  <c r="A7" i="34"/>
  <c r="A6" i="34"/>
  <c r="A15" i="34"/>
  <c r="A14" i="34"/>
  <c r="A13" i="34"/>
  <c r="A12" i="34"/>
  <c r="A11" i="34"/>
  <c r="A5" i="34"/>
  <c r="AQ18" i="34"/>
  <c r="AO18" i="34"/>
  <c r="AM18" i="34"/>
  <c r="AK18" i="34"/>
  <c r="AI18" i="34"/>
  <c r="AG18" i="34"/>
  <c r="C9" i="45"/>
  <c r="B9" i="45"/>
  <c r="G9" i="45"/>
  <c r="U18" i="34" l="1"/>
  <c r="AC18" i="34"/>
  <c r="AA18" i="34"/>
  <c r="W18" i="34"/>
  <c r="Y18" i="34"/>
  <c r="S18" i="34"/>
  <c r="K8" i="45" s="1"/>
  <c r="I7" i="43"/>
  <c r="K7" i="45"/>
  <c r="H7" i="45"/>
  <c r="FE32" i="35"/>
  <c r="FE33" i="35" s="1"/>
  <c r="E8" i="45" s="1"/>
  <c r="AA32" i="35"/>
  <c r="I8" i="45" s="1"/>
  <c r="S32" i="35"/>
  <c r="H8" i="45" s="1"/>
  <c r="GG30" i="35"/>
  <c r="GE30" i="35"/>
  <c r="GC30" i="35"/>
  <c r="GA30" i="35"/>
  <c r="FY30" i="35"/>
  <c r="FW30" i="35"/>
  <c r="FU30" i="35"/>
  <c r="FS30" i="35"/>
  <c r="FQ30" i="35"/>
  <c r="FO30" i="35"/>
  <c r="FM30" i="35"/>
  <c r="FK30" i="35"/>
  <c r="FE30" i="35"/>
  <c r="DK30" i="35"/>
  <c r="L8" i="43" s="1"/>
  <c r="DH30" i="35"/>
  <c r="DF30" i="35"/>
  <c r="DD30" i="35"/>
  <c r="DB30" i="35"/>
  <c r="AW30" i="35"/>
  <c r="AU30" i="35"/>
  <c r="AS30" i="35"/>
  <c r="AQ30" i="35"/>
  <c r="AO30" i="35"/>
  <c r="AM30" i="35"/>
  <c r="AK30" i="35"/>
  <c r="AI30" i="35"/>
  <c r="AG30" i="35"/>
  <c r="AE30" i="35"/>
  <c r="AC30" i="35"/>
  <c r="AA30" i="35"/>
  <c r="U30" i="35"/>
  <c r="S30" i="35"/>
  <c r="I8" i="43" s="1"/>
  <c r="E7" i="45"/>
  <c r="I7" i="45"/>
  <c r="L7" i="43"/>
  <c r="K7" i="43"/>
  <c r="FK33" i="35"/>
  <c r="F8" i="45" s="1"/>
  <c r="FY16" i="34"/>
  <c r="FW16" i="34"/>
  <c r="FU16" i="34"/>
  <c r="FS16" i="34"/>
  <c r="FQ16" i="34"/>
  <c r="FO16" i="34"/>
  <c r="FM16" i="34"/>
  <c r="FK16" i="34"/>
  <c r="FI16" i="34"/>
  <c r="FG16" i="34"/>
  <c r="FE16" i="34"/>
  <c r="FC16" i="34"/>
  <c r="EW16" i="34"/>
  <c r="DF16" i="34"/>
  <c r="DD16" i="34"/>
  <c r="DB16" i="34"/>
  <c r="CZ16" i="34"/>
  <c r="CT16" i="34"/>
  <c r="AO16" i="34"/>
  <c r="AM16" i="34"/>
  <c r="AK16" i="34"/>
  <c r="AI16" i="34"/>
  <c r="AG16" i="34"/>
  <c r="AE16" i="34"/>
  <c r="AC16" i="34"/>
  <c r="AA16" i="34"/>
  <c r="Y16" i="34"/>
  <c r="W16" i="34"/>
  <c r="U16" i="34"/>
  <c r="S16" i="34"/>
  <c r="Q16" i="34"/>
  <c r="C8" i="43" s="1"/>
  <c r="F7" i="45"/>
  <c r="J7" i="45"/>
  <c r="F7" i="43"/>
  <c r="C7" i="43"/>
  <c r="E7" i="43" l="1"/>
  <c r="S17" i="34"/>
  <c r="D8" i="43" s="1"/>
  <c r="D7" i="43"/>
  <c r="CZ17" i="34"/>
  <c r="E8" i="43" s="1"/>
  <c r="EW17" i="34"/>
  <c r="F8" i="43" s="1"/>
  <c r="DB31" i="35"/>
  <c r="K8" i="43" s="1"/>
  <c r="AA31" i="35"/>
  <c r="J8" i="43" s="1"/>
  <c r="FE31" i="35"/>
  <c r="M8" i="43" s="1"/>
  <c r="N7" i="43"/>
  <c r="FK31" i="35"/>
  <c r="N8" i="43" s="1"/>
  <c r="J7" i="43"/>
  <c r="M7" i="43"/>
  <c r="G7" i="43"/>
  <c r="FC17" i="34"/>
  <c r="G8" i="43" s="1"/>
  <c r="L7" i="45"/>
  <c r="E3" i="45"/>
  <c r="E6" i="45"/>
  <c r="D3" i="45"/>
  <c r="D9" i="45" s="1"/>
  <c r="I6" i="45"/>
  <c r="I3" i="45"/>
  <c r="H3" i="45"/>
  <c r="H6" i="45"/>
  <c r="F6" i="45"/>
  <c r="F9" i="45" s="1"/>
  <c r="H8" i="43" l="1"/>
  <c r="H7" i="43"/>
  <c r="O7" i="43"/>
  <c r="O8" i="43"/>
  <c r="I9" i="45"/>
  <c r="E9" i="45"/>
  <c r="H9" i="45"/>
  <c r="K6" i="45"/>
  <c r="J6" i="45"/>
  <c r="K3" i="45"/>
  <c r="J3" i="45"/>
  <c r="L4" i="45"/>
  <c r="L5" i="45"/>
  <c r="K9" i="45" l="1"/>
  <c r="J9" i="45"/>
  <c r="E10" i="45"/>
  <c r="L6" i="45"/>
  <c r="L3" i="45"/>
  <c r="L4" i="43"/>
  <c r="I4" i="43"/>
  <c r="L3" i="43"/>
  <c r="L6" i="43"/>
  <c r="I6" i="43"/>
  <c r="I3" i="43"/>
  <c r="L5" i="43"/>
  <c r="I5" i="43"/>
  <c r="C5" i="43"/>
  <c r="C3" i="43"/>
  <c r="C6" i="43"/>
  <c r="C4" i="43"/>
  <c r="L9" i="45" l="1"/>
  <c r="F5" i="43"/>
  <c r="E6" i="43"/>
  <c r="E3" i="43"/>
  <c r="F6" i="43"/>
  <c r="G5" i="43"/>
  <c r="F4" i="43"/>
  <c r="M6" i="43"/>
  <c r="M5" i="43"/>
  <c r="E5" i="43"/>
  <c r="E4" i="43"/>
  <c r="D5" i="43"/>
  <c r="G6" i="43"/>
  <c r="D4" i="43"/>
  <c r="G4" i="43"/>
  <c r="D6" i="43"/>
  <c r="K4" i="43"/>
  <c r="N5" i="43"/>
  <c r="J4" i="43"/>
  <c r="M4" i="43"/>
  <c r="J6" i="43"/>
  <c r="N6" i="43"/>
  <c r="K5" i="43"/>
  <c r="K6" i="43"/>
  <c r="N4" i="43"/>
  <c r="N3" i="43"/>
  <c r="M3" i="43"/>
  <c r="K3" i="43"/>
  <c r="J5" i="43"/>
  <c r="J3" i="43"/>
  <c r="G3" i="43"/>
  <c r="F3" i="43"/>
  <c r="D3" i="43"/>
  <c r="O6" i="43" l="1"/>
  <c r="O4" i="43"/>
  <c r="H5" i="43"/>
  <c r="H4" i="43"/>
  <c r="H6" i="43"/>
  <c r="O5" i="43"/>
  <c r="O3" i="43"/>
  <c r="H3" i="43"/>
  <c r="P3" i="43" l="1"/>
  <c r="L10" i="45"/>
  <c r="J8" i="45"/>
  <c r="L8" i="45" s="1"/>
</calcChain>
</file>

<file path=xl/sharedStrings.xml><?xml version="1.0" encoding="utf-8"?>
<sst xmlns="http://schemas.openxmlformats.org/spreadsheetml/2006/main" count="875" uniqueCount="305">
  <si>
    <t>業者</t>
    <phoneticPr fontId="1" type="noConversion"/>
  </si>
  <si>
    <t>媒合編號</t>
    <phoneticPr fontId="1" type="noConversion"/>
  </si>
  <si>
    <t>房東</t>
    <phoneticPr fontId="1" type="noConversion"/>
  </si>
  <si>
    <t>房客</t>
    <phoneticPr fontId="1" type="noConversion"/>
  </si>
  <si>
    <t>公證費</t>
    <phoneticPr fontId="1" type="noConversion"/>
  </si>
  <si>
    <t>代租代管</t>
    <phoneticPr fontId="1" type="noConversion"/>
  </si>
  <si>
    <t>序號</t>
    <phoneticPr fontId="1" type="noConversion"/>
  </si>
  <si>
    <t>開發費</t>
    <phoneticPr fontId="1" type="noConversion"/>
  </si>
  <si>
    <t>簽約租金</t>
    <phoneticPr fontId="1" type="noConversion"/>
  </si>
  <si>
    <t>身分別</t>
    <phoneticPr fontId="1" type="noConversion"/>
  </si>
  <si>
    <t>保險金額</t>
    <phoneticPr fontId="1" type="noConversion"/>
  </si>
  <si>
    <t>媒合費</t>
    <phoneticPr fontId="1" type="noConversion"/>
  </si>
  <si>
    <t>撥款日期</t>
  </si>
  <si>
    <t>撥款日期</t>
    <phoneticPr fontId="1" type="noConversion"/>
  </si>
  <si>
    <t>代管費</t>
    <phoneticPr fontId="1" type="noConversion"/>
  </si>
  <si>
    <t>修繕費</t>
    <phoneticPr fontId="1" type="noConversion"/>
  </si>
  <si>
    <t>租金補貼</t>
    <phoneticPr fontId="1" type="noConversion"/>
  </si>
  <si>
    <t>修繕費餘額</t>
    <phoneticPr fontId="1" type="noConversion"/>
  </si>
  <si>
    <t>包管費</t>
    <phoneticPr fontId="1" type="noConversion"/>
  </si>
  <si>
    <t>第一期</t>
    <phoneticPr fontId="1" type="noConversion"/>
  </si>
  <si>
    <t>第二期</t>
    <phoneticPr fontId="1" type="noConversion"/>
  </si>
  <si>
    <t>第三期</t>
    <phoneticPr fontId="1" type="noConversion"/>
  </si>
  <si>
    <t>第四期</t>
    <phoneticPr fontId="1" type="noConversion"/>
  </si>
  <si>
    <t>第五期</t>
    <phoneticPr fontId="1" type="noConversion"/>
  </si>
  <si>
    <t>第六期</t>
    <phoneticPr fontId="1" type="noConversion"/>
  </si>
  <si>
    <t>第七期</t>
    <phoneticPr fontId="1" type="noConversion"/>
  </si>
  <si>
    <t>第八期</t>
    <phoneticPr fontId="1" type="noConversion"/>
  </si>
  <si>
    <t>第九期</t>
    <phoneticPr fontId="1" type="noConversion"/>
  </si>
  <si>
    <t>第十期</t>
    <phoneticPr fontId="1" type="noConversion"/>
  </si>
  <si>
    <t>第十一期</t>
    <phoneticPr fontId="1" type="noConversion"/>
  </si>
  <si>
    <t>第十二期</t>
    <phoneticPr fontId="1" type="noConversion"/>
  </si>
  <si>
    <t>第一年(1)</t>
    <phoneticPr fontId="1" type="noConversion"/>
  </si>
  <si>
    <t>第一年(2)</t>
    <phoneticPr fontId="1" type="noConversion"/>
  </si>
  <si>
    <t>第一年(3)</t>
    <phoneticPr fontId="1" type="noConversion"/>
  </si>
  <si>
    <t>第一年(4)</t>
    <phoneticPr fontId="1" type="noConversion"/>
  </si>
  <si>
    <t>帳號</t>
    <phoneticPr fontId="1" type="noConversion"/>
  </si>
  <si>
    <t>銀行代碼
(7碼)</t>
    <phoneticPr fontId="1" type="noConversion"/>
  </si>
  <si>
    <t>通訊地址</t>
    <phoneticPr fontId="1" type="noConversion"/>
  </si>
  <si>
    <t>基本資料</t>
    <phoneticPr fontId="1" type="noConversion"/>
  </si>
  <si>
    <t>序號</t>
    <phoneticPr fontId="1" type="noConversion"/>
  </si>
  <si>
    <t>業者</t>
    <phoneticPr fontId="1" type="noConversion"/>
  </si>
  <si>
    <t>房東</t>
    <phoneticPr fontId="1" type="noConversion"/>
  </si>
  <si>
    <t>房客</t>
    <phoneticPr fontId="1" type="noConversion"/>
  </si>
  <si>
    <t>簽約租金</t>
    <phoneticPr fontId="1" type="noConversion"/>
  </si>
  <si>
    <t>開發費</t>
    <phoneticPr fontId="1" type="noConversion"/>
  </si>
  <si>
    <t>公證費</t>
    <phoneticPr fontId="1" type="noConversion"/>
  </si>
  <si>
    <t>包管費</t>
    <phoneticPr fontId="1" type="noConversion"/>
  </si>
  <si>
    <t>修繕費</t>
    <phoneticPr fontId="1" type="noConversion"/>
  </si>
  <si>
    <t>修繕費餘額</t>
    <phoneticPr fontId="1" type="noConversion"/>
  </si>
  <si>
    <t>租金補貼</t>
    <phoneticPr fontId="1" type="noConversion"/>
  </si>
  <si>
    <t>第一期</t>
    <phoneticPr fontId="1" type="noConversion"/>
  </si>
  <si>
    <t>第二期</t>
    <phoneticPr fontId="1" type="noConversion"/>
  </si>
  <si>
    <t>第三期</t>
    <phoneticPr fontId="1" type="noConversion"/>
  </si>
  <si>
    <t>第四期</t>
    <phoneticPr fontId="1" type="noConversion"/>
  </si>
  <si>
    <t>第五期</t>
    <phoneticPr fontId="1" type="noConversion"/>
  </si>
  <si>
    <t>第六期</t>
    <phoneticPr fontId="1" type="noConversion"/>
  </si>
  <si>
    <t>第七期</t>
    <phoneticPr fontId="1" type="noConversion"/>
  </si>
  <si>
    <t>第八期</t>
    <phoneticPr fontId="1" type="noConversion"/>
  </si>
  <si>
    <t>第九期</t>
    <phoneticPr fontId="1" type="noConversion"/>
  </si>
  <si>
    <t>第十期</t>
    <phoneticPr fontId="1" type="noConversion"/>
  </si>
  <si>
    <t>第十一期</t>
    <phoneticPr fontId="1" type="noConversion"/>
  </si>
  <si>
    <t>第十二期</t>
    <phoneticPr fontId="1" type="noConversion"/>
  </si>
  <si>
    <t>第一年(1)</t>
    <phoneticPr fontId="1" type="noConversion"/>
  </si>
  <si>
    <t>第一年(2)</t>
    <phoneticPr fontId="1" type="noConversion"/>
  </si>
  <si>
    <t>第一年(3)</t>
    <phoneticPr fontId="1" type="noConversion"/>
  </si>
  <si>
    <t>第一年(4)</t>
    <phoneticPr fontId="1" type="noConversion"/>
  </si>
  <si>
    <t>保險金額</t>
    <phoneticPr fontId="1" type="noConversion"/>
  </si>
  <si>
    <t>房屋座落地址</t>
    <phoneticPr fontId="1" type="noConversion"/>
  </si>
  <si>
    <t>行政區</t>
    <phoneticPr fontId="1" type="noConversion"/>
  </si>
  <si>
    <t>地段</t>
    <phoneticPr fontId="1" type="noConversion"/>
  </si>
  <si>
    <t>謄本面積
(m²)</t>
    <phoneticPr fontId="1" type="noConversion"/>
  </si>
  <si>
    <t>租賃範圍
(全部/部分)</t>
    <phoneticPr fontId="1" type="noConversion"/>
  </si>
  <si>
    <t>房屋座落地址</t>
    <phoneticPr fontId="1" type="noConversion"/>
  </si>
  <si>
    <t>行政區</t>
    <phoneticPr fontId="1" type="noConversion"/>
  </si>
  <si>
    <t>地段</t>
    <phoneticPr fontId="1" type="noConversion"/>
  </si>
  <si>
    <t>謄本面積
(m²)</t>
    <phoneticPr fontId="1" type="noConversion"/>
  </si>
  <si>
    <t>租賃契約資料</t>
    <phoneticPr fontId="1" type="noConversion"/>
  </si>
  <si>
    <t>總計</t>
    <phoneticPr fontId="1" type="noConversion"/>
  </si>
  <si>
    <t>包租包管</t>
    <phoneticPr fontId="1" type="noConversion"/>
  </si>
  <si>
    <t>各計</t>
    <phoneticPr fontId="1" type="noConversion"/>
  </si>
  <si>
    <t>縣市</t>
    <phoneticPr fontId="1" type="noConversion"/>
  </si>
  <si>
    <t>公證費</t>
  </si>
  <si>
    <t>修繕費</t>
    <phoneticPr fontId="1" type="noConversion"/>
  </si>
  <si>
    <t>租補費</t>
    <phoneticPr fontId="1" type="noConversion"/>
  </si>
  <si>
    <t>保險費</t>
    <phoneticPr fontId="1" type="noConversion"/>
  </si>
  <si>
    <t>業者</t>
    <phoneticPr fontId="1" type="noConversion"/>
  </si>
  <si>
    <t>總計</t>
    <phoneticPr fontId="1" type="noConversion"/>
  </si>
  <si>
    <t>合計</t>
    <phoneticPr fontId="1" type="noConversion"/>
  </si>
  <si>
    <t>第一年代管費</t>
    <phoneticPr fontId="1" type="noConversion"/>
  </si>
  <si>
    <t>第一年保險</t>
    <phoneticPr fontId="1" type="noConversion"/>
  </si>
  <si>
    <t>第二年代管費</t>
    <phoneticPr fontId="1" type="noConversion"/>
  </si>
  <si>
    <t>第三年代管費</t>
    <phoneticPr fontId="1" type="noConversion"/>
  </si>
  <si>
    <t>公證費(1)</t>
    <phoneticPr fontId="1" type="noConversion"/>
  </si>
  <si>
    <t>公證費(2)</t>
    <phoneticPr fontId="1" type="noConversion"/>
  </si>
  <si>
    <t>公證費(3)</t>
    <phoneticPr fontId="1" type="noConversion"/>
  </si>
  <si>
    <t>第二年(1)</t>
    <phoneticPr fontId="1" type="noConversion"/>
  </si>
  <si>
    <t>第二年(2)</t>
    <phoneticPr fontId="1" type="noConversion"/>
  </si>
  <si>
    <t>第二年(3)</t>
    <phoneticPr fontId="1" type="noConversion"/>
  </si>
  <si>
    <t>第二年(4)</t>
    <phoneticPr fontId="1" type="noConversion"/>
  </si>
  <si>
    <t>第三年(1)</t>
    <phoneticPr fontId="1" type="noConversion"/>
  </si>
  <si>
    <t>第三年(2)</t>
    <phoneticPr fontId="1" type="noConversion"/>
  </si>
  <si>
    <t>第三年(3)</t>
    <phoneticPr fontId="1" type="noConversion"/>
  </si>
  <si>
    <t>第三年(4)</t>
    <phoneticPr fontId="1" type="noConversion"/>
  </si>
  <si>
    <t>第一年租金補貼</t>
    <phoneticPr fontId="1" type="noConversion"/>
  </si>
  <si>
    <t>第二年租金補貼</t>
    <phoneticPr fontId="1" type="noConversion"/>
  </si>
  <si>
    <t>第三年租金補貼</t>
    <phoneticPr fontId="1" type="noConversion"/>
  </si>
  <si>
    <t>第一年包管費</t>
    <phoneticPr fontId="1" type="noConversion"/>
  </si>
  <si>
    <t>第二年包管費</t>
    <phoneticPr fontId="1" type="noConversion"/>
  </si>
  <si>
    <t>第三年包管費</t>
    <phoneticPr fontId="1" type="noConversion"/>
  </si>
  <si>
    <t>第二年保險</t>
    <phoneticPr fontId="1" type="noConversion"/>
  </si>
  <si>
    <t>第三年保險</t>
    <phoneticPr fontId="1" type="noConversion"/>
  </si>
  <si>
    <t>租約起日(xxx/xx/xx)</t>
    <phoneticPr fontId="1" type="noConversion"/>
  </si>
  <si>
    <t>總計撥付款項</t>
    <phoneticPr fontId="1" type="noConversion"/>
  </si>
  <si>
    <t>公證費合計</t>
    <phoneticPr fontId="1" type="noConversion"/>
  </si>
  <si>
    <t>代管費</t>
  </si>
  <si>
    <t>媒合費</t>
  </si>
  <si>
    <t>包管費</t>
  </si>
  <si>
    <t>開發費</t>
  </si>
  <si>
    <t>租金補助</t>
    <phoneticPr fontId="1" type="noConversion"/>
  </si>
  <si>
    <t>居家安全保險費</t>
    <phoneticPr fontId="1" type="noConversion"/>
  </si>
  <si>
    <t>各業者服務費(不含公證費)</t>
    <phoneticPr fontId="1" type="noConversion"/>
  </si>
  <si>
    <t>服務費（表單8）</t>
    <phoneticPr fontId="1" type="noConversion"/>
  </si>
  <si>
    <t>承租人補助費(表單7)</t>
    <phoneticPr fontId="1" type="noConversion"/>
  </si>
  <si>
    <t>出租人補助費(表單4)</t>
    <phoneticPr fontId="1" type="noConversion"/>
  </si>
  <si>
    <t>業者</t>
  </si>
  <si>
    <t>本期</t>
    <phoneticPr fontId="1" type="noConversion"/>
  </si>
  <si>
    <t>租約訖日(xxx/xx/xx)</t>
    <phoneticPr fontId="1" type="noConversion"/>
  </si>
  <si>
    <t>撥款日期(xxx-xx-xx)</t>
    <phoneticPr fontId="1" type="noConversion"/>
  </si>
  <si>
    <t>轉租
約起日(xxx/xx/xx)</t>
    <phoneticPr fontId="1" type="noConversion"/>
  </si>
  <si>
    <t>轉租
約訖日(xxx/xx/xx)</t>
    <phoneticPr fontId="1" type="noConversion"/>
  </si>
  <si>
    <t>本期(代＋包)</t>
    <phoneticPr fontId="1" type="noConversion"/>
  </si>
  <si>
    <t>房東姓名(代表人)</t>
    <phoneticPr fontId="1" type="noConversion"/>
  </si>
  <si>
    <t>身分證(代表人)</t>
    <phoneticPr fontId="1" type="noConversion"/>
  </si>
  <si>
    <t>代表人匯款資料</t>
    <phoneticPr fontId="1" type="noConversion"/>
  </si>
  <si>
    <t>房客姓名</t>
    <phoneticPr fontId="1" type="noConversion"/>
  </si>
  <si>
    <t>身分證</t>
    <phoneticPr fontId="1" type="noConversion"/>
  </si>
  <si>
    <t>房東姓名(共有人/共有人)</t>
    <phoneticPr fontId="1" type="noConversion"/>
  </si>
  <si>
    <t>身分證(共有人/共有人)</t>
    <phoneticPr fontId="1" type="noConversion"/>
  </si>
  <si>
    <t>共住人/共住人匯款資料</t>
    <phoneticPr fontId="1" type="noConversion"/>
  </si>
  <si>
    <t>建號(xxxxx-xxxx)</t>
    <phoneticPr fontId="1" type="noConversion"/>
  </si>
  <si>
    <t>地號(xxxx-xxxx/xxxx-xxxx)</t>
    <phoneticPr fontId="1" type="noConversion"/>
  </si>
  <si>
    <t>親屬姓名</t>
    <phoneticPr fontId="1" type="noConversion"/>
  </si>
  <si>
    <t>代表人家庭成員</t>
    <phoneticPr fontId="1" type="noConversion"/>
  </si>
  <si>
    <t>親屬姓名(1)</t>
    <phoneticPr fontId="1" type="noConversion"/>
  </si>
  <si>
    <t>親屬姓名(2)</t>
    <phoneticPr fontId="1" type="noConversion"/>
  </si>
  <si>
    <t>與代表人關係</t>
    <phoneticPr fontId="1" type="noConversion"/>
  </si>
  <si>
    <t>姓名</t>
    <phoneticPr fontId="1" type="noConversion"/>
  </si>
  <si>
    <t>親屬姓名(3)</t>
    <phoneticPr fontId="1" type="noConversion"/>
  </si>
  <si>
    <t>共住人家庭成員</t>
    <phoneticPr fontId="1" type="noConversion"/>
  </si>
  <si>
    <t>包租
約起日(xxx/xx/xx)</t>
    <phoneticPr fontId="1" type="noConversion"/>
  </si>
  <si>
    <t>包租
約訖日(xxx/xx/xx)</t>
    <phoneticPr fontId="1" type="noConversion"/>
  </si>
  <si>
    <t>轉期/換居</t>
    <phoneticPr fontId="1" type="noConversion"/>
  </si>
  <si>
    <t>自然/中止租約日期(xxx-xx-xx)</t>
    <phoneticPr fontId="1" type="noConversion"/>
  </si>
  <si>
    <t>第十三期</t>
  </si>
  <si>
    <t>第十三期</t>
    <phoneticPr fontId="1" type="noConversion"/>
  </si>
  <si>
    <t>第十四期</t>
  </si>
  <si>
    <t>第十四期</t>
    <phoneticPr fontId="1" type="noConversion"/>
  </si>
  <si>
    <t>第十五期</t>
  </si>
  <si>
    <t>第十五期</t>
    <phoneticPr fontId="1" type="noConversion"/>
  </si>
  <si>
    <t>第十六期</t>
  </si>
  <si>
    <t>第十六期</t>
    <phoneticPr fontId="1" type="noConversion"/>
  </si>
  <si>
    <t>第十七期</t>
  </si>
  <si>
    <t>第十七期</t>
    <phoneticPr fontId="1" type="noConversion"/>
  </si>
  <si>
    <t>第十八期</t>
  </si>
  <si>
    <t>第十八期</t>
    <phoneticPr fontId="1" type="noConversion"/>
  </si>
  <si>
    <t>第十九期</t>
  </si>
  <si>
    <t>第十九期</t>
    <phoneticPr fontId="1" type="noConversion"/>
  </si>
  <si>
    <t>第二十期</t>
  </si>
  <si>
    <t>第二十期</t>
    <phoneticPr fontId="1" type="noConversion"/>
  </si>
  <si>
    <t>第二十一期</t>
  </si>
  <si>
    <t>第二十一期</t>
    <phoneticPr fontId="1" type="noConversion"/>
  </si>
  <si>
    <t>第二十二期</t>
  </si>
  <si>
    <t>第二十二期</t>
    <phoneticPr fontId="1" type="noConversion"/>
  </si>
  <si>
    <t>第二十三期</t>
  </si>
  <si>
    <t>第二十三期</t>
    <phoneticPr fontId="1" type="noConversion"/>
  </si>
  <si>
    <t>第二十四期</t>
  </si>
  <si>
    <t>第二十四期</t>
    <phoneticPr fontId="1" type="noConversion"/>
  </si>
  <si>
    <t>第二十五期</t>
  </si>
  <si>
    <t>第二十五期</t>
    <phoneticPr fontId="1" type="noConversion"/>
  </si>
  <si>
    <t>第二十六期</t>
  </si>
  <si>
    <t>第二十六期</t>
    <phoneticPr fontId="1" type="noConversion"/>
  </si>
  <si>
    <t>第二十七期</t>
  </si>
  <si>
    <t>第二十七期</t>
    <phoneticPr fontId="1" type="noConversion"/>
  </si>
  <si>
    <t>第二十八期</t>
  </si>
  <si>
    <t>第二十八期</t>
    <phoneticPr fontId="1" type="noConversion"/>
  </si>
  <si>
    <t>第二十九期</t>
  </si>
  <si>
    <t>第二十九期</t>
    <phoneticPr fontId="1" type="noConversion"/>
  </si>
  <si>
    <t>第三十期</t>
  </si>
  <si>
    <t>第三十期</t>
    <phoneticPr fontId="1" type="noConversion"/>
  </si>
  <si>
    <t>第三十一期</t>
  </si>
  <si>
    <t>第三十一期</t>
    <phoneticPr fontId="1" type="noConversion"/>
  </si>
  <si>
    <t>第三十二期</t>
  </si>
  <si>
    <t>第三十二期</t>
    <phoneticPr fontId="1" type="noConversion"/>
  </si>
  <si>
    <t>第三十三期</t>
  </si>
  <si>
    <t>第三十三期</t>
    <phoneticPr fontId="1" type="noConversion"/>
  </si>
  <si>
    <t>第三十四期</t>
  </si>
  <si>
    <t>第三十四期</t>
    <phoneticPr fontId="1" type="noConversion"/>
  </si>
  <si>
    <t>第三十五期</t>
  </si>
  <si>
    <t>第三十五期</t>
    <phoneticPr fontId="1" type="noConversion"/>
  </si>
  <si>
    <t>第三十六期</t>
  </si>
  <si>
    <t>第三十六期</t>
    <phoneticPr fontId="1" type="noConversion"/>
  </si>
  <si>
    <t>第三十五期</t>
    <phoneticPr fontId="1" type="noConversion"/>
  </si>
  <si>
    <t>第三十六期</t>
    <phoneticPr fontId="1" type="noConversion"/>
  </si>
  <si>
    <t>異動原因
(例：自然終止、中止租約)</t>
    <phoneticPr fontId="1" type="noConversion"/>
  </si>
  <si>
    <t>業者名稱</t>
    <phoneticPr fontId="1" type="noConversion"/>
  </si>
  <si>
    <t>哪個縣市</t>
    <phoneticPr fontId="1" type="noConversion"/>
  </si>
  <si>
    <t>全部</t>
    <phoneticPr fontId="1" type="noConversion"/>
  </si>
  <si>
    <t>李昀襄</t>
  </si>
  <si>
    <t>A229037897</t>
  </si>
  <si>
    <t>107540447181</t>
  </si>
  <si>
    <t>8220107</t>
  </si>
  <si>
    <t>易居台北</t>
    <phoneticPr fontId="1" type="noConversion"/>
  </si>
  <si>
    <t>易居臺北A2M10500005</t>
  </si>
  <si>
    <t>高銘城</t>
  </si>
  <si>
    <t>A123930584</t>
  </si>
  <si>
    <t>高均瑋</t>
  </si>
  <si>
    <t>A129057324</t>
  </si>
  <si>
    <t xml:space="preserve">臺北市信義區和平東路三段427號2樓 </t>
  </si>
  <si>
    <t>犂和段四小段</t>
  </si>
  <si>
    <t>0017-0022</t>
  </si>
  <si>
    <t>03272-000</t>
  </si>
  <si>
    <t>1020065</t>
    <phoneticPr fontId="1" type="noConversion"/>
  </si>
  <si>
    <t>0661000172826</t>
  </si>
  <si>
    <t>臺北市信義區和平東路三段427號3樓</t>
  </si>
  <si>
    <t>7000021</t>
    <phoneticPr fontId="1" type="noConversion"/>
  </si>
  <si>
    <t>00023360577425</t>
  </si>
  <si>
    <t>易居臺北A2M30500008</t>
  </si>
  <si>
    <t>臺北市中山區新生北路二段96號11樓之26</t>
  </si>
  <si>
    <t>吉林段三小段</t>
  </si>
  <si>
    <t>03134-000</t>
  </si>
  <si>
    <t>陳芷娸</t>
  </si>
  <si>
    <t>L223774729</t>
  </si>
  <si>
    <t>徐悅哲</t>
  </si>
  <si>
    <t>A126950695</t>
  </si>
  <si>
    <t>8071158</t>
    <phoneticPr fontId="1" type="noConversion"/>
  </si>
  <si>
    <t>11500400203927</t>
  </si>
  <si>
    <t>臺北市萬華區德昌街262號7樓</t>
  </si>
  <si>
    <t>0041366</t>
    <phoneticPr fontId="1" type="noConversion"/>
  </si>
  <si>
    <t>136004048294</t>
  </si>
  <si>
    <t>撥款日期
(xxx-xx-xx)</t>
    <phoneticPr fontId="1" type="noConversion"/>
  </si>
  <si>
    <t>0985-0000/0986-0000</t>
    <phoneticPr fontId="1" type="noConversion"/>
  </si>
  <si>
    <t>易居臺北A2M10500007</t>
  </si>
  <si>
    <t>臺北市北投區中和街237號3樓之3</t>
  </si>
  <si>
    <t>臺北市北投區中和街237號4樓之3</t>
  </si>
  <si>
    <t>開明段二小段</t>
  </si>
  <si>
    <t>0233-0000</t>
  </si>
  <si>
    <t>22320-000</t>
  </si>
  <si>
    <t>22326-000</t>
  </si>
  <si>
    <t>連天輝</t>
  </si>
  <si>
    <t>A122649780</t>
  </si>
  <si>
    <t>李祐安</t>
  </si>
  <si>
    <t>A129083262</t>
  </si>
  <si>
    <t>劉送</t>
  </si>
  <si>
    <t>A203493948</t>
  </si>
  <si>
    <t>謝暖暖</t>
  </si>
  <si>
    <t>A222909014</t>
  </si>
  <si>
    <t>00023840144053</t>
  </si>
  <si>
    <t>臺北市北投區中和街237號5樓</t>
  </si>
  <si>
    <t>0095067</t>
    <phoneticPr fontId="1" type="noConversion"/>
  </si>
  <si>
    <t>50675102140600</t>
  </si>
  <si>
    <t>00023191046150</t>
  </si>
  <si>
    <t>臺北市北投區中和街237號4樓之1</t>
  </si>
  <si>
    <t>李亞臻</t>
  </si>
  <si>
    <t>A228442278</t>
  </si>
  <si>
    <t>0123109</t>
    <phoneticPr fontId="1" type="noConversion"/>
  </si>
  <si>
    <t>00310168032314</t>
  </si>
  <si>
    <t>易居臺北A2M30500015</t>
  </si>
  <si>
    <t>臺北市士林區福國路50巷6弄9號4樓</t>
  </si>
  <si>
    <t>蘭雅段二小段</t>
  </si>
  <si>
    <t>22153-000</t>
  </si>
  <si>
    <t>0117-0000/0117-0002/0117-0003/0117-0005</t>
    <phoneticPr fontId="1" type="noConversion"/>
  </si>
  <si>
    <t>施力文</t>
  </si>
  <si>
    <t>A124606569</t>
  </si>
  <si>
    <t>119506037856</t>
  </si>
  <si>
    <t>0131195</t>
    <phoneticPr fontId="1" type="noConversion"/>
  </si>
  <si>
    <t>00018470326151</t>
  </si>
  <si>
    <t>吳宛玲</t>
  </si>
  <si>
    <t>F221613336</t>
  </si>
  <si>
    <t>姜羽</t>
  </si>
  <si>
    <t>A231689945</t>
  </si>
  <si>
    <t>女兒</t>
    <phoneticPr fontId="1" type="noConversion"/>
  </si>
  <si>
    <t>臺北市中山區新生北路一段90號12樓</t>
  </si>
  <si>
    <t>易居臺北A2M10500026</t>
  </si>
  <si>
    <t>115-01-20</t>
    <phoneticPr fontId="1" type="noConversion"/>
  </si>
  <si>
    <t>林雲潔</t>
  </si>
  <si>
    <t>F225568823</t>
  </si>
  <si>
    <t>8050023</t>
  </si>
  <si>
    <t>06200450010725</t>
  </si>
  <si>
    <t>臺北市中山區撫順街41巷3號6樓之1</t>
  </si>
  <si>
    <t>呂甘霖</t>
  </si>
  <si>
    <t>A129691120</t>
  </si>
  <si>
    <t>王宭</t>
  </si>
  <si>
    <t>F121886962</t>
  </si>
  <si>
    <t>0122032</t>
  </si>
  <si>
    <t>00203168043820</t>
  </si>
  <si>
    <t>正義段一小段</t>
  </si>
  <si>
    <t>0705-0000</t>
  </si>
  <si>
    <t>02826-000</t>
  </si>
  <si>
    <t>115-02-26</t>
    <phoneticPr fontId="1" type="noConversion"/>
  </si>
  <si>
    <t>115-04-20</t>
  </si>
  <si>
    <t>115-04-20</t>
    <phoneticPr fontId="1" type="noConversion"/>
  </si>
  <si>
    <t>-</t>
    <phoneticPr fontId="1" type="noConversion"/>
  </si>
  <si>
    <t>中止租約</t>
    <phoneticPr fontId="1" type="noConversion"/>
  </si>
  <si>
    <t>115/05/31</t>
    <phoneticPr fontId="1" type="noConversion"/>
  </si>
  <si>
    <t>易居臺北A2M10500008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</si>
</sst>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-* #,##0_-;\-* #,##0_-;_-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76" formatCode="_-* #,##0_-;\-* #,##0_-;_-* &quot;-&quot;??_-;_-@_-"/>
    <numFmt numFmtId="177" formatCode="[$-404]e/m/d;@"/>
    <numFmt numFmtId="178" formatCode="_-\$* #,##0.00_-;&quot;-$&quot;* #,##0.00_-;_-\$* \-??_-;_-@_-"/>
    <numFmt numFmtId="179" formatCode="m/d;@"/>
    <numFmt numFmtId="180" formatCode="0_);[Red]\(0\)"/>
    <numFmt numFmtId="181" formatCode="0.00_);[Red]\(0.00\)"/>
    <numFmt numFmtId="182" formatCode="[$-404]e/mm/dd;@"/>
    <numFmt numFmtId="183" formatCode="[$-404]e\-mm\-dd;@"/>
  </numFmts>
  <fonts count="20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name val="新細明體"/>
      <family val="1"/>
      <charset val="136"/>
    </font>
    <font>
      <b/>
      <sz val="12"/>
      <color theme="1"/>
      <name val="新細明體"/>
      <family val="2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3"/>
      <color rgb="FF000000"/>
      <name val="新細明體"/>
      <family val="1"/>
      <charset val="136"/>
      <scheme val="minor"/>
    </font>
    <font>
      <b/>
      <sz val="13"/>
      <color rgb="FF000000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3"/>
      <color theme="1"/>
      <name val="新細明體"/>
      <family val="1"/>
      <charset val="136"/>
      <scheme val="minor"/>
    </font>
    <font>
      <b/>
      <sz val="14"/>
      <color theme="1"/>
      <name val="新細明體"/>
      <family val="1"/>
      <charset val="136"/>
      <scheme val="minor"/>
    </font>
    <font>
      <sz val="13"/>
      <color rgb="FFFF0000"/>
      <name val="新細明體"/>
      <family val="1"/>
      <charset val="136"/>
      <scheme val="minor"/>
    </font>
    <font>
      <b/>
      <sz val="12"/>
      <name val="標楷體"/>
      <family val="4"/>
      <charset val="136"/>
    </font>
    <font>
      <b/>
      <sz val="14"/>
      <name val="標楷體"/>
      <family val="4"/>
      <charset val="136"/>
    </font>
    <font>
      <sz val="12"/>
      <name val="標楷體"/>
      <family val="4"/>
      <charset val="136"/>
    </font>
    <font>
      <sz val="11"/>
      <name val="標楷體"/>
      <family val="4"/>
      <charset val="136"/>
    </font>
    <font>
      <sz val="10"/>
      <name val="標楷體"/>
      <family val="4"/>
      <charset val="136"/>
    </font>
    <font>
      <sz val="12"/>
      <name val="Microsoft JhengHei"/>
      <family val="4"/>
      <charset val="136"/>
    </font>
    <font>
      <sz val="12"/>
      <color rgb="FFFF0000"/>
      <name val="標楷體"/>
      <family val="4"/>
      <charset val="136"/>
    </font>
  </fonts>
  <fills count="1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/>
        <bgColor indexed="64"/>
      </patternFill>
    </fill>
  </fills>
  <borders count="9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ck">
        <color auto="1"/>
      </left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auto="1"/>
      </right>
      <top style="thick">
        <color auto="1"/>
      </top>
      <bottom style="thin">
        <color auto="1"/>
      </bottom>
      <diagonal/>
    </border>
    <border>
      <left style="thin">
        <color indexed="64"/>
      </left>
      <right style="double">
        <color auto="1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double">
        <color auto="1"/>
      </right>
      <top/>
      <bottom style="thin">
        <color indexed="64"/>
      </bottom>
      <diagonal/>
    </border>
    <border>
      <left style="thin">
        <color indexed="64"/>
      </left>
      <right style="double">
        <color auto="1"/>
      </right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ck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indexed="64"/>
      </top>
      <bottom style="thick">
        <color indexed="64"/>
      </bottom>
      <diagonal/>
    </border>
    <border>
      <left/>
      <right style="double">
        <color auto="1"/>
      </right>
      <top style="thin">
        <color indexed="64"/>
      </top>
      <bottom style="thin">
        <color indexed="64"/>
      </bottom>
      <diagonal/>
    </border>
    <border>
      <left/>
      <right style="double">
        <color auto="1"/>
      </right>
      <top style="thin">
        <color indexed="64"/>
      </top>
      <bottom/>
      <diagonal/>
    </border>
    <border>
      <left style="double">
        <color auto="1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double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 style="thin">
        <color indexed="64"/>
      </right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indexed="64"/>
      </left>
      <right style="double">
        <color auto="1"/>
      </right>
      <top/>
      <bottom style="thick">
        <color indexed="64"/>
      </bottom>
      <diagonal/>
    </border>
    <border>
      <left style="thick">
        <color indexed="64"/>
      </left>
      <right/>
      <top style="thin">
        <color auto="1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double">
        <color auto="1"/>
      </left>
      <right/>
      <top style="thin">
        <color indexed="64"/>
      </top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  <border>
      <left style="thin">
        <color indexed="64"/>
      </left>
      <right style="double">
        <color auto="1"/>
      </right>
      <top/>
      <bottom/>
      <diagonal/>
    </border>
    <border>
      <left style="double">
        <color auto="1"/>
      </left>
      <right style="thin">
        <color indexed="64"/>
      </right>
      <top/>
      <bottom/>
      <diagonal/>
    </border>
    <border>
      <left/>
      <right style="double">
        <color auto="1"/>
      </right>
      <top/>
      <bottom style="thick">
        <color indexed="64"/>
      </bottom>
      <diagonal/>
    </border>
    <border>
      <left style="double">
        <color auto="1"/>
      </left>
      <right/>
      <top/>
      <bottom style="thick">
        <color indexed="64"/>
      </bottom>
      <diagonal/>
    </border>
    <border>
      <left style="double">
        <color auto="1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auto="1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double">
        <color auto="1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auto="1"/>
      </left>
      <right style="thin">
        <color indexed="64"/>
      </right>
      <top style="double">
        <color auto="1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ck">
        <color indexed="64"/>
      </right>
      <top style="double">
        <color indexed="64"/>
      </top>
      <bottom/>
      <diagonal/>
    </border>
    <border>
      <left style="thick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double">
        <color auto="1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ck">
        <color indexed="64"/>
      </right>
      <top style="double">
        <color indexed="64"/>
      </top>
      <bottom/>
      <diagonal/>
    </border>
    <border>
      <left style="double">
        <color indexed="64"/>
      </left>
      <right style="thick">
        <color indexed="64"/>
      </right>
      <top/>
      <bottom/>
      <diagonal/>
    </border>
    <border>
      <left style="double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double">
        <color auto="1"/>
      </right>
      <top style="thick">
        <color auto="1"/>
      </top>
      <bottom/>
      <diagonal/>
    </border>
  </borders>
  <cellStyleXfs count="11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178" fontId="4" fillId="0" borderId="0" applyBorder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</cellStyleXfs>
  <cellXfs count="835">
    <xf numFmtId="0" fontId="0" fillId="0" borderId="0" xfId="0">
      <alignment vertical="center"/>
    </xf>
    <xf numFmtId="0" fontId="3" fillId="0" borderId="0" xfId="0" applyFont="1">
      <alignment vertical="center"/>
    </xf>
    <xf numFmtId="0" fontId="5" fillId="0" borderId="0" xfId="0" applyFont="1">
      <alignment vertical="center"/>
    </xf>
    <xf numFmtId="0" fontId="7" fillId="0" borderId="1" xfId="0" applyFont="1" applyBorder="1" applyAlignment="1">
      <alignment horizontal="center" vertical="center" wrapText="1"/>
    </xf>
    <xf numFmtId="41" fontId="7" fillId="0" borderId="1" xfId="10" applyNumberFormat="1" applyFont="1" applyBorder="1" applyAlignment="1">
      <alignment horizontal="right" vertical="center" wrapText="1"/>
    </xf>
    <xf numFmtId="176" fontId="8" fillId="8" borderId="1" xfId="1" applyNumberFormat="1" applyFont="1" applyFill="1" applyBorder="1" applyAlignment="1">
      <alignment horizontal="center" vertical="center" wrapText="1"/>
    </xf>
    <xf numFmtId="0" fontId="9" fillId="0" borderId="0" xfId="0" applyFont="1">
      <alignment vertical="center"/>
    </xf>
    <xf numFmtId="0" fontId="8" fillId="0" borderId="1" xfId="0" applyFont="1" applyBorder="1" applyAlignment="1">
      <alignment horizontal="center" vertical="center" wrapText="1"/>
    </xf>
    <xf numFmtId="41" fontId="8" fillId="0" borderId="1" xfId="0" applyNumberFormat="1" applyFont="1" applyBorder="1" applyAlignment="1">
      <alignment horizontal="right" vertical="center" wrapText="1"/>
    </xf>
    <xf numFmtId="41" fontId="8" fillId="10" borderId="1" xfId="0" applyNumberFormat="1" applyFont="1" applyFill="1" applyBorder="1" applyAlignment="1">
      <alignment horizontal="right" vertical="center" wrapText="1"/>
    </xf>
    <xf numFmtId="0" fontId="10" fillId="0" borderId="1" xfId="0" applyFont="1" applyBorder="1">
      <alignment vertical="center"/>
    </xf>
    <xf numFmtId="0" fontId="3" fillId="0" borderId="70" xfId="0" applyFont="1" applyBorder="1" applyAlignment="1">
      <alignment horizontal="center" vertical="center"/>
    </xf>
    <xf numFmtId="0" fontId="3" fillId="0" borderId="71" xfId="0" applyFont="1" applyBorder="1" applyAlignment="1">
      <alignment horizontal="center" vertical="center"/>
    </xf>
    <xf numFmtId="0" fontId="3" fillId="0" borderId="73" xfId="0" applyFont="1" applyBorder="1" applyAlignment="1">
      <alignment horizontal="center" vertical="center"/>
    </xf>
    <xf numFmtId="176" fontId="9" fillId="0" borderId="76" xfId="1" applyNumberFormat="1" applyFont="1" applyBorder="1">
      <alignment vertical="center"/>
    </xf>
    <xf numFmtId="176" fontId="9" fillId="0" borderId="75" xfId="1" applyNumberFormat="1" applyFont="1" applyBorder="1">
      <alignment vertical="center"/>
    </xf>
    <xf numFmtId="176" fontId="9" fillId="0" borderId="74" xfId="1" applyNumberFormat="1" applyFont="1" applyBorder="1">
      <alignment vertical="center"/>
    </xf>
    <xf numFmtId="176" fontId="9" fillId="0" borderId="75" xfId="0" applyNumberFormat="1" applyFont="1" applyBorder="1">
      <alignment vertical="center"/>
    </xf>
    <xf numFmtId="0" fontId="9" fillId="0" borderId="1" xfId="0" applyFont="1" applyBorder="1" applyAlignment="1">
      <alignment horizontal="center" vertical="center"/>
    </xf>
    <xf numFmtId="176" fontId="9" fillId="0" borderId="1" xfId="1" applyNumberFormat="1" applyFont="1" applyBorder="1">
      <alignment vertical="center"/>
    </xf>
    <xf numFmtId="176" fontId="9" fillId="0" borderId="47" xfId="1" applyNumberFormat="1" applyFont="1" applyBorder="1">
      <alignment vertical="center"/>
    </xf>
    <xf numFmtId="176" fontId="9" fillId="0" borderId="57" xfId="1" applyNumberFormat="1" applyFont="1" applyBorder="1">
      <alignment vertical="center"/>
    </xf>
    <xf numFmtId="176" fontId="9" fillId="0" borderId="47" xfId="0" applyNumberFormat="1" applyFont="1" applyBorder="1">
      <alignment vertical="center"/>
    </xf>
    <xf numFmtId="0" fontId="9" fillId="0" borderId="8" xfId="0" applyFont="1" applyBorder="1" applyAlignment="1">
      <alignment horizontal="center" vertical="center"/>
    </xf>
    <xf numFmtId="176" fontId="9" fillId="0" borderId="8" xfId="1" applyNumberFormat="1" applyFont="1" applyBorder="1">
      <alignment vertical="center"/>
    </xf>
    <xf numFmtId="176" fontId="9" fillId="0" borderId="49" xfId="1" applyNumberFormat="1" applyFont="1" applyBorder="1">
      <alignment vertical="center"/>
    </xf>
    <xf numFmtId="176" fontId="9" fillId="0" borderId="49" xfId="0" applyNumberFormat="1" applyFont="1" applyBorder="1">
      <alignment vertical="center"/>
    </xf>
    <xf numFmtId="41" fontId="12" fillId="0" borderId="1" xfId="10" applyNumberFormat="1" applyFont="1" applyBorder="1" applyAlignment="1">
      <alignment horizontal="right" vertical="center" wrapText="1"/>
    </xf>
    <xf numFmtId="0" fontId="6" fillId="0" borderId="0" xfId="0" applyFont="1">
      <alignment vertical="center"/>
    </xf>
    <xf numFmtId="0" fontId="13" fillId="0" borderId="0" xfId="0" applyFont="1">
      <alignment vertical="center"/>
    </xf>
    <xf numFmtId="176" fontId="13" fillId="3" borderId="7" xfId="1" applyNumberFormat="1" applyFont="1" applyFill="1" applyBorder="1" applyAlignment="1">
      <alignment horizontal="center" vertical="center" wrapText="1"/>
    </xf>
    <xf numFmtId="176" fontId="13" fillId="3" borderId="8" xfId="1" applyNumberFormat="1" applyFont="1" applyFill="1" applyBorder="1" applyAlignment="1">
      <alignment horizontal="center" vertical="center" wrapText="1"/>
    </xf>
    <xf numFmtId="177" fontId="13" fillId="3" borderId="8" xfId="1" applyNumberFormat="1" applyFont="1" applyFill="1" applyBorder="1" applyAlignment="1">
      <alignment horizontal="center" vertical="center" wrapText="1"/>
    </xf>
    <xf numFmtId="176" fontId="13" fillId="4" borderId="7" xfId="1" applyNumberFormat="1" applyFont="1" applyFill="1" applyBorder="1" applyAlignment="1">
      <alignment horizontal="center" vertical="center" wrapText="1"/>
    </xf>
    <xf numFmtId="177" fontId="13" fillId="4" borderId="10" xfId="1" applyNumberFormat="1" applyFont="1" applyFill="1" applyBorder="1" applyAlignment="1">
      <alignment horizontal="center" vertical="center" wrapText="1"/>
    </xf>
    <xf numFmtId="176" fontId="13" fillId="4" borderId="8" xfId="1" applyNumberFormat="1" applyFont="1" applyFill="1" applyBorder="1" applyAlignment="1">
      <alignment horizontal="center" vertical="center" wrapText="1"/>
    </xf>
    <xf numFmtId="177" fontId="13" fillId="4" borderId="8" xfId="1" applyNumberFormat="1" applyFont="1" applyFill="1" applyBorder="1" applyAlignment="1">
      <alignment horizontal="center" vertical="center" wrapText="1"/>
    </xf>
    <xf numFmtId="176" fontId="13" fillId="4" borderId="56" xfId="1" applyNumberFormat="1" applyFont="1" applyFill="1" applyBorder="1" applyAlignment="1">
      <alignment horizontal="center" vertical="center" wrapText="1"/>
    </xf>
    <xf numFmtId="49" fontId="13" fillId="5" borderId="70" xfId="0" applyNumberFormat="1" applyFont="1" applyFill="1" applyBorder="1" applyAlignment="1">
      <alignment horizontal="center" vertical="center" wrapText="1"/>
    </xf>
    <xf numFmtId="49" fontId="13" fillId="5" borderId="70" xfId="0" applyNumberFormat="1" applyFont="1" applyFill="1" applyBorder="1" applyAlignment="1">
      <alignment vertical="center" wrapText="1"/>
    </xf>
    <xf numFmtId="49" fontId="13" fillId="5" borderId="71" xfId="0" applyNumberFormat="1" applyFont="1" applyFill="1" applyBorder="1" applyAlignment="1">
      <alignment vertical="center" wrapText="1"/>
    </xf>
    <xf numFmtId="176" fontId="13" fillId="5" borderId="23" xfId="1" applyNumberFormat="1" applyFont="1" applyFill="1" applyBorder="1" applyAlignment="1">
      <alignment horizontal="center" vertical="center" wrapText="1"/>
    </xf>
    <xf numFmtId="177" fontId="13" fillId="5" borderId="8" xfId="1" applyNumberFormat="1" applyFont="1" applyFill="1" applyBorder="1" applyAlignment="1">
      <alignment horizontal="center" vertical="center" wrapText="1"/>
    </xf>
    <xf numFmtId="176" fontId="13" fillId="5" borderId="8" xfId="1" applyNumberFormat="1" applyFont="1" applyFill="1" applyBorder="1" applyAlignment="1">
      <alignment horizontal="center" vertical="center" wrapText="1"/>
    </xf>
    <xf numFmtId="177" fontId="13" fillId="5" borderId="49" xfId="1" applyNumberFormat="1" applyFont="1" applyFill="1" applyBorder="1" applyAlignment="1">
      <alignment horizontal="center" vertical="center" wrapText="1"/>
    </xf>
    <xf numFmtId="177" fontId="13" fillId="5" borderId="6" xfId="1" applyNumberFormat="1" applyFont="1" applyFill="1" applyBorder="1" applyAlignment="1">
      <alignment horizontal="center" vertical="center" wrapText="1"/>
    </xf>
    <xf numFmtId="0" fontId="15" fillId="0" borderId="0" xfId="0" applyFont="1">
      <alignment vertical="center"/>
    </xf>
    <xf numFmtId="0" fontId="15" fillId="7" borderId="3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5" fillId="2" borderId="1" xfId="0" applyFont="1" applyFill="1" applyBorder="1">
      <alignment vertical="center"/>
    </xf>
    <xf numFmtId="0" fontId="15" fillId="2" borderId="47" xfId="0" applyFont="1" applyFill="1" applyBorder="1">
      <alignment vertical="center"/>
    </xf>
    <xf numFmtId="0" fontId="15" fillId="6" borderId="2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181" fontId="15" fillId="6" borderId="1" xfId="0" applyNumberFormat="1" applyFont="1" applyFill="1" applyBorder="1" applyAlignment="1">
      <alignment horizontal="center" vertical="center"/>
    </xf>
    <xf numFmtId="177" fontId="15" fillId="6" borderId="2" xfId="0" applyNumberFormat="1" applyFont="1" applyFill="1" applyBorder="1" applyAlignment="1">
      <alignment horizontal="center" vertical="center"/>
    </xf>
    <xf numFmtId="177" fontId="15" fillId="3" borderId="54" xfId="1" applyNumberFormat="1" applyFont="1" applyFill="1" applyBorder="1" applyAlignment="1">
      <alignment horizontal="center" vertical="center"/>
    </xf>
    <xf numFmtId="177" fontId="15" fillId="3" borderId="25" xfId="1" applyNumberFormat="1" applyFont="1" applyFill="1" applyBorder="1" applyAlignment="1">
      <alignment horizontal="center" vertical="center"/>
    </xf>
    <xf numFmtId="177" fontId="15" fillId="3" borderId="1" xfId="1" applyNumberFormat="1" applyFont="1" applyFill="1" applyBorder="1" applyAlignment="1">
      <alignment horizontal="center" vertical="center"/>
    </xf>
    <xf numFmtId="176" fontId="15" fillId="3" borderId="1" xfId="1" applyNumberFormat="1" applyFont="1" applyFill="1" applyBorder="1">
      <alignment vertical="center"/>
    </xf>
    <xf numFmtId="0" fontId="15" fillId="4" borderId="11" xfId="0" applyFont="1" applyFill="1" applyBorder="1" applyAlignment="1">
      <alignment horizontal="center" vertical="center"/>
    </xf>
    <xf numFmtId="0" fontId="15" fillId="4" borderId="57" xfId="0" applyFont="1" applyFill="1" applyBorder="1" applyAlignment="1">
      <alignment horizontal="center" vertical="center"/>
    </xf>
    <xf numFmtId="176" fontId="15" fillId="4" borderId="57" xfId="1" applyNumberFormat="1" applyFont="1" applyFill="1" applyBorder="1" applyAlignment="1">
      <alignment vertical="center"/>
    </xf>
    <xf numFmtId="177" fontId="15" fillId="4" borderId="1" xfId="1" applyNumberFormat="1" applyFont="1" applyFill="1" applyBorder="1" applyAlignment="1">
      <alignment horizontal="center" vertical="center"/>
    </xf>
    <xf numFmtId="177" fontId="15" fillId="4" borderId="47" xfId="1" applyNumberFormat="1" applyFont="1" applyFill="1" applyBorder="1" applyAlignment="1">
      <alignment horizontal="center" vertical="center"/>
    </xf>
    <xf numFmtId="177" fontId="15" fillId="4" borderId="11" xfId="1" applyNumberFormat="1" applyFont="1" applyFill="1" applyBorder="1" applyAlignment="1">
      <alignment horizontal="center" vertical="center"/>
    </xf>
    <xf numFmtId="0" fontId="15" fillId="5" borderId="2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177" fontId="15" fillId="5" borderId="1" xfId="1" applyNumberFormat="1" applyFont="1" applyFill="1" applyBorder="1" applyAlignment="1">
      <alignment horizontal="center" vertical="center"/>
    </xf>
    <xf numFmtId="177" fontId="15" fillId="5" borderId="47" xfId="1" applyNumberFormat="1" applyFont="1" applyFill="1" applyBorder="1" applyAlignment="1">
      <alignment horizontal="center" vertical="center"/>
    </xf>
    <xf numFmtId="0" fontId="15" fillId="0" borderId="25" xfId="0" applyFont="1" applyBorder="1">
      <alignment vertical="center"/>
    </xf>
    <xf numFmtId="177" fontId="15" fillId="6" borderId="1" xfId="0" applyNumberFormat="1" applyFont="1" applyFill="1" applyBorder="1" applyAlignment="1">
      <alignment horizontal="center" vertical="center"/>
    </xf>
    <xf numFmtId="176" fontId="15" fillId="6" borderId="3" xfId="1" applyNumberFormat="1" applyFont="1" applyFill="1" applyBorder="1">
      <alignment vertical="center"/>
    </xf>
    <xf numFmtId="177" fontId="15" fillId="3" borderId="1" xfId="1" applyNumberFormat="1" applyFont="1" applyFill="1" applyBorder="1">
      <alignment vertical="center"/>
    </xf>
    <xf numFmtId="0" fontId="15" fillId="4" borderId="25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177" fontId="15" fillId="4" borderId="25" xfId="1" applyNumberFormat="1" applyFont="1" applyFill="1" applyBorder="1" applyAlignment="1">
      <alignment horizontal="center" vertical="center"/>
    </xf>
    <xf numFmtId="176" fontId="15" fillId="4" borderId="1" xfId="1" applyNumberFormat="1" applyFont="1" applyFill="1" applyBorder="1">
      <alignment vertical="center"/>
    </xf>
    <xf numFmtId="49" fontId="15" fillId="5" borderId="1" xfId="0" applyNumberFormat="1" applyFont="1" applyFill="1" applyBorder="1" applyAlignment="1">
      <alignment horizontal="center" vertical="center"/>
    </xf>
    <xf numFmtId="49" fontId="15" fillId="5" borderId="11" xfId="0" applyNumberFormat="1" applyFont="1" applyFill="1" applyBorder="1" applyAlignment="1">
      <alignment horizontal="center" vertical="center"/>
    </xf>
    <xf numFmtId="49" fontId="15" fillId="5" borderId="47" xfId="0" applyNumberFormat="1" applyFont="1" applyFill="1" applyBorder="1" applyAlignment="1">
      <alignment horizontal="center" vertical="center"/>
    </xf>
    <xf numFmtId="49" fontId="15" fillId="5" borderId="2" xfId="0" applyNumberFormat="1" applyFont="1" applyFill="1" applyBorder="1" applyAlignment="1">
      <alignment horizontal="center" vertical="center"/>
    </xf>
    <xf numFmtId="176" fontId="15" fillId="5" borderId="25" xfId="1" applyNumberFormat="1" applyFont="1" applyFill="1" applyBorder="1">
      <alignment vertical="center"/>
    </xf>
    <xf numFmtId="176" fontId="15" fillId="5" borderId="1" xfId="1" applyNumberFormat="1" applyFont="1" applyFill="1" applyBorder="1">
      <alignment vertical="center"/>
    </xf>
    <xf numFmtId="177" fontId="15" fillId="5" borderId="1" xfId="1" applyNumberFormat="1" applyFont="1" applyFill="1" applyBorder="1">
      <alignment vertical="center"/>
    </xf>
    <xf numFmtId="177" fontId="15" fillId="5" borderId="47" xfId="1" applyNumberFormat="1" applyFont="1" applyFill="1" applyBorder="1">
      <alignment vertical="center"/>
    </xf>
    <xf numFmtId="0" fontId="15" fillId="2" borderId="25" xfId="0" applyFont="1" applyFill="1" applyBorder="1" applyAlignment="1">
      <alignment horizontal="center" vertical="center"/>
    </xf>
    <xf numFmtId="176" fontId="15" fillId="4" borderId="2" xfId="1" applyNumberFormat="1" applyFont="1" applyFill="1" applyBorder="1">
      <alignment vertical="center"/>
    </xf>
    <xf numFmtId="0" fontId="15" fillId="9" borderId="2" xfId="0" applyFont="1" applyFill="1" applyBorder="1" applyAlignment="1">
      <alignment horizontal="center" vertical="center"/>
    </xf>
    <xf numFmtId="0" fontId="15" fillId="9" borderId="25" xfId="0" applyFont="1" applyFill="1" applyBorder="1" applyAlignment="1">
      <alignment horizontal="center" vertical="center"/>
    </xf>
    <xf numFmtId="0" fontId="15" fillId="9" borderId="1" xfId="0" applyFont="1" applyFill="1" applyBorder="1">
      <alignment vertical="center"/>
    </xf>
    <xf numFmtId="0" fontId="15" fillId="9" borderId="47" xfId="0" applyFont="1" applyFill="1" applyBorder="1">
      <alignment vertical="center"/>
    </xf>
    <xf numFmtId="180" fontId="16" fillId="9" borderId="2" xfId="0" applyNumberFormat="1" applyFont="1" applyFill="1" applyBorder="1" applyAlignment="1">
      <alignment horizontal="center" vertical="center" wrapText="1"/>
    </xf>
    <xf numFmtId="177" fontId="15" fillId="9" borderId="54" xfId="1" applyNumberFormat="1" applyFont="1" applyFill="1" applyBorder="1" applyAlignment="1">
      <alignment horizontal="center" vertical="center"/>
    </xf>
    <xf numFmtId="177" fontId="15" fillId="9" borderId="25" xfId="1" applyNumberFormat="1" applyFont="1" applyFill="1" applyBorder="1" applyAlignment="1">
      <alignment horizontal="center" vertical="center"/>
    </xf>
    <xf numFmtId="177" fontId="15" fillId="9" borderId="1" xfId="1" applyNumberFormat="1" applyFont="1" applyFill="1" applyBorder="1" applyAlignment="1">
      <alignment horizontal="center" vertical="center"/>
    </xf>
    <xf numFmtId="177" fontId="15" fillId="9" borderId="47" xfId="1" applyNumberFormat="1" applyFont="1" applyFill="1" applyBorder="1" applyAlignment="1">
      <alignment horizontal="center" vertical="center"/>
    </xf>
    <xf numFmtId="177" fontId="15" fillId="9" borderId="3" xfId="1" applyNumberFormat="1" applyFont="1" applyFill="1" applyBorder="1" applyAlignment="1">
      <alignment horizontal="center" vertical="center"/>
    </xf>
    <xf numFmtId="177" fontId="15" fillId="9" borderId="11" xfId="1" applyNumberFormat="1" applyFont="1" applyFill="1" applyBorder="1" applyAlignment="1">
      <alignment horizontal="center" vertical="center"/>
    </xf>
    <xf numFmtId="176" fontId="15" fillId="9" borderId="1" xfId="1" applyNumberFormat="1" applyFont="1" applyFill="1" applyBorder="1">
      <alignment vertical="center"/>
    </xf>
    <xf numFmtId="177" fontId="15" fillId="9" borderId="1" xfId="1" applyNumberFormat="1" applyFont="1" applyFill="1" applyBorder="1">
      <alignment vertical="center"/>
    </xf>
    <xf numFmtId="177" fontId="15" fillId="9" borderId="25" xfId="1" applyNumberFormat="1" applyFont="1" applyFill="1" applyBorder="1">
      <alignment vertical="center"/>
    </xf>
    <xf numFmtId="0" fontId="15" fillId="7" borderId="6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/>
    </xf>
    <xf numFmtId="0" fontId="15" fillId="2" borderId="23" xfId="0" applyFont="1" applyFill="1" applyBorder="1" applyAlignment="1">
      <alignment horizontal="center" vertical="center"/>
    </xf>
    <xf numFmtId="0" fontId="16" fillId="6" borderId="8" xfId="0" applyFont="1" applyFill="1" applyBorder="1" applyAlignment="1">
      <alignment horizontal="center" vertical="center"/>
    </xf>
    <xf numFmtId="177" fontId="16" fillId="6" borderId="7" xfId="0" applyNumberFormat="1" applyFont="1" applyFill="1" applyBorder="1" applyAlignment="1">
      <alignment horizontal="center" vertical="center"/>
    </xf>
    <xf numFmtId="177" fontId="16" fillId="6" borderId="8" xfId="0" applyNumberFormat="1" applyFont="1" applyFill="1" applyBorder="1" applyAlignment="1">
      <alignment horizontal="center" vertical="center"/>
    </xf>
    <xf numFmtId="176" fontId="16" fillId="6" borderId="6" xfId="1" applyNumberFormat="1" applyFont="1" applyFill="1" applyBorder="1">
      <alignment vertical="center"/>
    </xf>
    <xf numFmtId="176" fontId="16" fillId="3" borderId="7" xfId="1" applyNumberFormat="1" applyFont="1" applyFill="1" applyBorder="1" applyAlignment="1">
      <alignment horizontal="center" vertical="center"/>
    </xf>
    <xf numFmtId="177" fontId="15" fillId="3" borderId="53" xfId="1" applyNumberFormat="1" applyFont="1" applyFill="1" applyBorder="1" applyAlignment="1">
      <alignment horizontal="center" vertical="center"/>
    </xf>
    <xf numFmtId="177" fontId="15" fillId="3" borderId="23" xfId="1" applyNumberFormat="1" applyFont="1" applyFill="1" applyBorder="1" applyAlignment="1">
      <alignment horizontal="center" vertical="center"/>
    </xf>
    <xf numFmtId="176" fontId="15" fillId="3" borderId="8" xfId="1" applyNumberFormat="1" applyFont="1" applyFill="1" applyBorder="1">
      <alignment vertical="center"/>
    </xf>
    <xf numFmtId="177" fontId="15" fillId="3" borderId="8" xfId="1" applyNumberFormat="1" applyFont="1" applyFill="1" applyBorder="1" applyAlignment="1">
      <alignment horizontal="center" vertical="center"/>
    </xf>
    <xf numFmtId="177" fontId="15" fillId="3" borderId="8" xfId="1" applyNumberFormat="1" applyFont="1" applyFill="1" applyBorder="1">
      <alignment vertical="center"/>
    </xf>
    <xf numFmtId="0" fontId="16" fillId="4" borderId="23" xfId="0" applyFont="1" applyFill="1" applyBorder="1" applyAlignment="1">
      <alignment horizontal="center" vertical="center"/>
    </xf>
    <xf numFmtId="177" fontId="15" fillId="4" borderId="8" xfId="1" applyNumberFormat="1" applyFont="1" applyFill="1" applyBorder="1" applyAlignment="1">
      <alignment horizontal="center" vertical="center"/>
    </xf>
    <xf numFmtId="177" fontId="15" fillId="4" borderId="49" xfId="1" applyNumberFormat="1" applyFont="1" applyFill="1" applyBorder="1" applyAlignment="1">
      <alignment horizontal="center" vertical="center"/>
    </xf>
    <xf numFmtId="176" fontId="15" fillId="4" borderId="7" xfId="1" applyNumberFormat="1" applyFont="1" applyFill="1" applyBorder="1">
      <alignment vertical="center"/>
    </xf>
    <xf numFmtId="177" fontId="15" fillId="4" borderId="10" xfId="1" applyNumberFormat="1" applyFont="1" applyFill="1" applyBorder="1" applyAlignment="1">
      <alignment horizontal="center" vertical="center"/>
    </xf>
    <xf numFmtId="176" fontId="15" fillId="4" borderId="8" xfId="1" applyNumberFormat="1" applyFont="1" applyFill="1" applyBorder="1">
      <alignment vertical="center"/>
    </xf>
    <xf numFmtId="176" fontId="15" fillId="4" borderId="23" xfId="1" applyNumberFormat="1" applyFont="1" applyFill="1" applyBorder="1" applyAlignment="1">
      <alignment horizontal="center" vertical="center" wrapText="1"/>
    </xf>
    <xf numFmtId="176" fontId="15" fillId="4" borderId="56" xfId="1" applyNumberFormat="1" applyFont="1" applyFill="1" applyBorder="1" applyAlignment="1">
      <alignment horizontal="center" vertical="center" wrapText="1"/>
    </xf>
    <xf numFmtId="176" fontId="15" fillId="4" borderId="8" xfId="1" applyNumberFormat="1" applyFont="1" applyFill="1" applyBorder="1" applyAlignment="1">
      <alignment horizontal="center" vertical="center" wrapText="1"/>
    </xf>
    <xf numFmtId="176" fontId="15" fillId="4" borderId="10" xfId="1" applyNumberFormat="1" applyFont="1" applyFill="1" applyBorder="1" applyAlignment="1">
      <alignment horizontal="center" vertical="center" wrapText="1"/>
    </xf>
    <xf numFmtId="176" fontId="15" fillId="4" borderId="6" xfId="1" applyNumberFormat="1" applyFont="1" applyFill="1" applyBorder="1" applyAlignment="1">
      <alignment horizontal="center" vertical="center" wrapText="1"/>
    </xf>
    <xf numFmtId="0" fontId="16" fillId="5" borderId="7" xfId="0" applyFont="1" applyFill="1" applyBorder="1" applyAlignment="1">
      <alignment horizontal="center" vertical="center"/>
    </xf>
    <xf numFmtId="0" fontId="16" fillId="5" borderId="23" xfId="0" applyFont="1" applyFill="1" applyBorder="1" applyAlignment="1">
      <alignment horizontal="center" vertical="center"/>
    </xf>
    <xf numFmtId="49" fontId="16" fillId="5" borderId="10" xfId="0" applyNumberFormat="1" applyFont="1" applyFill="1" applyBorder="1" applyAlignment="1">
      <alignment horizontal="center" vertical="center"/>
    </xf>
    <xf numFmtId="177" fontId="15" fillId="5" borderId="8" xfId="1" applyNumberFormat="1" applyFont="1" applyFill="1" applyBorder="1" applyAlignment="1">
      <alignment horizontal="center" vertical="center" wrapText="1"/>
    </xf>
    <xf numFmtId="176" fontId="16" fillId="5" borderId="23" xfId="1" applyNumberFormat="1" applyFont="1" applyFill="1" applyBorder="1">
      <alignment vertical="center"/>
    </xf>
    <xf numFmtId="177" fontId="15" fillId="5" borderId="8" xfId="1" applyNumberFormat="1" applyFont="1" applyFill="1" applyBorder="1" applyAlignment="1">
      <alignment horizontal="center" vertical="center"/>
    </xf>
    <xf numFmtId="176" fontId="15" fillId="5" borderId="8" xfId="1" applyNumberFormat="1" applyFont="1" applyFill="1" applyBorder="1">
      <alignment vertical="center"/>
    </xf>
    <xf numFmtId="177" fontId="15" fillId="5" borderId="8" xfId="1" applyNumberFormat="1" applyFont="1" applyFill="1" applyBorder="1">
      <alignment vertical="center"/>
    </xf>
    <xf numFmtId="177" fontId="15" fillId="5" borderId="49" xfId="1" applyNumberFormat="1" applyFont="1" applyFill="1" applyBorder="1">
      <alignment vertical="center"/>
    </xf>
    <xf numFmtId="177" fontId="15" fillId="5" borderId="33" xfId="1" applyNumberFormat="1" applyFont="1" applyFill="1" applyBorder="1">
      <alignment vertical="center"/>
    </xf>
    <xf numFmtId="177" fontId="15" fillId="5" borderId="65" xfId="1" applyNumberFormat="1" applyFont="1" applyFill="1" applyBorder="1">
      <alignment vertical="center"/>
    </xf>
    <xf numFmtId="177" fontId="15" fillId="5" borderId="0" xfId="1" applyNumberFormat="1" applyFont="1" applyFill="1" applyBorder="1">
      <alignment vertical="center"/>
    </xf>
    <xf numFmtId="177" fontId="15" fillId="5" borderId="32" xfId="1" applyNumberFormat="1" applyFont="1" applyFill="1" applyBorder="1">
      <alignment vertical="center"/>
    </xf>
    <xf numFmtId="176" fontId="15" fillId="4" borderId="57" xfId="1" applyNumberFormat="1" applyFont="1" applyFill="1" applyBorder="1">
      <alignment vertical="center"/>
    </xf>
    <xf numFmtId="177" fontId="15" fillId="3" borderId="47" xfId="1" applyNumberFormat="1" applyFont="1" applyFill="1" applyBorder="1">
      <alignment vertical="center"/>
    </xf>
    <xf numFmtId="177" fontId="15" fillId="3" borderId="25" xfId="1" applyNumberFormat="1" applyFont="1" applyFill="1" applyBorder="1">
      <alignment vertical="center"/>
    </xf>
    <xf numFmtId="177" fontId="15" fillId="3" borderId="2" xfId="1" applyNumberFormat="1" applyFont="1" applyFill="1" applyBorder="1">
      <alignment vertical="center"/>
    </xf>
    <xf numFmtId="177" fontId="15" fillId="3" borderId="3" xfId="1" applyNumberFormat="1" applyFont="1" applyFill="1" applyBorder="1">
      <alignment vertical="center"/>
    </xf>
    <xf numFmtId="176" fontId="15" fillId="5" borderId="57" xfId="1" applyNumberFormat="1" applyFont="1" applyFill="1" applyBorder="1">
      <alignment vertical="center"/>
    </xf>
    <xf numFmtId="176" fontId="15" fillId="9" borderId="57" xfId="1" applyNumberFormat="1" applyFont="1" applyFill="1" applyBorder="1">
      <alignment vertical="center"/>
    </xf>
    <xf numFmtId="176" fontId="15" fillId="9" borderId="25" xfId="1" applyNumberFormat="1" applyFont="1" applyFill="1" applyBorder="1">
      <alignment vertical="center"/>
    </xf>
    <xf numFmtId="177" fontId="15" fillId="9" borderId="2" xfId="1" applyNumberFormat="1" applyFont="1" applyFill="1" applyBorder="1">
      <alignment vertical="center"/>
    </xf>
    <xf numFmtId="177" fontId="15" fillId="3" borderId="49" xfId="1" applyNumberFormat="1" applyFont="1" applyFill="1" applyBorder="1">
      <alignment vertical="center"/>
    </xf>
    <xf numFmtId="177" fontId="15" fillId="3" borderId="23" xfId="1" applyNumberFormat="1" applyFont="1" applyFill="1" applyBorder="1">
      <alignment vertical="center"/>
    </xf>
    <xf numFmtId="177" fontId="15" fillId="3" borderId="7" xfId="1" applyNumberFormat="1" applyFont="1" applyFill="1" applyBorder="1">
      <alignment vertical="center"/>
    </xf>
    <xf numFmtId="177" fontId="15" fillId="3" borderId="6" xfId="1" applyNumberFormat="1" applyFont="1" applyFill="1" applyBorder="1">
      <alignment vertical="center"/>
    </xf>
    <xf numFmtId="0" fontId="16" fillId="4" borderId="8" xfId="0" applyFont="1" applyFill="1" applyBorder="1" applyAlignment="1">
      <alignment horizontal="center" vertical="center"/>
    </xf>
    <xf numFmtId="0" fontId="16" fillId="4" borderId="10" xfId="0" applyFont="1" applyFill="1" applyBorder="1" applyAlignment="1">
      <alignment horizontal="center" vertical="center" wrapText="1"/>
    </xf>
    <xf numFmtId="0" fontId="16" fillId="4" borderId="56" xfId="0" applyFont="1" applyFill="1" applyBorder="1" applyAlignment="1">
      <alignment horizontal="center" vertical="center" wrapText="1"/>
    </xf>
    <xf numFmtId="176" fontId="15" fillId="4" borderId="56" xfId="1" applyNumberFormat="1" applyFont="1" applyFill="1" applyBorder="1" applyAlignment="1">
      <alignment vertical="center"/>
    </xf>
    <xf numFmtId="49" fontId="16" fillId="5" borderId="8" xfId="0" applyNumberFormat="1" applyFont="1" applyFill="1" applyBorder="1" applyAlignment="1">
      <alignment horizontal="center" vertical="center"/>
    </xf>
    <xf numFmtId="49" fontId="16" fillId="5" borderId="49" xfId="0" applyNumberFormat="1" applyFont="1" applyFill="1" applyBorder="1" applyAlignment="1">
      <alignment horizontal="center" vertical="center"/>
    </xf>
    <xf numFmtId="49" fontId="16" fillId="5" borderId="7" xfId="0" applyNumberFormat="1" applyFont="1" applyFill="1" applyBorder="1" applyAlignment="1">
      <alignment horizontal="center" vertical="center"/>
    </xf>
    <xf numFmtId="176" fontId="15" fillId="5" borderId="56" xfId="1" applyNumberFormat="1" applyFont="1" applyFill="1" applyBorder="1">
      <alignment vertical="center"/>
    </xf>
    <xf numFmtId="177" fontId="15" fillId="5" borderId="49" xfId="1" applyNumberFormat="1" applyFont="1" applyFill="1" applyBorder="1" applyAlignment="1">
      <alignment horizontal="center" vertical="center"/>
    </xf>
    <xf numFmtId="0" fontId="15" fillId="6" borderId="1" xfId="0" applyFont="1" applyFill="1" applyBorder="1">
      <alignment vertical="center"/>
    </xf>
    <xf numFmtId="176" fontId="15" fillId="3" borderId="2" xfId="1" applyNumberFormat="1" applyFont="1" applyFill="1" applyBorder="1">
      <alignment vertical="center"/>
    </xf>
    <xf numFmtId="177" fontId="15" fillId="3" borderId="11" xfId="1" applyNumberFormat="1" applyFont="1" applyFill="1" applyBorder="1" applyAlignment="1">
      <alignment horizontal="center" vertical="center"/>
    </xf>
    <xf numFmtId="49" fontId="15" fillId="4" borderId="1" xfId="0" applyNumberFormat="1" applyFont="1" applyFill="1" applyBorder="1" applyAlignment="1">
      <alignment horizontal="center" vertical="center"/>
    </xf>
    <xf numFmtId="49" fontId="15" fillId="4" borderId="2" xfId="0" applyNumberFormat="1" applyFont="1" applyFill="1" applyBorder="1" applyAlignment="1">
      <alignment horizontal="center" vertical="center"/>
    </xf>
    <xf numFmtId="49" fontId="15" fillId="4" borderId="25" xfId="0" applyNumberFormat="1" applyFont="1" applyFill="1" applyBorder="1" applyAlignment="1">
      <alignment horizontal="center" vertical="center"/>
    </xf>
    <xf numFmtId="0" fontId="15" fillId="5" borderId="11" xfId="0" applyFont="1" applyFill="1" applyBorder="1" applyAlignment="1">
      <alignment horizontal="center" vertical="center"/>
    </xf>
    <xf numFmtId="176" fontId="13" fillId="3" borderId="1" xfId="1" applyNumberFormat="1" applyFont="1" applyFill="1" applyBorder="1" applyAlignment="1">
      <alignment horizontal="center" vertical="center"/>
    </xf>
    <xf numFmtId="176" fontId="15" fillId="4" borderId="25" xfId="1" applyNumberFormat="1" applyFont="1" applyFill="1" applyBorder="1">
      <alignment vertical="center"/>
    </xf>
    <xf numFmtId="176" fontId="15" fillId="3" borderId="5" xfId="1" applyNumberFormat="1" applyFont="1" applyFill="1" applyBorder="1">
      <alignment vertical="center"/>
    </xf>
    <xf numFmtId="0" fontId="16" fillId="2" borderId="10" xfId="0" applyFont="1" applyFill="1" applyBorder="1" applyAlignment="1">
      <alignment horizontal="center" vertical="center"/>
    </xf>
    <xf numFmtId="0" fontId="16" fillId="2" borderId="8" xfId="0" applyFont="1" applyFill="1" applyBorder="1" applyAlignment="1">
      <alignment horizontal="center" vertical="center"/>
    </xf>
    <xf numFmtId="0" fontId="16" fillId="2" borderId="49" xfId="0" applyFont="1" applyFill="1" applyBorder="1" applyAlignment="1">
      <alignment horizontal="center" vertical="center"/>
    </xf>
    <xf numFmtId="0" fontId="16" fillId="6" borderId="7" xfId="0" applyFont="1" applyFill="1" applyBorder="1" applyAlignment="1">
      <alignment horizontal="left" vertical="center"/>
    </xf>
    <xf numFmtId="49" fontId="16" fillId="6" borderId="8" xfId="0" applyNumberFormat="1" applyFont="1" applyFill="1" applyBorder="1" applyAlignment="1">
      <alignment horizontal="center" vertical="center"/>
    </xf>
    <xf numFmtId="0" fontId="16" fillId="6" borderId="8" xfId="0" applyFont="1" applyFill="1" applyBorder="1">
      <alignment vertical="center"/>
    </xf>
    <xf numFmtId="0" fontId="16" fillId="6" borderId="7" xfId="0" applyFont="1" applyFill="1" applyBorder="1" applyAlignment="1">
      <alignment horizontal="center" vertical="center"/>
    </xf>
    <xf numFmtId="3" fontId="15" fillId="3" borderId="7" xfId="2" applyNumberFormat="1" applyFont="1" applyFill="1" applyBorder="1" applyAlignment="1">
      <alignment horizontal="center" vertical="center"/>
    </xf>
    <xf numFmtId="49" fontId="16" fillId="4" borderId="7" xfId="0" applyNumberFormat="1" applyFont="1" applyFill="1" applyBorder="1" applyAlignment="1">
      <alignment horizontal="center" vertical="center"/>
    </xf>
    <xf numFmtId="49" fontId="16" fillId="4" borderId="23" xfId="0" applyNumberFormat="1" applyFont="1" applyFill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/>
    </xf>
    <xf numFmtId="49" fontId="16" fillId="5" borderId="23" xfId="0" applyNumberFormat="1" applyFont="1" applyFill="1" applyBorder="1" applyAlignment="1">
      <alignment horizontal="center" vertical="center"/>
    </xf>
    <xf numFmtId="0" fontId="15" fillId="11" borderId="0" xfId="0" applyFont="1" applyFill="1">
      <alignment vertical="center"/>
    </xf>
    <xf numFmtId="176" fontId="15" fillId="4" borderId="11" xfId="1" applyNumberFormat="1" applyFont="1" applyFill="1" applyBorder="1">
      <alignment vertical="center"/>
    </xf>
    <xf numFmtId="176" fontId="15" fillId="4" borderId="3" xfId="1" applyNumberFormat="1" applyFont="1" applyFill="1" applyBorder="1">
      <alignment vertical="center"/>
    </xf>
    <xf numFmtId="176" fontId="13" fillId="3" borderId="56" xfId="1" applyNumberFormat="1" applyFont="1" applyFill="1" applyBorder="1" applyAlignment="1">
      <alignment horizontal="center" vertical="center" wrapText="1"/>
    </xf>
    <xf numFmtId="177" fontId="13" fillId="3" borderId="23" xfId="1" applyNumberFormat="1" applyFont="1" applyFill="1" applyBorder="1" applyAlignment="1">
      <alignment horizontal="center" vertical="center" wrapText="1"/>
    </xf>
    <xf numFmtId="177" fontId="13" fillId="3" borderId="23" xfId="1" applyNumberFormat="1" applyFont="1" applyFill="1" applyBorder="1" applyAlignment="1">
      <alignment horizontal="center" vertical="center"/>
    </xf>
    <xf numFmtId="177" fontId="13" fillId="3" borderId="8" xfId="1" applyNumberFormat="1" applyFont="1" applyFill="1" applyBorder="1" applyAlignment="1">
      <alignment horizontal="center" vertical="center"/>
    </xf>
    <xf numFmtId="177" fontId="13" fillId="3" borderId="12" xfId="1" applyNumberFormat="1" applyFont="1" applyFill="1" applyBorder="1" applyAlignment="1">
      <alignment horizontal="center" vertical="center"/>
    </xf>
    <xf numFmtId="176" fontId="13" fillId="5" borderId="7" xfId="1" applyNumberFormat="1" applyFont="1" applyFill="1" applyBorder="1" applyAlignment="1">
      <alignment horizontal="center" vertical="center" wrapText="1"/>
    </xf>
    <xf numFmtId="177" fontId="13" fillId="5" borderId="23" xfId="1" applyNumberFormat="1" applyFont="1" applyFill="1" applyBorder="1" applyAlignment="1">
      <alignment horizontal="center" vertical="center" wrapText="1"/>
    </xf>
    <xf numFmtId="176" fontId="13" fillId="5" borderId="56" xfId="1" applyNumberFormat="1" applyFont="1" applyFill="1" applyBorder="1" applyAlignment="1">
      <alignment horizontal="center" vertical="center" wrapText="1"/>
    </xf>
    <xf numFmtId="0" fontId="13" fillId="0" borderId="9" xfId="0" applyFont="1" applyBorder="1">
      <alignment vertical="center"/>
    </xf>
    <xf numFmtId="0" fontId="15" fillId="0" borderId="11" xfId="0" applyFont="1" applyBorder="1" applyAlignment="1">
      <alignment horizontal="center" vertical="center"/>
    </xf>
    <xf numFmtId="0" fontId="15" fillId="2" borderId="57" xfId="0" applyFont="1" applyFill="1" applyBorder="1" applyAlignment="1">
      <alignment horizontal="center" vertical="center"/>
    </xf>
    <xf numFmtId="0" fontId="15" fillId="6" borderId="57" xfId="0" applyFont="1" applyFill="1" applyBorder="1" applyAlignment="1">
      <alignment horizontal="center" vertical="center"/>
    </xf>
    <xf numFmtId="176" fontId="15" fillId="3" borderId="25" xfId="1" applyNumberFormat="1" applyFont="1" applyFill="1" applyBorder="1">
      <alignment vertical="center"/>
    </xf>
    <xf numFmtId="177" fontId="15" fillId="3" borderId="63" xfId="1" applyNumberFormat="1" applyFont="1" applyFill="1" applyBorder="1" applyAlignment="1">
      <alignment horizontal="center" vertical="center"/>
    </xf>
    <xf numFmtId="176" fontId="15" fillId="3" borderId="57" xfId="1" applyNumberFormat="1" applyFont="1" applyFill="1" applyBorder="1">
      <alignment vertical="center"/>
    </xf>
    <xf numFmtId="177" fontId="15" fillId="3" borderId="63" xfId="1" applyNumberFormat="1" applyFont="1" applyFill="1" applyBorder="1">
      <alignment vertical="center"/>
    </xf>
    <xf numFmtId="177" fontId="15" fillId="3" borderId="57" xfId="1" applyNumberFormat="1" applyFont="1" applyFill="1" applyBorder="1">
      <alignment vertical="center"/>
    </xf>
    <xf numFmtId="177" fontId="15" fillId="3" borderId="14" xfId="1" applyNumberFormat="1" applyFont="1" applyFill="1" applyBorder="1">
      <alignment vertical="center"/>
    </xf>
    <xf numFmtId="0" fontId="15" fillId="4" borderId="2" xfId="0" applyFont="1" applyFill="1" applyBorder="1" applyAlignment="1">
      <alignment horizontal="center" vertical="center"/>
    </xf>
    <xf numFmtId="0" fontId="15" fillId="4" borderId="47" xfId="0" applyFont="1" applyFill="1" applyBorder="1" applyAlignment="1">
      <alignment horizontal="center" vertical="center"/>
    </xf>
    <xf numFmtId="0" fontId="15" fillId="4" borderId="1" xfId="0" applyFont="1" applyFill="1" applyBorder="1">
      <alignment vertical="center"/>
    </xf>
    <xf numFmtId="177" fontId="15" fillId="4" borderId="1" xfId="0" applyNumberFormat="1" applyFont="1" applyFill="1" applyBorder="1">
      <alignment vertical="center"/>
    </xf>
    <xf numFmtId="177" fontId="15" fillId="4" borderId="1" xfId="1" applyNumberFormat="1" applyFont="1" applyFill="1" applyBorder="1">
      <alignment vertical="center"/>
    </xf>
    <xf numFmtId="177" fontId="15" fillId="4" borderId="57" xfId="1" applyNumberFormat="1" applyFont="1" applyFill="1" applyBorder="1" applyAlignment="1">
      <alignment horizontal="center" vertical="center"/>
    </xf>
    <xf numFmtId="0" fontId="15" fillId="5" borderId="5" xfId="0" applyFont="1" applyFill="1" applyBorder="1" applyAlignment="1">
      <alignment horizontal="center" vertical="center"/>
    </xf>
    <xf numFmtId="176" fontId="15" fillId="5" borderId="2" xfId="1" applyNumberFormat="1" applyFont="1" applyFill="1" applyBorder="1" applyAlignment="1">
      <alignment horizontal="center" vertical="center"/>
    </xf>
    <xf numFmtId="177" fontId="15" fillId="5" borderId="54" xfId="1" applyNumberFormat="1" applyFont="1" applyFill="1" applyBorder="1" applyAlignment="1">
      <alignment horizontal="center" vertical="center"/>
    </xf>
    <xf numFmtId="177" fontId="15" fillId="5" borderId="25" xfId="1" applyNumberFormat="1" applyFont="1" applyFill="1" applyBorder="1" applyAlignment="1">
      <alignment horizontal="center" vertical="center"/>
    </xf>
    <xf numFmtId="177" fontId="15" fillId="5" borderId="11" xfId="1" applyNumberFormat="1" applyFont="1" applyFill="1" applyBorder="1" applyAlignment="1">
      <alignment horizontal="center" vertical="center"/>
    </xf>
    <xf numFmtId="177" fontId="15" fillId="5" borderId="57" xfId="1" applyNumberFormat="1" applyFont="1" applyFill="1" applyBorder="1" applyAlignment="1">
      <alignment horizontal="center" vertical="center"/>
    </xf>
    <xf numFmtId="176" fontId="15" fillId="5" borderId="2" xfId="1" applyNumberFormat="1" applyFont="1" applyFill="1" applyBorder="1">
      <alignment vertical="center"/>
    </xf>
    <xf numFmtId="177" fontId="15" fillId="5" borderId="11" xfId="0" applyNumberFormat="1" applyFont="1" applyFill="1" applyBorder="1" applyAlignment="1">
      <alignment horizontal="center" vertical="center"/>
    </xf>
    <xf numFmtId="0" fontId="15" fillId="5" borderId="1" xfId="0" applyFont="1" applyFill="1" applyBorder="1">
      <alignment vertical="center"/>
    </xf>
    <xf numFmtId="177" fontId="15" fillId="5" borderId="1" xfId="0" applyNumberFormat="1" applyFont="1" applyFill="1" applyBorder="1" applyAlignment="1">
      <alignment horizontal="center" vertical="center"/>
    </xf>
    <xf numFmtId="177" fontId="15" fillId="5" borderId="25" xfId="0" applyNumberFormat="1" applyFont="1" applyFill="1" applyBorder="1" applyAlignment="1">
      <alignment horizontal="center" vertical="center"/>
    </xf>
    <xf numFmtId="177" fontId="15" fillId="5" borderId="57" xfId="0" applyNumberFormat="1" applyFont="1" applyFill="1" applyBorder="1" applyAlignment="1">
      <alignment horizontal="center" vertical="center"/>
    </xf>
    <xf numFmtId="177" fontId="15" fillId="5" borderId="47" xfId="0" applyNumberFormat="1" applyFont="1" applyFill="1" applyBorder="1" applyAlignment="1">
      <alignment horizontal="center" vertical="center"/>
    </xf>
    <xf numFmtId="177" fontId="15" fillId="5" borderId="3" xfId="0" applyNumberFormat="1" applyFont="1" applyFill="1" applyBorder="1" applyAlignment="1">
      <alignment horizontal="center" vertical="center"/>
    </xf>
    <xf numFmtId="0" fontId="15" fillId="4" borderId="2" xfId="0" applyFont="1" applyFill="1" applyBorder="1">
      <alignment vertical="center"/>
    </xf>
    <xf numFmtId="177" fontId="15" fillId="4" borderId="25" xfId="0" applyNumberFormat="1" applyFont="1" applyFill="1" applyBorder="1">
      <alignment vertical="center"/>
    </xf>
    <xf numFmtId="0" fontId="15" fillId="9" borderId="57" xfId="0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center" vertical="center"/>
    </xf>
    <xf numFmtId="176" fontId="15" fillId="4" borderId="11" xfId="1" applyNumberFormat="1" applyFont="1" applyFill="1" applyBorder="1" applyAlignment="1">
      <alignment horizontal="right" vertical="center"/>
    </xf>
    <xf numFmtId="177" fontId="15" fillId="5" borderId="66" xfId="0" applyNumberFormat="1" applyFont="1" applyFill="1" applyBorder="1" applyAlignment="1">
      <alignment horizontal="center" vertical="center"/>
    </xf>
    <xf numFmtId="177" fontId="15" fillId="5" borderId="33" xfId="0" applyNumberFormat="1" applyFont="1" applyFill="1" applyBorder="1" applyAlignment="1">
      <alignment horizontal="center" vertical="center"/>
    </xf>
    <xf numFmtId="177" fontId="15" fillId="5" borderId="65" xfId="0" applyNumberFormat="1" applyFont="1" applyFill="1" applyBorder="1" applyAlignment="1">
      <alignment horizontal="center" vertical="center"/>
    </xf>
    <xf numFmtId="177" fontId="15" fillId="5" borderId="0" xfId="0" applyNumberFormat="1" applyFont="1" applyFill="1" applyAlignment="1">
      <alignment horizontal="center" vertical="center"/>
    </xf>
    <xf numFmtId="177" fontId="15" fillId="5" borderId="32" xfId="0" applyNumberFormat="1" applyFont="1" applyFill="1" applyBorder="1" applyAlignment="1">
      <alignment horizontal="center" vertical="center"/>
    </xf>
    <xf numFmtId="0" fontId="15" fillId="9" borderId="11" xfId="0" applyFont="1" applyFill="1" applyBorder="1" applyAlignment="1">
      <alignment horizontal="center" vertical="center"/>
    </xf>
    <xf numFmtId="180" fontId="16" fillId="9" borderId="1" xfId="0" applyNumberFormat="1" applyFont="1" applyFill="1" applyBorder="1" applyAlignment="1">
      <alignment horizontal="center" vertical="center" wrapText="1"/>
    </xf>
    <xf numFmtId="177" fontId="15" fillId="9" borderId="1" xfId="0" applyNumberFormat="1" applyFont="1" applyFill="1" applyBorder="1" applyAlignment="1">
      <alignment horizontal="center" vertical="center"/>
    </xf>
    <xf numFmtId="176" fontId="15" fillId="9" borderId="3" xfId="1" applyNumberFormat="1" applyFont="1" applyFill="1" applyBorder="1">
      <alignment vertical="center"/>
    </xf>
    <xf numFmtId="176" fontId="15" fillId="9" borderId="5" xfId="1" applyNumberFormat="1" applyFont="1" applyFill="1" applyBorder="1">
      <alignment vertical="center"/>
    </xf>
    <xf numFmtId="177" fontId="15" fillId="9" borderId="63" xfId="1" applyNumberFormat="1" applyFont="1" applyFill="1" applyBorder="1" applyAlignment="1">
      <alignment horizontal="center" vertical="center"/>
    </xf>
    <xf numFmtId="177" fontId="15" fillId="9" borderId="57" xfId="1" applyNumberFormat="1" applyFont="1" applyFill="1" applyBorder="1" applyAlignment="1">
      <alignment horizontal="center" vertical="center"/>
    </xf>
    <xf numFmtId="177" fontId="15" fillId="9" borderId="14" xfId="1" applyNumberFormat="1" applyFont="1" applyFill="1" applyBorder="1" applyAlignment="1">
      <alignment horizontal="center" vertical="center"/>
    </xf>
    <xf numFmtId="49" fontId="15" fillId="9" borderId="25" xfId="0" applyNumberFormat="1" applyFont="1" applyFill="1" applyBorder="1" applyAlignment="1">
      <alignment horizontal="center" vertical="center"/>
    </xf>
    <xf numFmtId="0" fontId="15" fillId="9" borderId="47" xfId="0" applyFont="1" applyFill="1" applyBorder="1" applyAlignment="1">
      <alignment horizontal="center" vertical="center"/>
    </xf>
    <xf numFmtId="0" fontId="15" fillId="9" borderId="5" xfId="0" applyFont="1" applyFill="1" applyBorder="1" applyAlignment="1">
      <alignment horizontal="center" vertical="center"/>
    </xf>
    <xf numFmtId="49" fontId="15" fillId="9" borderId="11" xfId="0" applyNumberFormat="1" applyFont="1" applyFill="1" applyBorder="1" applyAlignment="1">
      <alignment horizontal="center" vertical="center"/>
    </xf>
    <xf numFmtId="49" fontId="15" fillId="9" borderId="1" xfId="0" applyNumberFormat="1" applyFont="1" applyFill="1" applyBorder="1" applyAlignment="1">
      <alignment horizontal="center" vertical="center"/>
    </xf>
    <xf numFmtId="49" fontId="15" fillId="9" borderId="47" xfId="0" applyNumberFormat="1" applyFont="1" applyFill="1" applyBorder="1" applyAlignment="1">
      <alignment horizontal="center" vertical="center"/>
    </xf>
    <xf numFmtId="49" fontId="15" fillId="9" borderId="2" xfId="0" applyNumberFormat="1" applyFont="1" applyFill="1" applyBorder="1" applyAlignment="1">
      <alignment horizontal="center" vertical="center"/>
    </xf>
    <xf numFmtId="177" fontId="15" fillId="9" borderId="63" xfId="1" applyNumberFormat="1" applyFont="1" applyFill="1" applyBorder="1">
      <alignment vertical="center"/>
    </xf>
    <xf numFmtId="177" fontId="15" fillId="9" borderId="57" xfId="1" applyNumberFormat="1" applyFont="1" applyFill="1" applyBorder="1">
      <alignment vertical="center"/>
    </xf>
    <xf numFmtId="177" fontId="15" fillId="9" borderId="14" xfId="1" applyNumberFormat="1" applyFont="1" applyFill="1" applyBorder="1">
      <alignment vertical="center"/>
    </xf>
    <xf numFmtId="177" fontId="15" fillId="9" borderId="11" xfId="0" applyNumberFormat="1" applyFont="1" applyFill="1" applyBorder="1" applyAlignment="1">
      <alignment horizontal="center" vertical="center"/>
    </xf>
    <xf numFmtId="177" fontId="15" fillId="9" borderId="25" xfId="0" applyNumberFormat="1" applyFont="1" applyFill="1" applyBorder="1" applyAlignment="1">
      <alignment horizontal="center" vertical="center"/>
    </xf>
    <xf numFmtId="177" fontId="15" fillId="4" borderId="1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77" fontId="15" fillId="9" borderId="57" xfId="0" applyNumberFormat="1" applyFont="1" applyFill="1" applyBorder="1" applyAlignment="1">
      <alignment horizontal="center" vertical="center"/>
    </xf>
    <xf numFmtId="177" fontId="15" fillId="9" borderId="47" xfId="0" applyNumberFormat="1" applyFont="1" applyFill="1" applyBorder="1" applyAlignment="1">
      <alignment horizontal="center" vertical="center"/>
    </xf>
    <xf numFmtId="177" fontId="15" fillId="9" borderId="3" xfId="0" applyNumberFormat="1" applyFont="1" applyFill="1" applyBorder="1" applyAlignment="1">
      <alignment horizontal="center" vertical="center"/>
    </xf>
    <xf numFmtId="177" fontId="15" fillId="11" borderId="1" xfId="0" applyNumberFormat="1" applyFont="1" applyFill="1" applyBorder="1" applyAlignment="1">
      <alignment horizontal="center" vertical="center"/>
    </xf>
    <xf numFmtId="0" fontId="15" fillId="11" borderId="25" xfId="0" applyFont="1" applyFill="1" applyBorder="1">
      <alignment vertical="center"/>
    </xf>
    <xf numFmtId="177" fontId="15" fillId="11" borderId="25" xfId="0" applyNumberFormat="1" applyFont="1" applyFill="1" applyBorder="1" applyAlignment="1">
      <alignment horizontal="center" vertical="center"/>
    </xf>
    <xf numFmtId="177" fontId="15" fillId="11" borderId="57" xfId="0" applyNumberFormat="1" applyFont="1" applyFill="1" applyBorder="1" applyAlignment="1">
      <alignment horizontal="center" vertical="center"/>
    </xf>
    <xf numFmtId="177" fontId="15" fillId="11" borderId="47" xfId="0" applyNumberFormat="1" applyFont="1" applyFill="1" applyBorder="1" applyAlignment="1">
      <alignment horizontal="center" vertical="center"/>
    </xf>
    <xf numFmtId="177" fontId="15" fillId="11" borderId="3" xfId="0" applyNumberFormat="1" applyFont="1" applyFill="1" applyBorder="1" applyAlignment="1">
      <alignment horizontal="center" vertical="center"/>
    </xf>
    <xf numFmtId="176" fontId="13" fillId="3" borderId="1" xfId="1" applyNumberFormat="1" applyFont="1" applyFill="1" applyBorder="1">
      <alignment vertical="center"/>
    </xf>
    <xf numFmtId="177" fontId="15" fillId="4" borderId="2" xfId="1" applyNumberFormat="1" applyFont="1" applyFill="1" applyBorder="1">
      <alignment vertical="center"/>
    </xf>
    <xf numFmtId="0" fontId="15" fillId="9" borderId="25" xfId="0" applyFont="1" applyFill="1" applyBorder="1" applyAlignment="1">
      <alignment horizontal="center" vertical="center" wrapText="1"/>
    </xf>
    <xf numFmtId="0" fontId="15" fillId="9" borderId="25" xfId="0" applyFont="1" applyFill="1" applyBorder="1" applyAlignment="1">
      <alignment horizontal="right" vertical="center"/>
    </xf>
    <xf numFmtId="176" fontId="15" fillId="9" borderId="2" xfId="1" applyNumberFormat="1" applyFont="1" applyFill="1" applyBorder="1" applyAlignment="1">
      <alignment horizontal="center" vertical="center"/>
    </xf>
    <xf numFmtId="176" fontId="15" fillId="9" borderId="1" xfId="1" applyNumberFormat="1" applyFont="1" applyFill="1" applyBorder="1" applyAlignment="1">
      <alignment horizontal="center" vertical="center"/>
    </xf>
    <xf numFmtId="176" fontId="13" fillId="9" borderId="1" xfId="1" applyNumberFormat="1" applyFont="1" applyFill="1" applyBorder="1">
      <alignment vertical="center"/>
    </xf>
    <xf numFmtId="176" fontId="13" fillId="9" borderId="1" xfId="1" applyNumberFormat="1" applyFont="1" applyFill="1" applyBorder="1" applyAlignment="1">
      <alignment horizontal="center" vertical="center"/>
    </xf>
    <xf numFmtId="177" fontId="15" fillId="9" borderId="2" xfId="0" applyNumberFormat="1" applyFont="1" applyFill="1" applyBorder="1" applyAlignment="1">
      <alignment horizontal="center" vertical="center"/>
    </xf>
    <xf numFmtId="0" fontId="15" fillId="6" borderId="25" xfId="0" applyFont="1" applyFill="1" applyBorder="1" applyAlignment="1">
      <alignment horizontal="center" vertical="center"/>
    </xf>
    <xf numFmtId="177" fontId="15" fillId="6" borderId="11" xfId="0" applyNumberFormat="1" applyFont="1" applyFill="1" applyBorder="1" applyAlignment="1">
      <alignment horizontal="center" vertical="center"/>
    </xf>
    <xf numFmtId="0" fontId="15" fillId="4" borderId="54" xfId="0" applyFont="1" applyFill="1" applyBorder="1" applyAlignment="1">
      <alignment horizontal="center" vertical="center"/>
    </xf>
    <xf numFmtId="0" fontId="15" fillId="2" borderId="11" xfId="0" applyFont="1" applyFill="1" applyBorder="1" applyAlignment="1">
      <alignment horizontal="center" vertical="center"/>
    </xf>
    <xf numFmtId="182" fontId="15" fillId="6" borderId="1" xfId="0" applyNumberFormat="1" applyFont="1" applyFill="1" applyBorder="1" applyAlignment="1">
      <alignment horizontal="center" vertical="center"/>
    </xf>
    <xf numFmtId="183" fontId="15" fillId="3" borderId="54" xfId="1" applyNumberFormat="1" applyFont="1" applyFill="1" applyBorder="1" applyAlignment="1">
      <alignment horizontal="center" vertical="center"/>
    </xf>
    <xf numFmtId="0" fontId="15" fillId="0" borderId="27" xfId="0" applyFont="1" applyBorder="1" applyAlignment="1">
      <alignment horizontal="center" vertical="center"/>
    </xf>
    <xf numFmtId="0" fontId="15" fillId="2" borderId="59" xfId="0" applyFont="1" applyFill="1" applyBorder="1" applyAlignment="1">
      <alignment horizontal="center" vertical="center"/>
    </xf>
    <xf numFmtId="0" fontId="15" fillId="2" borderId="18" xfId="0" applyFont="1" applyFill="1" applyBorder="1" applyAlignment="1">
      <alignment horizontal="center" vertical="center"/>
    </xf>
    <xf numFmtId="0" fontId="15" fillId="2" borderId="18" xfId="0" applyFont="1" applyFill="1" applyBorder="1">
      <alignment vertical="center"/>
    </xf>
    <xf numFmtId="0" fontId="15" fillId="2" borderId="52" xfId="0" applyFont="1" applyFill="1" applyBorder="1">
      <alignment vertical="center"/>
    </xf>
    <xf numFmtId="0" fontId="15" fillId="6" borderId="59" xfId="0" applyFont="1" applyFill="1" applyBorder="1" applyAlignment="1">
      <alignment horizontal="center" vertical="center"/>
    </xf>
    <xf numFmtId="0" fontId="15" fillId="6" borderId="18" xfId="0" applyFont="1" applyFill="1" applyBorder="1" applyAlignment="1">
      <alignment horizontal="center" vertical="center"/>
    </xf>
    <xf numFmtId="180" fontId="16" fillId="6" borderId="77" xfId="0" applyNumberFormat="1" applyFont="1" applyFill="1" applyBorder="1" applyAlignment="1">
      <alignment horizontal="center" vertical="center" wrapText="1"/>
    </xf>
    <xf numFmtId="177" fontId="15" fillId="6" borderId="18" xfId="0" applyNumberFormat="1" applyFont="1" applyFill="1" applyBorder="1" applyAlignment="1">
      <alignment horizontal="center" vertical="center"/>
    </xf>
    <xf numFmtId="176" fontId="15" fillId="6" borderId="19" xfId="1" applyNumberFormat="1" applyFont="1" applyFill="1" applyBorder="1">
      <alignment vertical="center"/>
    </xf>
    <xf numFmtId="176" fontId="15" fillId="3" borderId="17" xfId="1" applyNumberFormat="1" applyFont="1" applyFill="1" applyBorder="1">
      <alignment vertical="center"/>
    </xf>
    <xf numFmtId="176" fontId="15" fillId="3" borderId="26" xfId="1" applyNumberFormat="1" applyFont="1" applyFill="1" applyBorder="1">
      <alignment vertical="center"/>
    </xf>
    <xf numFmtId="177" fontId="15" fillId="3" borderId="78" xfId="1" applyNumberFormat="1" applyFont="1" applyFill="1" applyBorder="1" applyAlignment="1">
      <alignment horizontal="center" vertical="center"/>
    </xf>
    <xf numFmtId="177" fontId="15" fillId="3" borderId="26" xfId="1" applyNumberFormat="1" applyFont="1" applyFill="1" applyBorder="1" applyAlignment="1">
      <alignment horizontal="center" vertical="center"/>
    </xf>
    <xf numFmtId="176" fontId="15" fillId="3" borderId="54" xfId="1" applyNumberFormat="1" applyFont="1" applyFill="1" applyBorder="1" applyAlignment="1">
      <alignment horizontal="center" vertical="center"/>
    </xf>
    <xf numFmtId="176" fontId="15" fillId="3" borderId="18" xfId="1" applyNumberFormat="1" applyFont="1" applyFill="1" applyBorder="1">
      <alignment vertical="center"/>
    </xf>
    <xf numFmtId="176" fontId="15" fillId="3" borderId="18" xfId="1" applyNumberFormat="1" applyFont="1" applyFill="1" applyBorder="1" applyAlignment="1">
      <alignment horizontal="center" vertical="center"/>
    </xf>
    <xf numFmtId="177" fontId="15" fillId="3" borderId="78" xfId="1" applyNumberFormat="1" applyFont="1" applyFill="1" applyBorder="1">
      <alignment vertical="center"/>
    </xf>
    <xf numFmtId="177" fontId="15" fillId="3" borderId="18" xfId="1" applyNumberFormat="1" applyFont="1" applyFill="1" applyBorder="1">
      <alignment vertical="center"/>
    </xf>
    <xf numFmtId="177" fontId="15" fillId="3" borderId="26" xfId="1" applyNumberFormat="1" applyFont="1" applyFill="1" applyBorder="1">
      <alignment vertical="center"/>
    </xf>
    <xf numFmtId="177" fontId="15" fillId="3" borderId="59" xfId="1" applyNumberFormat="1" applyFont="1" applyFill="1" applyBorder="1">
      <alignment vertical="center"/>
    </xf>
    <xf numFmtId="0" fontId="15" fillId="4" borderId="26" xfId="0" applyFont="1" applyFill="1" applyBorder="1" applyAlignment="1">
      <alignment horizontal="center" vertical="center" wrapText="1"/>
    </xf>
    <xf numFmtId="49" fontId="15" fillId="4" borderId="18" xfId="0" applyNumberFormat="1" applyFont="1" applyFill="1" applyBorder="1" applyAlignment="1">
      <alignment horizontal="center" vertical="center" wrapText="1"/>
    </xf>
    <xf numFmtId="49" fontId="15" fillId="4" borderId="26" xfId="0" applyNumberFormat="1" applyFont="1" applyFill="1" applyBorder="1" applyAlignment="1">
      <alignment horizontal="center" vertical="center"/>
    </xf>
    <xf numFmtId="0" fontId="15" fillId="4" borderId="27" xfId="0" applyFont="1" applyFill="1" applyBorder="1" applyAlignment="1">
      <alignment horizontal="center" vertical="center" wrapText="1"/>
    </xf>
    <xf numFmtId="49" fontId="15" fillId="4" borderId="48" xfId="0" applyNumberFormat="1" applyFont="1" applyFill="1" applyBorder="1" applyAlignment="1">
      <alignment horizontal="center" vertical="center" wrapText="1"/>
    </xf>
    <xf numFmtId="176" fontId="15" fillId="4" borderId="26" xfId="1" applyNumberFormat="1" applyFont="1" applyFill="1" applyBorder="1" applyAlignment="1">
      <alignment horizontal="center" vertical="center"/>
    </xf>
    <xf numFmtId="177" fontId="15" fillId="4" borderId="27" xfId="1" applyNumberFormat="1" applyFont="1" applyFill="1" applyBorder="1" applyAlignment="1">
      <alignment horizontal="center" vertical="center"/>
    </xf>
    <xf numFmtId="177" fontId="15" fillId="4" borderId="18" xfId="0" applyNumberFormat="1" applyFont="1" applyFill="1" applyBorder="1" applyAlignment="1">
      <alignment horizontal="center" vertical="center"/>
    </xf>
    <xf numFmtId="0" fontId="15" fillId="4" borderId="18" xfId="0" applyFont="1" applyFill="1" applyBorder="1" applyAlignment="1">
      <alignment horizontal="center" vertical="center"/>
    </xf>
    <xf numFmtId="176" fontId="15" fillId="4" borderId="18" xfId="1" applyNumberFormat="1" applyFont="1" applyFill="1" applyBorder="1">
      <alignment vertical="center"/>
    </xf>
    <xf numFmtId="177" fontId="15" fillId="4" borderId="20" xfId="1" applyNumberFormat="1" applyFont="1" applyFill="1" applyBorder="1">
      <alignment vertical="center"/>
    </xf>
    <xf numFmtId="176" fontId="15" fillId="4" borderId="52" xfId="1" applyNumberFormat="1" applyFont="1" applyFill="1" applyBorder="1" applyAlignment="1">
      <alignment horizontal="center" vertical="center"/>
    </xf>
    <xf numFmtId="176" fontId="15" fillId="4" borderId="59" xfId="1" applyNumberFormat="1" applyFont="1" applyFill="1" applyBorder="1">
      <alignment vertical="center"/>
    </xf>
    <xf numFmtId="177" fontId="15" fillId="4" borderId="26" xfId="1" applyNumberFormat="1" applyFont="1" applyFill="1" applyBorder="1" applyAlignment="1">
      <alignment horizontal="center" vertical="center"/>
    </xf>
    <xf numFmtId="177" fontId="15" fillId="4" borderId="59" xfId="1" applyNumberFormat="1" applyFont="1" applyFill="1" applyBorder="1" applyAlignment="1">
      <alignment horizontal="center" vertical="center"/>
    </xf>
    <xf numFmtId="177" fontId="15" fillId="4" borderId="18" xfId="1" applyNumberFormat="1" applyFont="1" applyFill="1" applyBorder="1" applyAlignment="1">
      <alignment horizontal="center" vertical="center"/>
    </xf>
    <xf numFmtId="0" fontId="15" fillId="5" borderId="17" xfId="0" applyFont="1" applyFill="1" applyBorder="1" applyAlignment="1">
      <alignment horizontal="center" vertical="center"/>
    </xf>
    <xf numFmtId="0" fontId="15" fillId="5" borderId="27" xfId="0" applyFont="1" applyFill="1" applyBorder="1" applyAlignment="1">
      <alignment horizontal="center" vertical="center"/>
    </xf>
    <xf numFmtId="49" fontId="17" fillId="5" borderId="27" xfId="0" applyNumberFormat="1" applyFont="1" applyFill="1" applyBorder="1" applyAlignment="1">
      <alignment horizontal="center" vertical="center"/>
    </xf>
    <xf numFmtId="49" fontId="15" fillId="5" borderId="18" xfId="0" applyNumberFormat="1" applyFont="1" applyFill="1" applyBorder="1" applyAlignment="1">
      <alignment horizontal="center" vertical="center"/>
    </xf>
    <xf numFmtId="49" fontId="17" fillId="5" borderId="26" xfId="0" applyNumberFormat="1" applyFont="1" applyFill="1" applyBorder="1" applyAlignment="1">
      <alignment horizontal="center" vertical="center"/>
    </xf>
    <xf numFmtId="49" fontId="17" fillId="5" borderId="18" xfId="0" applyNumberFormat="1" applyFont="1" applyFill="1" applyBorder="1" applyAlignment="1">
      <alignment horizontal="center" vertical="center"/>
    </xf>
    <xf numFmtId="49" fontId="17" fillId="5" borderId="52" xfId="0" applyNumberFormat="1" applyFont="1" applyFill="1" applyBorder="1" applyAlignment="1">
      <alignment horizontal="center" vertical="center"/>
    </xf>
    <xf numFmtId="49" fontId="17" fillId="5" borderId="20" xfId="0" applyNumberFormat="1" applyFont="1" applyFill="1" applyBorder="1" applyAlignment="1">
      <alignment horizontal="center" vertical="center"/>
    </xf>
    <xf numFmtId="176" fontId="15" fillId="5" borderId="20" xfId="1" applyNumberFormat="1" applyFont="1" applyFill="1" applyBorder="1" applyAlignment="1">
      <alignment horizontal="center" vertical="center"/>
    </xf>
    <xf numFmtId="179" fontId="15" fillId="5" borderId="52" xfId="1" applyNumberFormat="1" applyFont="1" applyFill="1" applyBorder="1" applyAlignment="1">
      <alignment horizontal="center" vertical="center"/>
    </xf>
    <xf numFmtId="177" fontId="15" fillId="5" borderId="26" xfId="1" applyNumberFormat="1" applyFont="1" applyFill="1" applyBorder="1" applyAlignment="1">
      <alignment horizontal="center" vertical="center"/>
    </xf>
    <xf numFmtId="177" fontId="15" fillId="5" borderId="27" xfId="1" applyNumberFormat="1" applyFont="1" applyFill="1" applyBorder="1" applyAlignment="1">
      <alignment horizontal="center" vertical="center"/>
    </xf>
    <xf numFmtId="177" fontId="15" fillId="5" borderId="59" xfId="1" applyNumberFormat="1" applyFont="1" applyFill="1" applyBorder="1" applyAlignment="1">
      <alignment horizontal="center" vertical="center"/>
    </xf>
    <xf numFmtId="177" fontId="15" fillId="5" borderId="48" xfId="1" applyNumberFormat="1" applyFont="1" applyFill="1" applyBorder="1" applyAlignment="1">
      <alignment horizontal="center" vertical="center"/>
    </xf>
    <xf numFmtId="177" fontId="15" fillId="5" borderId="27" xfId="0" applyNumberFormat="1" applyFont="1" applyFill="1" applyBorder="1" applyAlignment="1">
      <alignment horizontal="center" vertical="center"/>
    </xf>
    <xf numFmtId="176" fontId="15" fillId="5" borderId="18" xfId="1" applyNumberFormat="1" applyFont="1" applyFill="1" applyBorder="1">
      <alignment vertical="center"/>
    </xf>
    <xf numFmtId="177" fontId="15" fillId="5" borderId="18" xfId="0" applyNumberFormat="1" applyFont="1" applyFill="1" applyBorder="1" applyAlignment="1">
      <alignment horizontal="center" vertical="center"/>
    </xf>
    <xf numFmtId="0" fontId="15" fillId="5" borderId="18" xfId="0" applyFont="1" applyFill="1" applyBorder="1">
      <alignment vertical="center"/>
    </xf>
    <xf numFmtId="177" fontId="15" fillId="5" borderId="26" xfId="0" applyNumberFormat="1" applyFont="1" applyFill="1" applyBorder="1" applyAlignment="1">
      <alignment horizontal="center" vertical="center"/>
    </xf>
    <xf numFmtId="177" fontId="15" fillId="5" borderId="59" xfId="0" applyNumberFormat="1" applyFont="1" applyFill="1" applyBorder="1" applyAlignment="1">
      <alignment horizontal="center" vertical="center"/>
    </xf>
    <xf numFmtId="177" fontId="15" fillId="5" borderId="52" xfId="0" applyNumberFormat="1" applyFont="1" applyFill="1" applyBorder="1" applyAlignment="1">
      <alignment horizontal="center" vertical="center"/>
    </xf>
    <xf numFmtId="177" fontId="15" fillId="5" borderId="19" xfId="0" applyNumberFormat="1" applyFont="1" applyFill="1" applyBorder="1" applyAlignment="1">
      <alignment horizontal="center" vertical="center"/>
    </xf>
    <xf numFmtId="0" fontId="15" fillId="0" borderId="26" xfId="0" applyFont="1" applyBorder="1">
      <alignment vertical="center"/>
    </xf>
    <xf numFmtId="180" fontId="16" fillId="6" borderId="1" xfId="0" applyNumberFormat="1" applyFont="1" applyFill="1" applyBorder="1" applyAlignment="1">
      <alignment horizontal="center" vertical="center" wrapText="1"/>
    </xf>
    <xf numFmtId="0" fontId="15" fillId="11" borderId="11" xfId="0" applyFont="1" applyFill="1" applyBorder="1" applyAlignment="1">
      <alignment horizontal="center" vertical="center"/>
    </xf>
    <xf numFmtId="0" fontId="15" fillId="11" borderId="57" xfId="0" applyFont="1" applyFill="1" applyBorder="1" applyAlignment="1">
      <alignment horizontal="center" vertical="center"/>
    </xf>
    <xf numFmtId="0" fontId="15" fillId="11" borderId="1" xfId="0" applyFont="1" applyFill="1" applyBorder="1" applyAlignment="1">
      <alignment horizontal="center" vertical="center"/>
    </xf>
    <xf numFmtId="0" fontId="15" fillId="11" borderId="1" xfId="0" applyFont="1" applyFill="1" applyBorder="1">
      <alignment vertical="center"/>
    </xf>
    <xf numFmtId="0" fontId="15" fillId="11" borderId="47" xfId="0" applyFont="1" applyFill="1" applyBorder="1">
      <alignment vertical="center"/>
    </xf>
    <xf numFmtId="0" fontId="15" fillId="11" borderId="25" xfId="0" applyFont="1" applyFill="1" applyBorder="1" applyAlignment="1">
      <alignment horizontal="center" vertical="center" wrapText="1"/>
    </xf>
    <xf numFmtId="0" fontId="15" fillId="11" borderId="1" xfId="0" applyFont="1" applyFill="1" applyBorder="1" applyAlignment="1">
      <alignment horizontal="center" vertical="center" wrapText="1"/>
    </xf>
    <xf numFmtId="180" fontId="16" fillId="11" borderId="1" xfId="0" applyNumberFormat="1" applyFont="1" applyFill="1" applyBorder="1" applyAlignment="1">
      <alignment horizontal="center" vertical="center" wrapText="1"/>
    </xf>
    <xf numFmtId="177" fontId="15" fillId="11" borderId="11" xfId="0" applyNumberFormat="1" applyFont="1" applyFill="1" applyBorder="1" applyAlignment="1">
      <alignment horizontal="center" vertical="center"/>
    </xf>
    <xf numFmtId="176" fontId="15" fillId="11" borderId="3" xfId="1" applyNumberFormat="1" applyFont="1" applyFill="1" applyBorder="1">
      <alignment vertical="center"/>
    </xf>
    <xf numFmtId="176" fontId="15" fillId="11" borderId="5" xfId="1" applyNumberFormat="1" applyFont="1" applyFill="1" applyBorder="1">
      <alignment vertical="center"/>
    </xf>
    <xf numFmtId="177" fontId="15" fillId="11" borderId="54" xfId="1" applyNumberFormat="1" applyFont="1" applyFill="1" applyBorder="1" applyAlignment="1">
      <alignment horizontal="center" vertical="center"/>
    </xf>
    <xf numFmtId="176" fontId="15" fillId="11" borderId="25" xfId="1" applyNumberFormat="1" applyFont="1" applyFill="1" applyBorder="1">
      <alignment vertical="center"/>
    </xf>
    <xf numFmtId="177" fontId="15" fillId="11" borderId="11" xfId="1" applyNumberFormat="1" applyFont="1" applyFill="1" applyBorder="1" applyAlignment="1">
      <alignment horizontal="center" vertical="center"/>
    </xf>
    <xf numFmtId="177" fontId="15" fillId="11" borderId="63" xfId="1" applyNumberFormat="1" applyFont="1" applyFill="1" applyBorder="1" applyAlignment="1">
      <alignment horizontal="center" vertical="center"/>
    </xf>
    <xf numFmtId="177" fontId="15" fillId="11" borderId="25" xfId="1" applyNumberFormat="1" applyFont="1" applyFill="1" applyBorder="1" applyAlignment="1">
      <alignment horizontal="center" vertical="center"/>
    </xf>
    <xf numFmtId="176" fontId="15" fillId="11" borderId="57" xfId="1" applyNumberFormat="1" applyFont="1" applyFill="1" applyBorder="1">
      <alignment vertical="center"/>
    </xf>
    <xf numFmtId="177" fontId="15" fillId="11" borderId="1" xfId="1" applyNumberFormat="1" applyFont="1" applyFill="1" applyBorder="1" applyAlignment="1">
      <alignment horizontal="center" vertical="center"/>
    </xf>
    <xf numFmtId="3" fontId="16" fillId="11" borderId="1" xfId="1" applyNumberFormat="1" applyFont="1" applyFill="1" applyBorder="1" applyAlignment="1">
      <alignment horizontal="center" vertical="center"/>
    </xf>
    <xf numFmtId="176" fontId="15" fillId="11" borderId="1" xfId="1" applyNumberFormat="1" applyFont="1" applyFill="1" applyBorder="1">
      <alignment vertical="center"/>
    </xf>
    <xf numFmtId="177" fontId="15" fillId="11" borderId="1" xfId="1" applyNumberFormat="1" applyFont="1" applyFill="1" applyBorder="1">
      <alignment vertical="center"/>
    </xf>
    <xf numFmtId="177" fontId="15" fillId="11" borderId="25" xfId="1" applyNumberFormat="1" applyFont="1" applyFill="1" applyBorder="1">
      <alignment vertical="center"/>
    </xf>
    <xf numFmtId="177" fontId="15" fillId="11" borderId="63" xfId="1" applyNumberFormat="1" applyFont="1" applyFill="1" applyBorder="1">
      <alignment vertical="center"/>
    </xf>
    <xf numFmtId="177" fontId="15" fillId="11" borderId="57" xfId="1" applyNumberFormat="1" applyFont="1" applyFill="1" applyBorder="1">
      <alignment vertical="center"/>
    </xf>
    <xf numFmtId="177" fontId="15" fillId="11" borderId="14" xfId="1" applyNumberFormat="1" applyFont="1" applyFill="1" applyBorder="1">
      <alignment vertical="center"/>
    </xf>
    <xf numFmtId="0" fontId="15" fillId="11" borderId="25" xfId="0" applyFont="1" applyFill="1" applyBorder="1" applyAlignment="1">
      <alignment horizontal="center" vertical="center"/>
    </xf>
    <xf numFmtId="0" fontId="15" fillId="11" borderId="2" xfId="0" applyFont="1" applyFill="1" applyBorder="1" applyAlignment="1">
      <alignment horizontal="center" vertical="center"/>
    </xf>
    <xf numFmtId="49" fontId="15" fillId="11" borderId="25" xfId="0" applyNumberFormat="1" applyFont="1" applyFill="1" applyBorder="1" applyAlignment="1">
      <alignment horizontal="center" vertical="center"/>
    </xf>
    <xf numFmtId="49" fontId="15" fillId="11" borderId="11" xfId="3" applyNumberFormat="1" applyFont="1" applyFill="1" applyBorder="1" applyAlignment="1">
      <alignment horizontal="center" vertical="center" wrapText="1"/>
    </xf>
    <xf numFmtId="0" fontId="15" fillId="11" borderId="47" xfId="0" applyFont="1" applyFill="1" applyBorder="1" applyAlignment="1">
      <alignment horizontal="center" vertical="center"/>
    </xf>
    <xf numFmtId="0" fontId="15" fillId="11" borderId="57" xfId="0" applyFont="1" applyFill="1" applyBorder="1">
      <alignment vertical="center"/>
    </xf>
    <xf numFmtId="177" fontId="15" fillId="11" borderId="1" xfId="0" applyNumberFormat="1" applyFont="1" applyFill="1" applyBorder="1">
      <alignment vertical="center"/>
    </xf>
    <xf numFmtId="0" fontId="15" fillId="11" borderId="11" xfId="0" applyFont="1" applyFill="1" applyBorder="1">
      <alignment vertical="center"/>
    </xf>
    <xf numFmtId="177" fontId="15" fillId="11" borderId="2" xfId="1" applyNumberFormat="1" applyFont="1" applyFill="1" applyBorder="1">
      <alignment vertical="center"/>
    </xf>
    <xf numFmtId="0" fontId="15" fillId="11" borderId="11" xfId="0" applyFont="1" applyFill="1" applyBorder="1" applyAlignment="1">
      <alignment horizontal="right" vertical="center"/>
    </xf>
    <xf numFmtId="177" fontId="15" fillId="11" borderId="57" xfId="1" applyNumberFormat="1" applyFont="1" applyFill="1" applyBorder="1" applyAlignment="1">
      <alignment horizontal="center" vertical="center"/>
    </xf>
    <xf numFmtId="177" fontId="15" fillId="11" borderId="47" xfId="1" applyNumberFormat="1" applyFont="1" applyFill="1" applyBorder="1" applyAlignment="1">
      <alignment horizontal="center" vertical="center"/>
    </xf>
    <xf numFmtId="0" fontId="15" fillId="11" borderId="5" xfId="0" applyFont="1" applyFill="1" applyBorder="1" applyAlignment="1">
      <alignment horizontal="center" vertical="center"/>
    </xf>
    <xf numFmtId="49" fontId="15" fillId="11" borderId="11" xfId="0" applyNumberFormat="1" applyFont="1" applyFill="1" applyBorder="1" applyAlignment="1">
      <alignment horizontal="center" vertical="center"/>
    </xf>
    <xf numFmtId="49" fontId="15" fillId="11" borderId="1" xfId="0" applyNumberFormat="1" applyFont="1" applyFill="1" applyBorder="1" applyAlignment="1">
      <alignment horizontal="center" vertical="center"/>
    </xf>
    <xf numFmtId="49" fontId="15" fillId="11" borderId="47" xfId="0" applyNumberFormat="1" applyFont="1" applyFill="1" applyBorder="1" applyAlignment="1">
      <alignment horizontal="center" vertical="center"/>
    </xf>
    <xf numFmtId="49" fontId="15" fillId="11" borderId="2" xfId="0" applyNumberFormat="1" applyFont="1" applyFill="1" applyBorder="1" applyAlignment="1">
      <alignment horizontal="center" vertical="center"/>
    </xf>
    <xf numFmtId="176" fontId="15" fillId="11" borderId="2" xfId="1" applyNumberFormat="1" applyFont="1" applyFill="1" applyBorder="1">
      <alignment vertical="center"/>
    </xf>
    <xf numFmtId="176" fontId="13" fillId="11" borderId="2" xfId="1" applyNumberFormat="1" applyFont="1" applyFill="1" applyBorder="1">
      <alignment vertical="center"/>
    </xf>
    <xf numFmtId="0" fontId="16" fillId="11" borderId="25" xfId="0" applyFont="1" applyFill="1" applyBorder="1" applyAlignment="1">
      <alignment horizontal="center" vertical="center"/>
    </xf>
    <xf numFmtId="0" fontId="16" fillId="11" borderId="2" xfId="0" applyFont="1" applyFill="1" applyBorder="1" applyAlignment="1">
      <alignment horizontal="center" vertical="center"/>
    </xf>
    <xf numFmtId="0" fontId="16" fillId="11" borderId="2" xfId="0" applyFont="1" applyFill="1" applyBorder="1" applyAlignment="1">
      <alignment horizontal="center" vertical="center" wrapText="1"/>
    </xf>
    <xf numFmtId="49" fontId="16" fillId="11" borderId="1" xfId="0" applyNumberFormat="1" applyFont="1" applyFill="1" applyBorder="1" applyAlignment="1">
      <alignment horizontal="center" vertical="center"/>
    </xf>
    <xf numFmtId="49" fontId="16" fillId="11" borderId="11" xfId="0" applyNumberFormat="1" applyFont="1" applyFill="1" applyBorder="1" applyAlignment="1">
      <alignment horizontal="center" vertical="center"/>
    </xf>
    <xf numFmtId="176" fontId="16" fillId="11" borderId="3" xfId="1" applyNumberFormat="1" applyFont="1" applyFill="1" applyBorder="1">
      <alignment vertical="center"/>
    </xf>
    <xf numFmtId="176" fontId="16" fillId="11" borderId="22" xfId="1" applyNumberFormat="1" applyFont="1" applyFill="1" applyBorder="1">
      <alignment vertical="center"/>
    </xf>
    <xf numFmtId="49" fontId="16" fillId="11" borderId="54" xfId="1" applyNumberFormat="1" applyFont="1" applyFill="1" applyBorder="1">
      <alignment vertical="center"/>
    </xf>
    <xf numFmtId="176" fontId="16" fillId="11" borderId="25" xfId="1" applyNumberFormat="1" applyFont="1" applyFill="1" applyBorder="1">
      <alignment vertical="center"/>
    </xf>
    <xf numFmtId="176" fontId="16" fillId="11" borderId="11" xfId="1" applyNumberFormat="1" applyFont="1" applyFill="1" applyBorder="1">
      <alignment vertical="center"/>
    </xf>
    <xf numFmtId="176" fontId="16" fillId="11" borderId="63" xfId="1" applyNumberFormat="1" applyFont="1" applyFill="1" applyBorder="1">
      <alignment vertical="center"/>
    </xf>
    <xf numFmtId="176" fontId="16" fillId="11" borderId="54" xfId="1" applyNumberFormat="1" applyFont="1" applyFill="1" applyBorder="1">
      <alignment vertical="center"/>
    </xf>
    <xf numFmtId="176" fontId="16" fillId="11" borderId="57" xfId="1" applyNumberFormat="1" applyFont="1" applyFill="1" applyBorder="1">
      <alignment vertical="center"/>
    </xf>
    <xf numFmtId="49" fontId="16" fillId="11" borderId="1" xfId="1" applyNumberFormat="1" applyFont="1" applyFill="1" applyBorder="1">
      <alignment vertical="center"/>
    </xf>
    <xf numFmtId="176" fontId="16" fillId="11" borderId="1" xfId="1" applyNumberFormat="1" applyFont="1" applyFill="1" applyBorder="1">
      <alignment vertical="center"/>
    </xf>
    <xf numFmtId="176" fontId="16" fillId="11" borderId="1" xfId="1" applyNumberFormat="1" applyFont="1" applyFill="1" applyBorder="1" applyAlignment="1">
      <alignment horizontal="center" vertical="center"/>
    </xf>
    <xf numFmtId="176" fontId="16" fillId="11" borderId="25" xfId="1" applyNumberFormat="1" applyFont="1" applyFill="1" applyBorder="1" applyAlignment="1">
      <alignment horizontal="center" vertical="center"/>
    </xf>
    <xf numFmtId="176" fontId="16" fillId="11" borderId="63" xfId="1" applyNumberFormat="1" applyFont="1" applyFill="1" applyBorder="1" applyAlignment="1">
      <alignment horizontal="center" vertical="center"/>
    </xf>
    <xf numFmtId="176" fontId="16" fillId="11" borderId="57" xfId="1" applyNumberFormat="1" applyFont="1" applyFill="1" applyBorder="1" applyAlignment="1">
      <alignment horizontal="center" vertical="center"/>
    </xf>
    <xf numFmtId="176" fontId="16" fillId="11" borderId="14" xfId="1" applyNumberFormat="1" applyFont="1" applyFill="1" applyBorder="1" applyAlignment="1">
      <alignment horizontal="center" vertical="center"/>
    </xf>
    <xf numFmtId="0" fontId="16" fillId="11" borderId="1" xfId="0" applyFont="1" applyFill="1" applyBorder="1" applyAlignment="1">
      <alignment horizontal="center" vertical="center"/>
    </xf>
    <xf numFmtId="49" fontId="16" fillId="11" borderId="25" xfId="3" applyNumberFormat="1" applyFont="1" applyFill="1" applyBorder="1" applyAlignment="1">
      <alignment horizontal="center" vertical="center" wrapText="1"/>
    </xf>
    <xf numFmtId="176" fontId="16" fillId="11" borderId="11" xfId="1" applyNumberFormat="1" applyFont="1" applyFill="1" applyBorder="1" applyAlignment="1">
      <alignment horizontal="center" vertical="center"/>
    </xf>
    <xf numFmtId="0" fontId="16" fillId="11" borderId="11" xfId="0" applyFont="1" applyFill="1" applyBorder="1" applyAlignment="1">
      <alignment horizontal="center" vertical="center"/>
    </xf>
    <xf numFmtId="0" fontId="16" fillId="11" borderId="47" xfId="0" applyFont="1" applyFill="1" applyBorder="1" applyAlignment="1">
      <alignment horizontal="center" vertical="center"/>
    </xf>
    <xf numFmtId="49" fontId="16" fillId="11" borderId="25" xfId="1" applyNumberFormat="1" applyFont="1" applyFill="1" applyBorder="1">
      <alignment vertical="center"/>
    </xf>
    <xf numFmtId="49" fontId="16" fillId="11" borderId="57" xfId="1" applyNumberFormat="1" applyFont="1" applyFill="1" applyBorder="1">
      <alignment vertical="center"/>
    </xf>
    <xf numFmtId="49" fontId="16" fillId="11" borderId="47" xfId="1" applyNumberFormat="1" applyFont="1" applyFill="1" applyBorder="1">
      <alignment vertical="center"/>
    </xf>
    <xf numFmtId="0" fontId="16" fillId="11" borderId="5" xfId="0" applyFont="1" applyFill="1" applyBorder="1" applyAlignment="1">
      <alignment horizontal="center" vertical="center"/>
    </xf>
    <xf numFmtId="49" fontId="16" fillId="11" borderId="25" xfId="0" applyNumberFormat="1" applyFont="1" applyFill="1" applyBorder="1" applyAlignment="1">
      <alignment horizontal="center" vertical="center"/>
    </xf>
    <xf numFmtId="49" fontId="16" fillId="11" borderId="47" xfId="0" applyNumberFormat="1" applyFont="1" applyFill="1" applyBorder="1" applyAlignment="1">
      <alignment horizontal="center" vertical="center"/>
    </xf>
    <xf numFmtId="49" fontId="16" fillId="11" borderId="2" xfId="0" applyNumberFormat="1" applyFont="1" applyFill="1" applyBorder="1" applyAlignment="1">
      <alignment horizontal="center" vertical="center"/>
    </xf>
    <xf numFmtId="49" fontId="16" fillId="11" borderId="47" xfId="1" applyNumberFormat="1" applyFont="1" applyFill="1" applyBorder="1" applyAlignment="1">
      <alignment horizontal="center" vertical="center"/>
    </xf>
    <xf numFmtId="49" fontId="16" fillId="11" borderId="25" xfId="1" applyNumberFormat="1" applyFont="1" applyFill="1" applyBorder="1" applyAlignment="1">
      <alignment horizontal="center" vertical="center"/>
    </xf>
    <xf numFmtId="49" fontId="16" fillId="11" borderId="11" xfId="1" applyNumberFormat="1" applyFont="1" applyFill="1" applyBorder="1" applyAlignment="1">
      <alignment horizontal="center" vertical="center"/>
    </xf>
    <xf numFmtId="49" fontId="16" fillId="11" borderId="57" xfId="1" applyNumberFormat="1" applyFont="1" applyFill="1" applyBorder="1" applyAlignment="1">
      <alignment horizontal="center" vertical="center"/>
    </xf>
    <xf numFmtId="49" fontId="16" fillId="11" borderId="54" xfId="1" applyNumberFormat="1" applyFont="1" applyFill="1" applyBorder="1" applyAlignment="1">
      <alignment horizontal="center" vertical="center"/>
    </xf>
    <xf numFmtId="176" fontId="16" fillId="11" borderId="2" xfId="1" applyNumberFormat="1" applyFont="1" applyFill="1" applyBorder="1">
      <alignment vertical="center"/>
    </xf>
    <xf numFmtId="49" fontId="15" fillId="4" borderId="97" xfId="0" applyNumberFormat="1" applyFont="1" applyFill="1" applyBorder="1" applyAlignment="1">
      <alignment horizontal="center" vertical="center"/>
    </xf>
    <xf numFmtId="49" fontId="15" fillId="4" borderId="27" xfId="0" applyNumberFormat="1" applyFont="1" applyFill="1" applyBorder="1" applyAlignment="1">
      <alignment horizontal="left" vertical="center" wrapText="1"/>
    </xf>
    <xf numFmtId="0" fontId="15" fillId="4" borderId="11" xfId="0" applyFont="1" applyFill="1" applyBorder="1" applyAlignment="1">
      <alignment horizontal="left" vertical="center"/>
    </xf>
    <xf numFmtId="176" fontId="15" fillId="4" borderId="98" xfId="1" applyNumberFormat="1" applyFont="1" applyFill="1" applyBorder="1" applyAlignment="1">
      <alignment horizontal="center" vertical="center"/>
    </xf>
    <xf numFmtId="176" fontId="15" fillId="4" borderId="47" xfId="1" applyNumberFormat="1" applyFont="1" applyFill="1" applyBorder="1" applyAlignment="1">
      <alignment horizontal="center" vertical="center"/>
    </xf>
    <xf numFmtId="176" fontId="15" fillId="4" borderId="27" xfId="1" applyNumberFormat="1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 wrapText="1"/>
    </xf>
    <xf numFmtId="177" fontId="13" fillId="3" borderId="10" xfId="1" applyNumberFormat="1" applyFont="1" applyFill="1" applyBorder="1" applyAlignment="1">
      <alignment horizontal="center" vertical="center" wrapText="1"/>
    </xf>
    <xf numFmtId="177" fontId="13" fillId="3" borderId="49" xfId="1" applyNumberFormat="1" applyFont="1" applyFill="1" applyBorder="1" applyAlignment="1">
      <alignment horizontal="center" vertical="center" wrapText="1"/>
    </xf>
    <xf numFmtId="176" fontId="13" fillId="3" borderId="23" xfId="1" applyNumberFormat="1" applyFont="1" applyFill="1" applyBorder="1" applyAlignment="1">
      <alignment horizontal="center" vertical="center" wrapText="1"/>
    </xf>
    <xf numFmtId="177" fontId="13" fillId="3" borderId="6" xfId="1" applyNumberFormat="1" applyFont="1" applyFill="1" applyBorder="1" applyAlignment="1">
      <alignment horizontal="center" vertical="center" wrapText="1"/>
    </xf>
    <xf numFmtId="49" fontId="13" fillId="5" borderId="96" xfId="0" applyNumberFormat="1" applyFont="1" applyFill="1" applyBorder="1" applyAlignment="1">
      <alignment vertical="center" wrapText="1"/>
    </xf>
    <xf numFmtId="0" fontId="18" fillId="2" borderId="2" xfId="0" applyFont="1" applyFill="1" applyBorder="1" applyAlignment="1">
      <alignment horizontal="center" vertical="center"/>
    </xf>
    <xf numFmtId="0" fontId="15" fillId="6" borderId="2" xfId="0" applyFont="1" applyFill="1" applyBorder="1" applyAlignment="1">
      <alignment horizontal="left" vertical="center"/>
    </xf>
    <xf numFmtId="182" fontId="15" fillId="6" borderId="2" xfId="0" applyNumberFormat="1" applyFont="1" applyFill="1" applyBorder="1" applyAlignment="1">
      <alignment horizontal="center" vertical="center"/>
    </xf>
    <xf numFmtId="3" fontId="16" fillId="3" borderId="1" xfId="1" applyNumberFormat="1" applyFont="1" applyFill="1" applyBorder="1" applyAlignment="1">
      <alignment horizontal="center" vertical="center"/>
    </xf>
    <xf numFmtId="176" fontId="15" fillId="3" borderId="1" xfId="1" applyNumberFormat="1" applyFont="1" applyFill="1" applyBorder="1" applyAlignment="1">
      <alignment vertical="center"/>
    </xf>
    <xf numFmtId="176" fontId="15" fillId="3" borderId="1" xfId="1" applyNumberFormat="1" applyFont="1" applyFill="1" applyBorder="1" applyAlignment="1">
      <alignment horizontal="left" vertical="center"/>
    </xf>
    <xf numFmtId="177" fontId="15" fillId="4" borderId="4" xfId="1" applyNumberFormat="1" applyFont="1" applyFill="1" applyBorder="1" applyAlignment="1">
      <alignment horizontal="center" vertical="center"/>
    </xf>
    <xf numFmtId="177" fontId="15" fillId="4" borderId="50" xfId="1" applyNumberFormat="1" applyFont="1" applyFill="1" applyBorder="1" applyAlignment="1">
      <alignment horizontal="center" vertical="center"/>
    </xf>
    <xf numFmtId="176" fontId="15" fillId="4" borderId="24" xfId="1" applyNumberFormat="1" applyFont="1" applyFill="1" applyBorder="1">
      <alignment vertical="center"/>
    </xf>
    <xf numFmtId="176" fontId="15" fillId="4" borderId="4" xfId="1" applyNumberFormat="1" applyFont="1" applyFill="1" applyBorder="1">
      <alignment vertical="center"/>
    </xf>
    <xf numFmtId="176" fontId="15" fillId="4" borderId="43" xfId="1" applyNumberFormat="1" applyFont="1" applyFill="1" applyBorder="1" applyAlignment="1">
      <alignment horizontal="center" vertical="center" wrapText="1"/>
    </xf>
    <xf numFmtId="177" fontId="15" fillId="5" borderId="36" xfId="1" applyNumberFormat="1" applyFont="1" applyFill="1" applyBorder="1" applyAlignment="1">
      <alignment horizontal="center" vertical="center"/>
    </xf>
    <xf numFmtId="177" fontId="15" fillId="5" borderId="51" xfId="1" applyNumberFormat="1" applyFont="1" applyFill="1" applyBorder="1" applyAlignment="1">
      <alignment horizontal="center" vertical="center"/>
    </xf>
    <xf numFmtId="176" fontId="15" fillId="5" borderId="43" xfId="1" applyNumberFormat="1" applyFont="1" applyFill="1" applyBorder="1">
      <alignment vertical="center"/>
    </xf>
    <xf numFmtId="176" fontId="15" fillId="5" borderId="36" xfId="1" applyNumberFormat="1" applyFont="1" applyFill="1" applyBorder="1">
      <alignment vertical="center"/>
    </xf>
    <xf numFmtId="176" fontId="15" fillId="5" borderId="1" xfId="2" applyNumberFormat="1" applyFont="1" applyFill="1" applyBorder="1" applyAlignment="1">
      <alignment horizontal="center" vertical="center"/>
    </xf>
    <xf numFmtId="176" fontId="15" fillId="5" borderId="1" xfId="1" applyNumberFormat="1" applyFont="1" applyFill="1" applyBorder="1" applyAlignment="1">
      <alignment horizontal="center" vertical="center"/>
    </xf>
    <xf numFmtId="176" fontId="13" fillId="5" borderId="1" xfId="1" applyNumberFormat="1" applyFont="1" applyFill="1" applyBorder="1" applyAlignment="1">
      <alignment horizontal="center" vertical="center"/>
    </xf>
    <xf numFmtId="176" fontId="15" fillId="5" borderId="4" xfId="1" applyNumberFormat="1" applyFont="1" applyFill="1" applyBorder="1">
      <alignment vertical="center"/>
    </xf>
    <xf numFmtId="177" fontId="15" fillId="5" borderId="36" xfId="1" applyNumberFormat="1" applyFont="1" applyFill="1" applyBorder="1">
      <alignment vertical="center"/>
    </xf>
    <xf numFmtId="176" fontId="15" fillId="5" borderId="33" xfId="1" applyNumberFormat="1" applyFont="1" applyFill="1" applyBorder="1">
      <alignment vertical="center"/>
    </xf>
    <xf numFmtId="177" fontId="15" fillId="5" borderId="51" xfId="1" applyNumberFormat="1" applyFont="1" applyFill="1" applyBorder="1">
      <alignment vertical="center"/>
    </xf>
    <xf numFmtId="0" fontId="15" fillId="9" borderId="3" xfId="0" applyFont="1" applyFill="1" applyBorder="1" applyAlignment="1">
      <alignment horizontal="center" vertical="center"/>
    </xf>
    <xf numFmtId="0" fontId="16" fillId="9" borderId="2" xfId="0" applyFont="1" applyFill="1" applyBorder="1" applyAlignment="1">
      <alignment horizontal="left" vertical="center"/>
    </xf>
    <xf numFmtId="0" fontId="16" fillId="9" borderId="1" xfId="0" applyFont="1" applyFill="1" applyBorder="1" applyAlignment="1">
      <alignment horizontal="center" vertical="center"/>
    </xf>
    <xf numFmtId="49" fontId="16" fillId="9" borderId="1" xfId="0" applyNumberFormat="1" applyFont="1" applyFill="1" applyBorder="1" applyAlignment="1">
      <alignment horizontal="center" vertical="center"/>
    </xf>
    <xf numFmtId="0" fontId="16" fillId="9" borderId="1" xfId="0" applyFont="1" applyFill="1" applyBorder="1">
      <alignment vertical="center"/>
    </xf>
    <xf numFmtId="0" fontId="16" fillId="9" borderId="2" xfId="0" applyFont="1" applyFill="1" applyBorder="1" applyAlignment="1">
      <alignment horizontal="center" vertical="center"/>
    </xf>
    <xf numFmtId="177" fontId="16" fillId="9" borderId="2" xfId="0" applyNumberFormat="1" applyFont="1" applyFill="1" applyBorder="1" applyAlignment="1">
      <alignment horizontal="center" vertical="center"/>
    </xf>
    <xf numFmtId="177" fontId="16" fillId="9" borderId="1" xfId="0" applyNumberFormat="1" applyFont="1" applyFill="1" applyBorder="1" applyAlignment="1">
      <alignment horizontal="center" vertical="center"/>
    </xf>
    <xf numFmtId="176" fontId="16" fillId="9" borderId="3" xfId="1" applyNumberFormat="1" applyFont="1" applyFill="1" applyBorder="1">
      <alignment vertical="center"/>
    </xf>
    <xf numFmtId="176" fontId="16" fillId="9" borderId="2" xfId="1" applyNumberFormat="1" applyFont="1" applyFill="1" applyBorder="1" applyAlignment="1">
      <alignment horizontal="center" vertical="center"/>
    </xf>
    <xf numFmtId="176" fontId="16" fillId="9" borderId="1" xfId="1" applyNumberFormat="1" applyFont="1" applyFill="1" applyBorder="1" applyAlignment="1">
      <alignment horizontal="center" vertical="center"/>
    </xf>
    <xf numFmtId="177" fontId="15" fillId="9" borderId="2" xfId="1" applyNumberFormat="1" applyFont="1" applyFill="1" applyBorder="1" applyAlignment="1">
      <alignment horizontal="center" vertical="center"/>
    </xf>
    <xf numFmtId="0" fontId="16" fillId="9" borderId="25" xfId="0" applyFont="1" applyFill="1" applyBorder="1" applyAlignment="1">
      <alignment horizontal="center" vertical="center"/>
    </xf>
    <xf numFmtId="49" fontId="16" fillId="9" borderId="2" xfId="0" applyNumberFormat="1" applyFont="1" applyFill="1" applyBorder="1" applyAlignment="1">
      <alignment horizontal="center" vertical="center"/>
    </xf>
    <xf numFmtId="49" fontId="16" fillId="9" borderId="25" xfId="0" applyNumberFormat="1" applyFont="1" applyFill="1" applyBorder="1" applyAlignment="1">
      <alignment horizontal="center" vertical="center"/>
    </xf>
    <xf numFmtId="0" fontId="16" fillId="9" borderId="11" xfId="0" applyFont="1" applyFill="1" applyBorder="1" applyAlignment="1">
      <alignment horizontal="center" vertical="center" wrapText="1"/>
    </xf>
    <xf numFmtId="0" fontId="16" fillId="9" borderId="57" xfId="0" applyFont="1" applyFill="1" applyBorder="1" applyAlignment="1">
      <alignment horizontal="center" vertical="center" wrapText="1"/>
    </xf>
    <xf numFmtId="176" fontId="15" fillId="9" borderId="57" xfId="1" applyNumberFormat="1" applyFont="1" applyFill="1" applyBorder="1" applyAlignment="1">
      <alignment vertical="center"/>
    </xf>
    <xf numFmtId="176" fontId="15" fillId="9" borderId="2" xfId="1" applyNumberFormat="1" applyFont="1" applyFill="1" applyBorder="1" applyAlignment="1">
      <alignment vertical="center"/>
    </xf>
    <xf numFmtId="176" fontId="15" fillId="9" borderId="1" xfId="1" applyNumberFormat="1" applyFont="1" applyFill="1" applyBorder="1" applyAlignment="1">
      <alignment vertical="center"/>
    </xf>
    <xf numFmtId="176" fontId="15" fillId="9" borderId="25" xfId="1" applyNumberFormat="1" applyFont="1" applyFill="1" applyBorder="1" applyAlignment="1">
      <alignment horizontal="center" vertical="center" wrapText="1"/>
    </xf>
    <xf numFmtId="176" fontId="15" fillId="9" borderId="57" xfId="1" applyNumberFormat="1" applyFont="1" applyFill="1" applyBorder="1" applyAlignment="1">
      <alignment horizontal="center" vertical="center" wrapText="1"/>
    </xf>
    <xf numFmtId="176" fontId="15" fillId="9" borderId="1" xfId="1" applyNumberFormat="1" applyFont="1" applyFill="1" applyBorder="1" applyAlignment="1">
      <alignment horizontal="center" vertical="center" wrapText="1"/>
    </xf>
    <xf numFmtId="176" fontId="15" fillId="9" borderId="11" xfId="1" applyNumberFormat="1" applyFont="1" applyFill="1" applyBorder="1" applyAlignment="1">
      <alignment horizontal="center" vertical="center" wrapText="1"/>
    </xf>
    <xf numFmtId="176" fontId="15" fillId="9" borderId="3" xfId="1" applyNumberFormat="1" applyFont="1" applyFill="1" applyBorder="1" applyAlignment="1">
      <alignment horizontal="center" vertical="center" wrapText="1"/>
    </xf>
    <xf numFmtId="49" fontId="16" fillId="9" borderId="11" xfId="0" applyNumberFormat="1" applyFont="1" applyFill="1" applyBorder="1" applyAlignment="1">
      <alignment horizontal="center" vertical="center"/>
    </xf>
    <xf numFmtId="49" fontId="16" fillId="9" borderId="47" xfId="0" applyNumberFormat="1" applyFont="1" applyFill="1" applyBorder="1" applyAlignment="1">
      <alignment horizontal="center" vertical="center"/>
    </xf>
    <xf numFmtId="3" fontId="15" fillId="9" borderId="2" xfId="2" applyNumberFormat="1" applyFont="1" applyFill="1" applyBorder="1" applyAlignment="1">
      <alignment horizontal="center" vertical="center"/>
    </xf>
    <xf numFmtId="177" fontId="15" fillId="9" borderId="47" xfId="1" applyNumberFormat="1" applyFont="1" applyFill="1" applyBorder="1">
      <alignment vertical="center"/>
    </xf>
    <xf numFmtId="177" fontId="15" fillId="9" borderId="3" xfId="1" applyNumberFormat="1" applyFont="1" applyFill="1" applyBorder="1">
      <alignment vertical="center"/>
    </xf>
    <xf numFmtId="176" fontId="15" fillId="9" borderId="2" xfId="1" applyNumberFormat="1" applyFont="1" applyFill="1" applyBorder="1">
      <alignment vertical="center"/>
    </xf>
    <xf numFmtId="176" fontId="16" fillId="9" borderId="25" xfId="1" applyNumberFormat="1" applyFont="1" applyFill="1" applyBorder="1">
      <alignment vertical="center"/>
    </xf>
    <xf numFmtId="177" fontId="15" fillId="9" borderId="1" xfId="1" applyNumberFormat="1" applyFont="1" applyFill="1" applyBorder="1" applyAlignment="1">
      <alignment horizontal="center" vertical="center" wrapText="1"/>
    </xf>
    <xf numFmtId="0" fontId="15" fillId="11" borderId="37" xfId="0" applyFont="1" applyFill="1" applyBorder="1" applyAlignment="1">
      <alignment horizontal="center" vertical="center"/>
    </xf>
    <xf numFmtId="0" fontId="15" fillId="11" borderId="35" xfId="0" applyFont="1" applyFill="1" applyBorder="1" applyAlignment="1">
      <alignment horizontal="center" vertical="center"/>
    </xf>
    <xf numFmtId="0" fontId="15" fillId="11" borderId="43" xfId="0" applyFont="1" applyFill="1" applyBorder="1" applyAlignment="1">
      <alignment horizontal="center" vertical="center"/>
    </xf>
    <xf numFmtId="0" fontId="15" fillId="11" borderId="44" xfId="0" applyFont="1" applyFill="1" applyBorder="1" applyAlignment="1">
      <alignment horizontal="center" vertical="center"/>
    </xf>
    <xf numFmtId="0" fontId="15" fillId="11" borderId="36" xfId="0" applyFont="1" applyFill="1" applyBorder="1">
      <alignment vertical="center"/>
    </xf>
    <xf numFmtId="0" fontId="15" fillId="11" borderId="51" xfId="0" applyFont="1" applyFill="1" applyBorder="1">
      <alignment vertical="center"/>
    </xf>
    <xf numFmtId="0" fontId="16" fillId="11" borderId="35" xfId="0" applyFont="1" applyFill="1" applyBorder="1" applyAlignment="1">
      <alignment horizontal="left" vertical="center"/>
    </xf>
    <xf numFmtId="0" fontId="16" fillId="11" borderId="36" xfId="0" applyFont="1" applyFill="1" applyBorder="1" applyAlignment="1">
      <alignment horizontal="center" vertical="center"/>
    </xf>
    <xf numFmtId="49" fontId="16" fillId="11" borderId="36" xfId="0" applyNumberFormat="1" applyFont="1" applyFill="1" applyBorder="1" applyAlignment="1">
      <alignment horizontal="center" vertical="center"/>
    </xf>
    <xf numFmtId="0" fontId="16" fillId="11" borderId="36" xfId="0" applyFont="1" applyFill="1" applyBorder="1">
      <alignment vertical="center"/>
    </xf>
    <xf numFmtId="0" fontId="16" fillId="11" borderId="35" xfId="0" applyFont="1" applyFill="1" applyBorder="1" applyAlignment="1">
      <alignment horizontal="center" vertical="center"/>
    </xf>
    <xf numFmtId="177" fontId="16" fillId="11" borderId="35" xfId="0" applyNumberFormat="1" applyFont="1" applyFill="1" applyBorder="1" applyAlignment="1">
      <alignment horizontal="center" vertical="center"/>
    </xf>
    <xf numFmtId="177" fontId="16" fillId="11" borderId="36" xfId="0" applyNumberFormat="1" applyFont="1" applyFill="1" applyBorder="1" applyAlignment="1">
      <alignment horizontal="center" vertical="center"/>
    </xf>
    <xf numFmtId="176" fontId="16" fillId="11" borderId="37" xfId="1" applyNumberFormat="1" applyFont="1" applyFill="1" applyBorder="1">
      <alignment vertical="center"/>
    </xf>
    <xf numFmtId="176" fontId="16" fillId="11" borderId="35" xfId="1" applyNumberFormat="1" applyFont="1" applyFill="1" applyBorder="1" applyAlignment="1">
      <alignment horizontal="center" vertical="center"/>
    </xf>
    <xf numFmtId="177" fontId="15" fillId="11" borderId="55" xfId="1" applyNumberFormat="1" applyFont="1" applyFill="1" applyBorder="1" applyAlignment="1">
      <alignment horizontal="center" vertical="center"/>
    </xf>
    <xf numFmtId="177" fontId="15" fillId="11" borderId="43" xfId="1" applyNumberFormat="1" applyFont="1" applyFill="1" applyBorder="1" applyAlignment="1">
      <alignment horizontal="center" vertical="center"/>
    </xf>
    <xf numFmtId="177" fontId="15" fillId="11" borderId="36" xfId="1" applyNumberFormat="1" applyFont="1" applyFill="1" applyBorder="1" applyAlignment="1">
      <alignment horizontal="center" vertical="center"/>
    </xf>
    <xf numFmtId="177" fontId="15" fillId="11" borderId="36" xfId="1" applyNumberFormat="1" applyFont="1" applyFill="1" applyBorder="1">
      <alignment vertical="center"/>
    </xf>
    <xf numFmtId="177" fontId="15" fillId="11" borderId="51" xfId="1" applyNumberFormat="1" applyFont="1" applyFill="1" applyBorder="1">
      <alignment vertical="center"/>
    </xf>
    <xf numFmtId="177" fontId="15" fillId="11" borderId="37" xfId="1" applyNumberFormat="1" applyFont="1" applyFill="1" applyBorder="1">
      <alignment vertical="center"/>
    </xf>
    <xf numFmtId="49" fontId="16" fillId="11" borderId="35" xfId="0" applyNumberFormat="1" applyFont="1" applyFill="1" applyBorder="1" applyAlignment="1">
      <alignment horizontal="center" vertical="center"/>
    </xf>
    <xf numFmtId="49" fontId="16" fillId="11" borderId="43" xfId="0" applyNumberFormat="1" applyFont="1" applyFill="1" applyBorder="1" applyAlignment="1">
      <alignment horizontal="center" vertical="center"/>
    </xf>
    <xf numFmtId="0" fontId="16" fillId="11" borderId="44" xfId="0" applyFont="1" applyFill="1" applyBorder="1" applyAlignment="1">
      <alignment horizontal="center" vertical="center" wrapText="1"/>
    </xf>
    <xf numFmtId="0" fontId="16" fillId="11" borderId="58" xfId="0" applyFont="1" applyFill="1" applyBorder="1" applyAlignment="1">
      <alignment horizontal="center" vertical="center" wrapText="1"/>
    </xf>
    <xf numFmtId="177" fontId="15" fillId="11" borderId="51" xfId="1" applyNumberFormat="1" applyFont="1" applyFill="1" applyBorder="1" applyAlignment="1">
      <alignment horizontal="center" vertical="center"/>
    </xf>
    <xf numFmtId="177" fontId="15" fillId="11" borderId="44" xfId="1" applyNumberFormat="1" applyFont="1" applyFill="1" applyBorder="1" applyAlignment="1">
      <alignment horizontal="center" vertical="center"/>
    </xf>
    <xf numFmtId="176" fontId="15" fillId="11" borderId="36" xfId="1" applyNumberFormat="1" applyFont="1" applyFill="1" applyBorder="1" applyAlignment="1">
      <alignment horizontal="center" vertical="center" wrapText="1"/>
    </xf>
    <xf numFmtId="176" fontId="15" fillId="11" borderId="44" xfId="1" applyNumberFormat="1" applyFont="1" applyFill="1" applyBorder="1" applyAlignment="1">
      <alignment horizontal="center" vertical="center" wrapText="1"/>
    </xf>
    <xf numFmtId="176" fontId="15" fillId="11" borderId="37" xfId="1" applyNumberFormat="1" applyFont="1" applyFill="1" applyBorder="1" applyAlignment="1">
      <alignment horizontal="center" vertical="center" wrapText="1"/>
    </xf>
    <xf numFmtId="0" fontId="16" fillId="11" borderId="43" xfId="0" applyFont="1" applyFill="1" applyBorder="1" applyAlignment="1">
      <alignment horizontal="center" vertical="center"/>
    </xf>
    <xf numFmtId="49" fontId="16" fillId="11" borderId="44" xfId="0" applyNumberFormat="1" applyFont="1" applyFill="1" applyBorder="1" applyAlignment="1">
      <alignment horizontal="center" vertical="center"/>
    </xf>
    <xf numFmtId="49" fontId="16" fillId="11" borderId="51" xfId="0" applyNumberFormat="1" applyFont="1" applyFill="1" applyBorder="1" applyAlignment="1">
      <alignment horizontal="center" vertical="center"/>
    </xf>
    <xf numFmtId="176" fontId="15" fillId="11" borderId="58" xfId="1" applyNumberFormat="1" applyFont="1" applyFill="1" applyBorder="1">
      <alignment vertical="center"/>
    </xf>
    <xf numFmtId="177" fontId="15" fillId="11" borderId="36" xfId="1" applyNumberFormat="1" applyFont="1" applyFill="1" applyBorder="1" applyAlignment="1">
      <alignment horizontal="center" vertical="center" wrapText="1"/>
    </xf>
    <xf numFmtId="177" fontId="15" fillId="11" borderId="0" xfId="1" applyNumberFormat="1" applyFont="1" applyFill="1" applyBorder="1">
      <alignment vertical="center"/>
    </xf>
    <xf numFmtId="177" fontId="15" fillId="11" borderId="33" xfId="1" applyNumberFormat="1" applyFont="1" applyFill="1" applyBorder="1">
      <alignment vertical="center"/>
    </xf>
    <xf numFmtId="177" fontId="15" fillId="11" borderId="65" xfId="1" applyNumberFormat="1" applyFont="1" applyFill="1" applyBorder="1">
      <alignment vertical="center"/>
    </xf>
    <xf numFmtId="177" fontId="15" fillId="11" borderId="32" xfId="1" applyNumberFormat="1" applyFont="1" applyFill="1" applyBorder="1">
      <alignment vertical="center"/>
    </xf>
    <xf numFmtId="183" fontId="19" fillId="3" borderId="54" xfId="1" applyNumberFormat="1" applyFont="1" applyFill="1" applyBorder="1" applyAlignment="1">
      <alignment horizontal="center" vertical="center"/>
    </xf>
    <xf numFmtId="176" fontId="19" fillId="3" borderId="1" xfId="1" applyNumberFormat="1" applyFont="1" applyFill="1" applyBorder="1">
      <alignment vertical="center"/>
    </xf>
    <xf numFmtId="176" fontId="19" fillId="3" borderId="18" xfId="5" applyNumberFormat="1" applyFont="1" applyFill="1" applyBorder="1" applyAlignment="1">
      <alignment horizontal="center" vertical="center"/>
    </xf>
    <xf numFmtId="176" fontId="15" fillId="3" borderId="77" xfId="1" applyNumberFormat="1" applyFont="1" applyFill="1" applyBorder="1" applyAlignment="1">
      <alignment horizontal="center" vertical="center"/>
    </xf>
    <xf numFmtId="176" fontId="15" fillId="3" borderId="77" xfId="1" applyNumberFormat="1" applyFont="1" applyFill="1" applyBorder="1">
      <alignment vertical="center"/>
    </xf>
    <xf numFmtId="176" fontId="15" fillId="3" borderId="57" xfId="1" applyNumberFormat="1" applyFont="1" applyFill="1" applyBorder="1" applyAlignment="1">
      <alignment horizontal="center" vertical="center"/>
    </xf>
    <xf numFmtId="43" fontId="9" fillId="7" borderId="86" xfId="1" applyFont="1" applyFill="1" applyBorder="1" applyAlignment="1">
      <alignment horizontal="center" vertical="center"/>
    </xf>
    <xf numFmtId="43" fontId="9" fillId="7" borderId="25" xfId="1" applyFont="1" applyFill="1" applyBorder="1" applyAlignment="1">
      <alignment horizontal="center" vertical="center"/>
    </xf>
    <xf numFmtId="43" fontId="9" fillId="7" borderId="23" xfId="1" applyFont="1" applyFill="1" applyBorder="1" applyAlignment="1">
      <alignment horizontal="center" vertical="center"/>
    </xf>
    <xf numFmtId="176" fontId="9" fillId="0" borderId="93" xfId="0" applyNumberFormat="1" applyFont="1" applyBorder="1" applyAlignment="1">
      <alignment horizontal="center" vertical="center"/>
    </xf>
    <xf numFmtId="176" fontId="9" fillId="0" borderId="94" xfId="0" applyNumberFormat="1" applyFont="1" applyBorder="1" applyAlignment="1">
      <alignment horizontal="center" vertical="center"/>
    </xf>
    <xf numFmtId="176" fontId="9" fillId="0" borderId="95" xfId="0" applyNumberFormat="1" applyFont="1" applyBorder="1" applyAlignment="1">
      <alignment horizontal="center" vertical="center"/>
    </xf>
    <xf numFmtId="0" fontId="3" fillId="0" borderId="85" xfId="0" applyFont="1" applyBorder="1" applyAlignment="1">
      <alignment horizontal="center" vertical="center"/>
    </xf>
    <xf numFmtId="0" fontId="3" fillId="0" borderId="83" xfId="0" applyFont="1" applyBorder="1" applyAlignment="1">
      <alignment horizontal="center" vertical="center"/>
    </xf>
    <xf numFmtId="0" fontId="3" fillId="0" borderId="81" xfId="0" applyFont="1" applyBorder="1" applyAlignment="1">
      <alignment horizontal="center" vertical="center"/>
    </xf>
    <xf numFmtId="0" fontId="3" fillId="0" borderId="80" xfId="0" applyFont="1" applyBorder="1" applyAlignment="1">
      <alignment horizontal="center" vertical="center"/>
    </xf>
    <xf numFmtId="43" fontId="3" fillId="0" borderId="88" xfId="1" applyFont="1" applyBorder="1" applyAlignment="1">
      <alignment horizontal="center" vertical="center"/>
    </xf>
    <xf numFmtId="43" fontId="3" fillId="0" borderId="82" xfId="1" applyFont="1" applyBorder="1" applyAlignment="1">
      <alignment horizontal="center" vertical="center"/>
    </xf>
    <xf numFmtId="43" fontId="3" fillId="0" borderId="89" xfId="1" applyFont="1" applyBorder="1" applyAlignment="1">
      <alignment horizontal="center" vertical="center"/>
    </xf>
    <xf numFmtId="0" fontId="3" fillId="0" borderId="90" xfId="0" applyFont="1" applyBorder="1" applyAlignment="1">
      <alignment horizontal="center" vertical="center"/>
    </xf>
    <xf numFmtId="0" fontId="3" fillId="0" borderId="86" xfId="0" applyFont="1" applyBorder="1" applyAlignment="1">
      <alignment horizontal="center" vertical="center"/>
    </xf>
    <xf numFmtId="0" fontId="3" fillId="0" borderId="79" xfId="0" applyFont="1" applyBorder="1" applyAlignment="1">
      <alignment horizontal="center" vertical="center"/>
    </xf>
    <xf numFmtId="0" fontId="3" fillId="0" borderId="84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11" fillId="10" borderId="1" xfId="0" applyFont="1" applyFill="1" applyBorder="1" applyAlignment="1">
      <alignment horizontal="right" vertical="center"/>
    </xf>
    <xf numFmtId="0" fontId="11" fillId="0" borderId="11" xfId="0" applyFont="1" applyBorder="1" applyAlignment="1">
      <alignment horizontal="left" vertical="center" indent="1"/>
    </xf>
    <xf numFmtId="0" fontId="11" fillId="0" borderId="2" xfId="0" applyFont="1" applyBorder="1" applyAlignment="1">
      <alignment horizontal="left" vertical="center" inden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3" fillId="3" borderId="21" xfId="0" applyFont="1" applyFill="1" applyBorder="1" applyAlignment="1">
      <alignment horizontal="center" vertical="center"/>
    </xf>
    <xf numFmtId="0" fontId="13" fillId="3" borderId="26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7" borderId="15" xfId="0" applyFont="1" applyFill="1" applyBorder="1" applyAlignment="1">
      <alignment horizontal="center" vertical="center" wrapText="1"/>
    </xf>
    <xf numFmtId="0" fontId="13" fillId="7" borderId="30" xfId="0" applyFont="1" applyFill="1" applyBorder="1" applyAlignment="1">
      <alignment horizontal="center" vertical="center" wrapText="1"/>
    </xf>
    <xf numFmtId="0" fontId="13" fillId="7" borderId="16" xfId="0" applyFont="1" applyFill="1" applyBorder="1" applyAlignment="1">
      <alignment horizontal="center" vertical="center" wrapText="1"/>
    </xf>
    <xf numFmtId="0" fontId="13" fillId="2" borderId="20" xfId="0" applyFont="1" applyFill="1" applyBorder="1" applyAlignment="1">
      <alignment horizontal="center" vertical="center"/>
    </xf>
    <xf numFmtId="0" fontId="13" fillId="2" borderId="31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0" fontId="13" fillId="4" borderId="20" xfId="0" applyFont="1" applyFill="1" applyBorder="1" applyAlignment="1">
      <alignment horizontal="center" vertical="center"/>
    </xf>
    <xf numFmtId="0" fontId="13" fillId="4" borderId="18" xfId="0" applyFont="1" applyFill="1" applyBorder="1" applyAlignment="1">
      <alignment horizontal="center" vertical="center"/>
    </xf>
    <xf numFmtId="49" fontId="13" fillId="4" borderId="18" xfId="0" applyNumberFormat="1" applyFont="1" applyFill="1" applyBorder="1" applyAlignment="1">
      <alignment horizontal="center" vertical="center"/>
    </xf>
    <xf numFmtId="0" fontId="14" fillId="2" borderId="44" xfId="0" applyFont="1" applyFill="1" applyBorder="1" applyAlignment="1">
      <alignment horizontal="center" vertical="center" wrapText="1"/>
    </xf>
    <xf numFmtId="0" fontId="14" fillId="2" borderId="34" xfId="0" applyFont="1" applyFill="1" applyBorder="1" applyAlignment="1">
      <alignment horizontal="center" vertical="center" wrapText="1"/>
    </xf>
    <xf numFmtId="0" fontId="14" fillId="2" borderId="46" xfId="0" applyFont="1" applyFill="1" applyBorder="1" applyAlignment="1">
      <alignment horizontal="center" vertical="center" wrapText="1"/>
    </xf>
    <xf numFmtId="177" fontId="13" fillId="6" borderId="35" xfId="0" applyNumberFormat="1" applyFont="1" applyFill="1" applyBorder="1" applyAlignment="1">
      <alignment horizontal="center" vertical="center" wrapText="1"/>
    </xf>
    <xf numFmtId="177" fontId="13" fillId="6" borderId="31" xfId="0" applyNumberFormat="1" applyFont="1" applyFill="1" applyBorder="1" applyAlignment="1">
      <alignment horizontal="center" vertical="center" wrapText="1"/>
    </xf>
    <xf numFmtId="177" fontId="13" fillId="6" borderId="40" xfId="0" applyNumberFormat="1" applyFont="1" applyFill="1" applyBorder="1" applyAlignment="1">
      <alignment horizontal="center" vertical="center" wrapText="1"/>
    </xf>
    <xf numFmtId="177" fontId="13" fillId="6" borderId="36" xfId="0" applyNumberFormat="1" applyFont="1" applyFill="1" applyBorder="1" applyAlignment="1">
      <alignment horizontal="center" vertical="center" wrapText="1"/>
    </xf>
    <xf numFmtId="177" fontId="13" fillId="6" borderId="33" xfId="0" applyNumberFormat="1" applyFont="1" applyFill="1" applyBorder="1" applyAlignment="1">
      <alignment horizontal="center" vertical="center" wrapText="1"/>
    </xf>
    <xf numFmtId="177" fontId="13" fillId="6" borderId="38" xfId="0" applyNumberFormat="1" applyFont="1" applyFill="1" applyBorder="1" applyAlignment="1">
      <alignment horizontal="center" vertical="center" wrapText="1"/>
    </xf>
    <xf numFmtId="176" fontId="13" fillId="6" borderId="37" xfId="1" applyNumberFormat="1" applyFont="1" applyFill="1" applyBorder="1" applyAlignment="1">
      <alignment horizontal="center" vertical="center" wrapText="1"/>
    </xf>
    <xf numFmtId="176" fontId="13" fillId="6" borderId="32" xfId="1" applyNumberFormat="1" applyFont="1" applyFill="1" applyBorder="1" applyAlignment="1">
      <alignment horizontal="center" vertical="center" wrapText="1"/>
    </xf>
    <xf numFmtId="176" fontId="13" fillId="6" borderId="45" xfId="1" applyNumberFormat="1" applyFont="1" applyFill="1" applyBorder="1" applyAlignment="1">
      <alignment horizontal="center" vertical="center" wrapText="1"/>
    </xf>
    <xf numFmtId="0" fontId="13" fillId="4" borderId="11" xfId="0" applyFont="1" applyFill="1" applyBorder="1" applyAlignment="1">
      <alignment horizontal="center" vertical="center"/>
    </xf>
    <xf numFmtId="0" fontId="13" fillId="4" borderId="25" xfId="0" applyFont="1" applyFill="1" applyBorder="1" applyAlignment="1">
      <alignment horizontal="center" vertical="center"/>
    </xf>
    <xf numFmtId="0" fontId="13" fillId="3" borderId="22" xfId="0" applyFont="1" applyFill="1" applyBorder="1" applyAlignment="1">
      <alignment horizontal="center" vertical="center"/>
    </xf>
    <xf numFmtId="0" fontId="13" fillId="3" borderId="54" xfId="0" applyFont="1" applyFill="1" applyBorder="1" applyAlignment="1">
      <alignment horizontal="center" vertical="center"/>
    </xf>
    <xf numFmtId="43" fontId="13" fillId="3" borderId="63" xfId="1" applyFont="1" applyFill="1" applyBorder="1" applyAlignment="1">
      <alignment horizontal="center" vertical="center"/>
    </xf>
    <xf numFmtId="43" fontId="13" fillId="3" borderId="25" xfId="1" applyFont="1" applyFill="1" applyBorder="1" applyAlignment="1">
      <alignment horizontal="center" vertical="center"/>
    </xf>
    <xf numFmtId="43" fontId="13" fillId="3" borderId="14" xfId="1" applyFont="1" applyFill="1" applyBorder="1" applyAlignment="1">
      <alignment horizontal="center" vertical="center"/>
    </xf>
    <xf numFmtId="176" fontId="13" fillId="3" borderId="35" xfId="1" applyNumberFormat="1" applyFont="1" applyFill="1" applyBorder="1" applyAlignment="1">
      <alignment horizontal="center" vertical="center"/>
    </xf>
    <xf numFmtId="176" fontId="13" fillId="3" borderId="40" xfId="1" applyNumberFormat="1" applyFont="1" applyFill="1" applyBorder="1" applyAlignment="1">
      <alignment horizontal="center" vertical="center"/>
    </xf>
    <xf numFmtId="49" fontId="13" fillId="4" borderId="36" xfId="1" applyNumberFormat="1" applyFont="1" applyFill="1" applyBorder="1" applyAlignment="1">
      <alignment horizontal="center" vertical="center" wrapText="1"/>
    </xf>
    <xf numFmtId="49" fontId="13" fillId="4" borderId="38" xfId="1" applyNumberFormat="1" applyFont="1" applyFill="1" applyBorder="1" applyAlignment="1">
      <alignment horizontal="center" vertical="center" wrapText="1"/>
    </xf>
    <xf numFmtId="177" fontId="13" fillId="6" borderId="2" xfId="0" applyNumberFormat="1" applyFont="1" applyFill="1" applyBorder="1" applyAlignment="1">
      <alignment horizontal="center" vertical="center" wrapText="1"/>
    </xf>
    <xf numFmtId="177" fontId="13" fillId="6" borderId="7" xfId="0" applyNumberFormat="1" applyFont="1" applyFill="1" applyBorder="1" applyAlignment="1">
      <alignment horizontal="center" vertical="center" wrapText="1"/>
    </xf>
    <xf numFmtId="177" fontId="13" fillId="6" borderId="1" xfId="0" applyNumberFormat="1" applyFont="1" applyFill="1" applyBorder="1" applyAlignment="1">
      <alignment horizontal="center" vertical="center" wrapText="1"/>
    </xf>
    <xf numFmtId="177" fontId="13" fillId="6" borderId="8" xfId="0" applyNumberFormat="1" applyFont="1" applyFill="1" applyBorder="1" applyAlignment="1">
      <alignment horizontal="center" vertical="center" wrapText="1"/>
    </xf>
    <xf numFmtId="181" fontId="13" fillId="6" borderId="1" xfId="0" applyNumberFormat="1" applyFont="1" applyFill="1" applyBorder="1" applyAlignment="1">
      <alignment horizontal="center" vertical="center" wrapText="1"/>
    </xf>
    <xf numFmtId="181" fontId="13" fillId="6" borderId="8" xfId="0" applyNumberFormat="1" applyFont="1" applyFill="1" applyBorder="1" applyAlignment="1">
      <alignment horizontal="center" vertical="center" wrapText="1"/>
    </xf>
    <xf numFmtId="177" fontId="13" fillId="6" borderId="70" xfId="0" applyNumberFormat="1" applyFont="1" applyFill="1" applyBorder="1" applyAlignment="1">
      <alignment horizontal="center" vertical="center" wrapText="1"/>
    </xf>
    <xf numFmtId="0" fontId="13" fillId="5" borderId="36" xfId="0" applyFont="1" applyFill="1" applyBorder="1" applyAlignment="1">
      <alignment horizontal="center" vertical="center" wrapText="1"/>
    </xf>
    <xf numFmtId="0" fontId="13" fillId="5" borderId="80" xfId="0" applyFont="1" applyFill="1" applyBorder="1" applyAlignment="1">
      <alignment horizontal="center" vertical="center" wrapText="1"/>
    </xf>
    <xf numFmtId="49" fontId="13" fillId="5" borderId="36" xfId="1" applyNumberFormat="1" applyFont="1" applyFill="1" applyBorder="1" applyAlignment="1">
      <alignment horizontal="center" vertical="center" wrapText="1"/>
    </xf>
    <xf numFmtId="49" fontId="13" fillId="5" borderId="33" xfId="1" applyNumberFormat="1" applyFont="1" applyFill="1" applyBorder="1" applyAlignment="1">
      <alignment horizontal="center" vertical="center" wrapText="1"/>
    </xf>
    <xf numFmtId="49" fontId="13" fillId="5" borderId="36" xfId="0" applyNumberFormat="1" applyFont="1" applyFill="1" applyBorder="1" applyAlignment="1">
      <alignment horizontal="center" vertical="center" wrapText="1"/>
    </xf>
    <xf numFmtId="49" fontId="13" fillId="5" borderId="33" xfId="0" applyNumberFormat="1" applyFont="1" applyFill="1" applyBorder="1" applyAlignment="1">
      <alignment horizontal="center" vertical="center" wrapText="1"/>
    </xf>
    <xf numFmtId="49" fontId="13" fillId="5" borderId="11" xfId="0" applyNumberFormat="1" applyFont="1" applyFill="1" applyBorder="1" applyAlignment="1">
      <alignment horizontal="center" vertical="center" wrapText="1"/>
    </xf>
    <xf numFmtId="49" fontId="13" fillId="5" borderId="25" xfId="0" applyNumberFormat="1" applyFont="1" applyFill="1" applyBorder="1" applyAlignment="1">
      <alignment horizontal="center" vertical="center" wrapText="1"/>
    </xf>
    <xf numFmtId="49" fontId="13" fillId="5" borderId="54" xfId="0" applyNumberFormat="1" applyFont="1" applyFill="1" applyBorder="1" applyAlignment="1">
      <alignment horizontal="center" vertical="center" wrapText="1"/>
    </xf>
    <xf numFmtId="49" fontId="13" fillId="5" borderId="2" xfId="0" applyNumberFormat="1" applyFont="1" applyFill="1" applyBorder="1" applyAlignment="1">
      <alignment horizontal="center" vertical="center" wrapText="1"/>
    </xf>
    <xf numFmtId="177" fontId="13" fillId="3" borderId="55" xfId="1" applyNumberFormat="1" applyFont="1" applyFill="1" applyBorder="1" applyAlignment="1">
      <alignment horizontal="center" vertical="center" wrapText="1"/>
    </xf>
    <xf numFmtId="177" fontId="13" fillId="3" borderId="67" xfId="1" applyNumberFormat="1" applyFont="1" applyFill="1" applyBorder="1" applyAlignment="1">
      <alignment horizontal="center" vertical="center" wrapText="1"/>
    </xf>
    <xf numFmtId="0" fontId="13" fillId="3" borderId="63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177" fontId="13" fillId="4" borderId="36" xfId="1" applyNumberFormat="1" applyFont="1" applyFill="1" applyBorder="1" applyAlignment="1">
      <alignment horizontal="center" vertical="center" wrapText="1"/>
    </xf>
    <xf numFmtId="177" fontId="13" fillId="4" borderId="38" xfId="1" applyNumberFormat="1" applyFont="1" applyFill="1" applyBorder="1" applyAlignment="1">
      <alignment horizontal="center" vertical="center" wrapText="1"/>
    </xf>
    <xf numFmtId="0" fontId="13" fillId="3" borderId="3" xfId="0" applyFont="1" applyFill="1" applyBorder="1" applyAlignment="1">
      <alignment horizontal="center" vertical="center"/>
    </xf>
    <xf numFmtId="0" fontId="13" fillId="4" borderId="44" xfId="0" applyFont="1" applyFill="1" applyBorder="1" applyAlignment="1">
      <alignment horizontal="center" vertical="center" wrapText="1"/>
    </xf>
    <xf numFmtId="0" fontId="13" fillId="4" borderId="34" xfId="0" applyFont="1" applyFill="1" applyBorder="1" applyAlignment="1">
      <alignment horizontal="center" vertical="center" wrapText="1"/>
    </xf>
    <xf numFmtId="43" fontId="13" fillId="4" borderId="58" xfId="1" applyFont="1" applyFill="1" applyBorder="1" applyAlignment="1">
      <alignment horizontal="center" vertical="center"/>
    </xf>
    <xf numFmtId="43" fontId="13" fillId="4" borderId="69" xfId="1" applyFont="1" applyFill="1" applyBorder="1" applyAlignment="1">
      <alignment horizontal="center" vertical="center"/>
    </xf>
    <xf numFmtId="176" fontId="13" fillId="4" borderId="44" xfId="1" applyNumberFormat="1" applyFont="1" applyFill="1" applyBorder="1" applyAlignment="1">
      <alignment horizontal="center" vertical="center" wrapText="1"/>
    </xf>
    <xf numFmtId="176" fontId="13" fillId="4" borderId="46" xfId="1" applyNumberFormat="1" applyFont="1" applyFill="1" applyBorder="1" applyAlignment="1">
      <alignment horizontal="center" vertical="center" wrapText="1"/>
    </xf>
    <xf numFmtId="0" fontId="13" fillId="4" borderId="43" xfId="0" applyFont="1" applyFill="1" applyBorder="1" applyAlignment="1">
      <alignment horizontal="center" vertical="center" wrapText="1"/>
    </xf>
    <xf numFmtId="0" fontId="13" fillId="4" borderId="0" xfId="0" applyFont="1" applyFill="1" applyAlignment="1">
      <alignment horizontal="center" vertical="center" wrapText="1"/>
    </xf>
    <xf numFmtId="0" fontId="13" fillId="4" borderId="9" xfId="0" applyFont="1" applyFill="1" applyBorder="1" applyAlignment="1">
      <alignment horizontal="center" vertical="center" wrapText="1"/>
    </xf>
    <xf numFmtId="49" fontId="13" fillId="4" borderId="36" xfId="0" applyNumberFormat="1" applyFont="1" applyFill="1" applyBorder="1" applyAlignment="1">
      <alignment horizontal="center" vertical="center" wrapText="1"/>
    </xf>
    <xf numFmtId="49" fontId="13" fillId="4" borderId="38" xfId="0" applyNumberFormat="1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/>
    </xf>
    <xf numFmtId="176" fontId="13" fillId="4" borderId="43" xfId="1" applyNumberFormat="1" applyFont="1" applyFill="1" applyBorder="1" applyAlignment="1">
      <alignment horizontal="center" vertical="center" wrapText="1"/>
    </xf>
    <xf numFmtId="176" fontId="13" fillId="4" borderId="9" xfId="1" applyNumberFormat="1" applyFont="1" applyFill="1" applyBorder="1" applyAlignment="1">
      <alignment horizontal="center" vertical="center" wrapText="1"/>
    </xf>
    <xf numFmtId="0" fontId="13" fillId="4" borderId="57" xfId="0" applyFont="1" applyFill="1" applyBorder="1" applyAlignment="1">
      <alignment horizontal="center" vertical="center"/>
    </xf>
    <xf numFmtId="0" fontId="13" fillId="6" borderId="78" xfId="0" applyFont="1" applyFill="1" applyBorder="1" applyAlignment="1">
      <alignment horizontal="center" vertical="center"/>
    </xf>
    <xf numFmtId="0" fontId="13" fillId="6" borderId="26" xfId="0" applyFont="1" applyFill="1" applyBorder="1" applyAlignment="1">
      <alignment horizontal="center" vertical="center"/>
    </xf>
    <xf numFmtId="0" fontId="13" fillId="6" borderId="29" xfId="0" applyFont="1" applyFill="1" applyBorder="1" applyAlignment="1">
      <alignment horizontal="center" vertical="center"/>
    </xf>
    <xf numFmtId="49" fontId="13" fillId="4" borderId="1" xfId="0" applyNumberFormat="1" applyFont="1" applyFill="1" applyBorder="1" applyAlignment="1">
      <alignment horizontal="center" vertical="center"/>
    </xf>
    <xf numFmtId="43" fontId="13" fillId="4" borderId="36" xfId="1" applyFont="1" applyFill="1" applyBorder="1" applyAlignment="1">
      <alignment vertical="center"/>
    </xf>
    <xf numFmtId="43" fontId="13" fillId="4" borderId="38" xfId="1" applyFont="1" applyFill="1" applyBorder="1" applyAlignment="1">
      <alignment vertical="center"/>
    </xf>
    <xf numFmtId="49" fontId="13" fillId="4" borderId="47" xfId="0" applyNumberFormat="1" applyFont="1" applyFill="1" applyBorder="1" applyAlignment="1">
      <alignment horizontal="center" vertical="center"/>
    </xf>
    <xf numFmtId="177" fontId="13" fillId="4" borderId="51" xfId="1" applyNumberFormat="1" applyFont="1" applyFill="1" applyBorder="1" applyAlignment="1">
      <alignment horizontal="center" vertical="center" wrapText="1"/>
    </xf>
    <xf numFmtId="177" fontId="13" fillId="4" borderId="60" xfId="1" applyNumberFormat="1" applyFont="1" applyFill="1" applyBorder="1" applyAlignment="1">
      <alignment horizontal="center" vertical="center" wrapText="1"/>
    </xf>
    <xf numFmtId="0" fontId="13" fillId="4" borderId="63" xfId="0" applyFont="1" applyFill="1" applyBorder="1" applyAlignment="1">
      <alignment horizontal="center" vertical="center"/>
    </xf>
    <xf numFmtId="49" fontId="13" fillId="4" borderId="11" xfId="0" applyNumberFormat="1" applyFont="1" applyFill="1" applyBorder="1" applyAlignment="1">
      <alignment horizontal="center" vertical="center" wrapText="1"/>
    </xf>
    <xf numFmtId="49" fontId="13" fillId="4" borderId="25" xfId="0" applyNumberFormat="1" applyFont="1" applyFill="1" applyBorder="1" applyAlignment="1">
      <alignment horizontal="center" vertical="center" wrapText="1"/>
    </xf>
    <xf numFmtId="49" fontId="13" fillId="4" borderId="54" xfId="0" applyNumberFormat="1" applyFont="1" applyFill="1" applyBorder="1" applyAlignment="1">
      <alignment horizontal="center" vertical="center" wrapText="1"/>
    </xf>
    <xf numFmtId="49" fontId="13" fillId="4" borderId="43" xfId="0" applyNumberFormat="1" applyFont="1" applyFill="1" applyBorder="1" applyAlignment="1">
      <alignment horizontal="center" vertical="center" wrapText="1"/>
    </xf>
    <xf numFmtId="49" fontId="13" fillId="4" borderId="9" xfId="0" applyNumberFormat="1" applyFont="1" applyFill="1" applyBorder="1" applyAlignment="1">
      <alignment horizontal="center" vertical="center" wrapText="1"/>
    </xf>
    <xf numFmtId="0" fontId="13" fillId="4" borderId="58" xfId="0" applyFont="1" applyFill="1" applyBorder="1" applyAlignment="1">
      <alignment horizontal="center" vertical="center" wrapText="1"/>
    </xf>
    <xf numFmtId="0" fontId="13" fillId="4" borderId="66" xfId="0" applyFont="1" applyFill="1" applyBorder="1" applyAlignment="1">
      <alignment horizontal="center" vertical="center" wrapText="1"/>
    </xf>
    <xf numFmtId="0" fontId="13" fillId="4" borderId="69" xfId="0" applyFont="1" applyFill="1" applyBorder="1" applyAlignment="1">
      <alignment horizontal="center" vertical="center" wrapText="1"/>
    </xf>
    <xf numFmtId="0" fontId="13" fillId="4" borderId="46" xfId="0" applyFont="1" applyFill="1" applyBorder="1" applyAlignment="1">
      <alignment horizontal="center" vertical="center" wrapText="1"/>
    </xf>
    <xf numFmtId="0" fontId="13" fillId="3" borderId="47" xfId="0" applyFont="1" applyFill="1" applyBorder="1" applyAlignment="1">
      <alignment horizontal="center" vertical="center"/>
    </xf>
    <xf numFmtId="0" fontId="13" fillId="3" borderId="25" xfId="0" applyFont="1" applyFill="1" applyBorder="1" applyAlignment="1">
      <alignment horizontal="center" vertical="center"/>
    </xf>
    <xf numFmtId="0" fontId="13" fillId="3" borderId="57" xfId="0" applyFont="1" applyFill="1" applyBorder="1" applyAlignment="1">
      <alignment horizontal="center" vertical="center"/>
    </xf>
    <xf numFmtId="0" fontId="13" fillId="5" borderId="63" xfId="0" applyFont="1" applyFill="1" applyBorder="1" applyAlignment="1">
      <alignment horizontal="center" vertical="center"/>
    </xf>
    <xf numFmtId="49" fontId="13" fillId="5" borderId="25" xfId="0" applyNumberFormat="1" applyFont="1" applyFill="1" applyBorder="1" applyAlignment="1">
      <alignment horizontal="center" vertical="center"/>
    </xf>
    <xf numFmtId="0" fontId="13" fillId="5" borderId="25" xfId="0" applyFont="1" applyFill="1" applyBorder="1" applyAlignment="1">
      <alignment horizontal="center" vertical="center"/>
    </xf>
    <xf numFmtId="0" fontId="13" fillId="5" borderId="14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3" fillId="5" borderId="47" xfId="0" applyFont="1" applyFill="1" applyBorder="1" applyAlignment="1">
      <alignment horizontal="center" vertical="center"/>
    </xf>
    <xf numFmtId="49" fontId="13" fillId="5" borderId="54" xfId="0" applyNumberFormat="1" applyFont="1" applyFill="1" applyBorder="1" applyAlignment="1">
      <alignment horizontal="center" vertical="center"/>
    </xf>
    <xf numFmtId="176" fontId="13" fillId="4" borderId="37" xfId="1" applyNumberFormat="1" applyFont="1" applyFill="1" applyBorder="1" applyAlignment="1">
      <alignment horizontal="center" vertical="center" wrapText="1"/>
    </xf>
    <xf numFmtId="176" fontId="13" fillId="4" borderId="45" xfId="1" applyNumberFormat="1" applyFont="1" applyFill="1" applyBorder="1" applyAlignment="1">
      <alignment horizontal="center" vertical="center" wrapText="1"/>
    </xf>
    <xf numFmtId="49" fontId="13" fillId="5" borderId="44" xfId="0" applyNumberFormat="1" applyFont="1" applyFill="1" applyBorder="1" applyAlignment="1">
      <alignment horizontal="center" vertical="center" wrapText="1"/>
    </xf>
    <xf numFmtId="49" fontId="13" fillId="5" borderId="34" xfId="0" applyNumberFormat="1" applyFont="1" applyFill="1" applyBorder="1" applyAlignment="1">
      <alignment horizontal="center" vertical="center" wrapText="1"/>
    </xf>
    <xf numFmtId="43" fontId="13" fillId="5" borderId="1" xfId="1" applyFont="1" applyFill="1" applyBorder="1" applyAlignment="1">
      <alignment horizontal="center" vertical="center"/>
    </xf>
    <xf numFmtId="49" fontId="13" fillId="5" borderId="47" xfId="1" applyNumberFormat="1" applyFont="1" applyFill="1" applyBorder="1" applyAlignment="1">
      <alignment horizontal="center" vertical="center"/>
    </xf>
    <xf numFmtId="176" fontId="13" fillId="5" borderId="36" xfId="1" applyNumberFormat="1" applyFont="1" applyFill="1" applyBorder="1" applyAlignment="1">
      <alignment horizontal="center" vertical="center"/>
    </xf>
    <xf numFmtId="176" fontId="13" fillId="5" borderId="38" xfId="1" applyNumberFormat="1" applyFont="1" applyFill="1" applyBorder="1" applyAlignment="1">
      <alignment horizontal="center" vertical="center"/>
    </xf>
    <xf numFmtId="177" fontId="13" fillId="5" borderId="51" xfId="1" applyNumberFormat="1" applyFont="1" applyFill="1" applyBorder="1" applyAlignment="1">
      <alignment horizontal="center" vertical="center"/>
    </xf>
    <xf numFmtId="177" fontId="13" fillId="5" borderId="60" xfId="1" applyNumberFormat="1" applyFont="1" applyFill="1" applyBorder="1" applyAlignment="1">
      <alignment horizontal="center" vertical="center"/>
    </xf>
    <xf numFmtId="49" fontId="13" fillId="5" borderId="57" xfId="0" applyNumberFormat="1" applyFont="1" applyFill="1" applyBorder="1" applyAlignment="1">
      <alignment horizontal="center" vertical="center" wrapText="1"/>
    </xf>
    <xf numFmtId="49" fontId="13" fillId="5" borderId="1" xfId="0" applyNumberFormat="1" applyFont="1" applyFill="1" applyBorder="1" applyAlignment="1">
      <alignment horizontal="center" vertical="center" wrapText="1"/>
    </xf>
    <xf numFmtId="176" fontId="13" fillId="5" borderId="58" xfId="1" applyNumberFormat="1" applyFont="1" applyFill="1" applyBorder="1" applyAlignment="1">
      <alignment horizontal="center" vertical="center"/>
    </xf>
    <xf numFmtId="176" fontId="13" fillId="5" borderId="69" xfId="1" applyNumberFormat="1" applyFont="1" applyFill="1" applyBorder="1" applyAlignment="1">
      <alignment horizontal="center" vertical="center"/>
    </xf>
    <xf numFmtId="177" fontId="13" fillId="5" borderId="36" xfId="1" applyNumberFormat="1" applyFont="1" applyFill="1" applyBorder="1" applyAlignment="1">
      <alignment horizontal="center" vertical="center" wrapText="1"/>
    </xf>
    <xf numFmtId="177" fontId="13" fillId="5" borderId="38" xfId="1" applyNumberFormat="1" applyFont="1" applyFill="1" applyBorder="1" applyAlignment="1">
      <alignment horizontal="center" vertical="center" wrapText="1"/>
    </xf>
    <xf numFmtId="177" fontId="13" fillId="5" borderId="36" xfId="1" applyNumberFormat="1" applyFont="1" applyFill="1" applyBorder="1" applyAlignment="1">
      <alignment horizontal="center" vertical="center"/>
    </xf>
    <xf numFmtId="177" fontId="13" fillId="5" borderId="38" xfId="1" applyNumberFormat="1" applyFont="1" applyFill="1" applyBorder="1" applyAlignment="1">
      <alignment horizontal="center" vertical="center"/>
    </xf>
    <xf numFmtId="49" fontId="13" fillId="5" borderId="61" xfId="0" applyNumberFormat="1" applyFont="1" applyFill="1" applyBorder="1" applyAlignment="1">
      <alignment horizontal="center" vertical="center" wrapText="1"/>
    </xf>
    <xf numFmtId="49" fontId="13" fillId="5" borderId="43" xfId="0" applyNumberFormat="1" applyFont="1" applyFill="1" applyBorder="1" applyAlignment="1">
      <alignment horizontal="center" vertical="center" wrapText="1"/>
    </xf>
    <xf numFmtId="0" fontId="13" fillId="5" borderId="35" xfId="0" applyFont="1" applyFill="1" applyBorder="1" applyAlignment="1">
      <alignment horizontal="center" vertical="center" wrapText="1"/>
    </xf>
    <xf numFmtId="0" fontId="13" fillId="5" borderId="40" xfId="0" applyFont="1" applyFill="1" applyBorder="1" applyAlignment="1">
      <alignment horizontal="center" vertical="center" wrapText="1"/>
    </xf>
    <xf numFmtId="0" fontId="13" fillId="5" borderId="38" xfId="0" applyFont="1" applyFill="1" applyBorder="1" applyAlignment="1">
      <alignment horizontal="center" vertical="center" wrapText="1"/>
    </xf>
    <xf numFmtId="49" fontId="13" fillId="5" borderId="47" xfId="0" applyNumberFormat="1" applyFont="1" applyFill="1" applyBorder="1" applyAlignment="1">
      <alignment horizontal="center" vertical="center" wrapText="1"/>
    </xf>
    <xf numFmtId="49" fontId="13" fillId="5" borderId="44" xfId="1" applyNumberFormat="1" applyFont="1" applyFill="1" applyBorder="1" applyAlignment="1">
      <alignment horizontal="center" vertical="center" wrapText="1"/>
    </xf>
    <xf numFmtId="49" fontId="13" fillId="5" borderId="46" xfId="1" applyNumberFormat="1" applyFont="1" applyFill="1" applyBorder="1" applyAlignment="1">
      <alignment horizontal="center" vertical="center" wrapText="1"/>
    </xf>
    <xf numFmtId="49" fontId="13" fillId="5" borderId="38" xfId="0" applyNumberFormat="1" applyFont="1" applyFill="1" applyBorder="1" applyAlignment="1">
      <alignment horizontal="center" vertical="center" wrapText="1"/>
    </xf>
    <xf numFmtId="49" fontId="13" fillId="5" borderId="92" xfId="0" applyNumberFormat="1" applyFont="1" applyFill="1" applyBorder="1" applyAlignment="1">
      <alignment horizontal="center" vertical="center" wrapText="1"/>
    </xf>
    <xf numFmtId="49" fontId="13" fillId="5" borderId="58" xfId="0" applyNumberFormat="1" applyFont="1" applyFill="1" applyBorder="1" applyAlignment="1">
      <alignment horizontal="center" vertical="center" wrapText="1"/>
    </xf>
    <xf numFmtId="0" fontId="13" fillId="5" borderId="91" xfId="0" applyFont="1" applyFill="1" applyBorder="1" applyAlignment="1">
      <alignment horizontal="center" vertical="center" wrapText="1"/>
    </xf>
    <xf numFmtId="0" fontId="14" fillId="2" borderId="77" xfId="0" applyFont="1" applyFill="1" applyBorder="1" applyAlignment="1">
      <alignment horizontal="center" vertical="center" wrapText="1"/>
    </xf>
    <xf numFmtId="0" fontId="14" fillId="2" borderId="33" xfId="0" applyFont="1" applyFill="1" applyBorder="1" applyAlignment="1">
      <alignment horizontal="center" vertical="center" wrapText="1"/>
    </xf>
    <xf numFmtId="0" fontId="14" fillId="2" borderId="38" xfId="0" applyFont="1" applyFill="1" applyBorder="1" applyAlignment="1">
      <alignment horizontal="center" vertical="center" wrapText="1"/>
    </xf>
    <xf numFmtId="0" fontId="14" fillId="2" borderId="27" xfId="0" applyFont="1" applyFill="1" applyBorder="1" applyAlignment="1">
      <alignment horizontal="center" vertical="center" wrapText="1"/>
    </xf>
    <xf numFmtId="0" fontId="14" fillId="2" borderId="26" xfId="0" applyFont="1" applyFill="1" applyBorder="1" applyAlignment="1">
      <alignment horizontal="center" vertical="center" wrapText="1"/>
    </xf>
    <xf numFmtId="0" fontId="14" fillId="2" borderId="48" xfId="0" applyFont="1" applyFill="1" applyBorder="1" applyAlignment="1">
      <alignment horizontal="center" vertical="center" wrapText="1"/>
    </xf>
    <xf numFmtId="0" fontId="14" fillId="2" borderId="36" xfId="0" applyFont="1" applyFill="1" applyBorder="1" applyAlignment="1">
      <alignment horizontal="center" vertical="center" wrapText="1"/>
    </xf>
    <xf numFmtId="0" fontId="14" fillId="2" borderId="51" xfId="0" applyFont="1" applyFill="1" applyBorder="1" applyAlignment="1">
      <alignment horizontal="center" vertical="center" wrapText="1"/>
    </xf>
    <xf numFmtId="0" fontId="14" fillId="2" borderId="65" xfId="0" applyFont="1" applyFill="1" applyBorder="1" applyAlignment="1">
      <alignment horizontal="center" vertical="center" wrapText="1"/>
    </xf>
    <xf numFmtId="0" fontId="14" fillId="2" borderId="60" xfId="0" applyFont="1" applyFill="1" applyBorder="1" applyAlignment="1">
      <alignment horizontal="center" vertical="center" wrapText="1"/>
    </xf>
    <xf numFmtId="0" fontId="13" fillId="5" borderId="41" xfId="0" applyFont="1" applyFill="1" applyBorder="1" applyAlignment="1">
      <alignment horizontal="center" vertical="center"/>
    </xf>
    <xf numFmtId="0" fontId="13" fillId="5" borderId="24" xfId="0" applyFont="1" applyFill="1" applyBorder="1" applyAlignment="1">
      <alignment horizontal="center" vertical="center"/>
    </xf>
    <xf numFmtId="0" fontId="13" fillId="5" borderId="13" xfId="0" applyFont="1" applyFill="1" applyBorder="1" applyAlignment="1">
      <alignment horizontal="center" vertical="center"/>
    </xf>
    <xf numFmtId="0" fontId="13" fillId="5" borderId="54" xfId="0" applyFont="1" applyFill="1" applyBorder="1" applyAlignment="1">
      <alignment horizontal="center" vertical="center"/>
    </xf>
    <xf numFmtId="0" fontId="13" fillId="5" borderId="3" xfId="0" applyFont="1" applyFill="1" applyBorder="1" applyAlignment="1">
      <alignment horizontal="center" vertical="center"/>
    </xf>
    <xf numFmtId="49" fontId="13" fillId="5" borderId="1" xfId="1" applyNumberFormat="1" applyFont="1" applyFill="1" applyBorder="1" applyAlignment="1">
      <alignment horizontal="center" vertical="center"/>
    </xf>
    <xf numFmtId="0" fontId="13" fillId="7" borderId="21" xfId="0" applyFont="1" applyFill="1" applyBorder="1" applyAlignment="1">
      <alignment horizontal="center" vertical="center" wrapText="1"/>
    </xf>
    <xf numFmtId="0" fontId="13" fillId="7" borderId="39" xfId="0" applyFont="1" applyFill="1" applyBorder="1" applyAlignment="1">
      <alignment horizontal="center" vertical="center" wrapText="1"/>
    </xf>
    <xf numFmtId="0" fontId="13" fillId="7" borderId="87" xfId="0" applyFont="1" applyFill="1" applyBorder="1" applyAlignment="1">
      <alignment horizontal="center" vertical="center" wrapText="1"/>
    </xf>
    <xf numFmtId="0" fontId="13" fillId="2" borderId="59" xfId="0" applyFont="1" applyFill="1" applyBorder="1" applyAlignment="1">
      <alignment horizontal="center" vertical="center" wrapText="1"/>
    </xf>
    <xf numFmtId="0" fontId="13" fillId="2" borderId="66" xfId="0" applyFont="1" applyFill="1" applyBorder="1" applyAlignment="1">
      <alignment horizontal="center" vertical="center" wrapText="1"/>
    </xf>
    <xf numFmtId="0" fontId="13" fillId="2" borderId="56" xfId="0" applyFont="1" applyFill="1" applyBorder="1" applyAlignment="1">
      <alignment horizontal="center" vertical="center" wrapText="1"/>
    </xf>
    <xf numFmtId="0" fontId="13" fillId="6" borderId="21" xfId="0" applyFont="1" applyFill="1" applyBorder="1" applyAlignment="1">
      <alignment horizontal="center" vertical="center"/>
    </xf>
    <xf numFmtId="176" fontId="13" fillId="3" borderId="63" xfId="1" applyNumberFormat="1" applyFont="1" applyFill="1" applyBorder="1" applyAlignment="1">
      <alignment horizontal="center" vertical="center"/>
    </xf>
    <xf numFmtId="176" fontId="13" fillId="3" borderId="54" xfId="1" applyNumberFormat="1" applyFont="1" applyFill="1" applyBorder="1" applyAlignment="1">
      <alignment horizontal="center" vertical="center"/>
    </xf>
    <xf numFmtId="176" fontId="13" fillId="3" borderId="64" xfId="1" applyNumberFormat="1" applyFont="1" applyFill="1" applyBorder="1" applyAlignment="1">
      <alignment horizontal="center" vertical="center"/>
    </xf>
    <xf numFmtId="176" fontId="13" fillId="3" borderId="68" xfId="1" applyNumberFormat="1" applyFont="1" applyFill="1" applyBorder="1" applyAlignment="1">
      <alignment horizontal="center" vertical="center"/>
    </xf>
    <xf numFmtId="177" fontId="13" fillId="3" borderId="51" xfId="1" applyNumberFormat="1" applyFont="1" applyFill="1" applyBorder="1" applyAlignment="1">
      <alignment horizontal="center" vertical="center"/>
    </xf>
    <xf numFmtId="177" fontId="13" fillId="3" borderId="60" xfId="1" applyNumberFormat="1" applyFont="1" applyFill="1" applyBorder="1" applyAlignment="1">
      <alignment horizontal="center" vertical="center"/>
    </xf>
    <xf numFmtId="176" fontId="13" fillId="3" borderId="43" xfId="1" applyNumberFormat="1" applyFont="1" applyFill="1" applyBorder="1" applyAlignment="1">
      <alignment horizontal="center" vertical="center"/>
    </xf>
    <xf numFmtId="176" fontId="13" fillId="3" borderId="9" xfId="1" applyNumberFormat="1" applyFont="1" applyFill="1" applyBorder="1" applyAlignment="1">
      <alignment horizontal="center" vertical="center"/>
    </xf>
    <xf numFmtId="177" fontId="13" fillId="3" borderId="44" xfId="1" applyNumberFormat="1" applyFont="1" applyFill="1" applyBorder="1" applyAlignment="1">
      <alignment horizontal="center" vertical="center"/>
    </xf>
    <xf numFmtId="177" fontId="13" fillId="3" borderId="46" xfId="1" applyNumberFormat="1" applyFont="1" applyFill="1" applyBorder="1" applyAlignment="1">
      <alignment horizontal="center" vertical="center"/>
    </xf>
    <xf numFmtId="176" fontId="13" fillId="6" borderId="44" xfId="1" applyNumberFormat="1" applyFont="1" applyFill="1" applyBorder="1" applyAlignment="1">
      <alignment horizontal="center" vertical="center" wrapText="1"/>
    </xf>
    <xf numFmtId="176" fontId="13" fillId="6" borderId="34" xfId="1" applyNumberFormat="1" applyFont="1" applyFill="1" applyBorder="1" applyAlignment="1">
      <alignment horizontal="center" vertical="center" wrapText="1"/>
    </xf>
    <xf numFmtId="176" fontId="13" fillId="3" borderId="21" xfId="1" applyNumberFormat="1" applyFont="1" applyFill="1" applyBorder="1" applyAlignment="1">
      <alignment horizontal="center" vertical="center"/>
    </xf>
    <xf numFmtId="176" fontId="13" fillId="3" borderId="26" xfId="1" applyNumberFormat="1" applyFont="1" applyFill="1" applyBorder="1" applyAlignment="1">
      <alignment horizontal="center" vertical="center"/>
    </xf>
    <xf numFmtId="176" fontId="13" fillId="3" borderId="25" xfId="1" applyNumberFormat="1" applyFont="1" applyFill="1" applyBorder="1" applyAlignment="1">
      <alignment horizontal="center" vertical="center"/>
    </xf>
    <xf numFmtId="176" fontId="13" fillId="3" borderId="14" xfId="1" applyNumberFormat="1" applyFont="1" applyFill="1" applyBorder="1" applyAlignment="1">
      <alignment horizontal="center" vertical="center"/>
    </xf>
    <xf numFmtId="177" fontId="13" fillId="6" borderId="25" xfId="0" applyNumberFormat="1" applyFont="1" applyFill="1" applyBorder="1" applyAlignment="1">
      <alignment horizontal="center" vertical="center" wrapText="1"/>
    </xf>
    <xf numFmtId="177" fontId="13" fillId="6" borderId="72" xfId="0" applyNumberFormat="1" applyFont="1" applyFill="1" applyBorder="1" applyAlignment="1">
      <alignment horizontal="center" vertical="center" wrapText="1"/>
    </xf>
    <xf numFmtId="177" fontId="13" fillId="3" borderId="44" xfId="1" applyNumberFormat="1" applyFont="1" applyFill="1" applyBorder="1" applyAlignment="1">
      <alignment horizontal="center" vertical="center" wrapText="1"/>
    </xf>
    <xf numFmtId="177" fontId="13" fillId="3" borderId="46" xfId="1" applyNumberFormat="1" applyFont="1" applyFill="1" applyBorder="1" applyAlignment="1">
      <alignment horizontal="center" vertical="center" wrapText="1"/>
    </xf>
    <xf numFmtId="176" fontId="13" fillId="3" borderId="22" xfId="1" applyNumberFormat="1" applyFont="1" applyFill="1" applyBorder="1" applyAlignment="1">
      <alignment horizontal="center" vertical="center"/>
    </xf>
    <xf numFmtId="176" fontId="13" fillId="3" borderId="61" xfId="1" applyNumberFormat="1" applyFont="1" applyFill="1" applyBorder="1" applyAlignment="1">
      <alignment horizontal="center" vertical="center"/>
    </xf>
    <xf numFmtId="176" fontId="13" fillId="3" borderId="62" xfId="1" applyNumberFormat="1" applyFont="1" applyFill="1" applyBorder="1" applyAlignment="1">
      <alignment horizontal="center" vertical="center"/>
    </xf>
    <xf numFmtId="177" fontId="13" fillId="3" borderId="51" xfId="1" applyNumberFormat="1" applyFont="1" applyFill="1" applyBorder="1" applyAlignment="1">
      <alignment horizontal="center" vertical="center" wrapText="1"/>
    </xf>
    <xf numFmtId="177" fontId="13" fillId="3" borderId="60" xfId="1" applyNumberFormat="1" applyFont="1" applyFill="1" applyBorder="1" applyAlignment="1">
      <alignment horizontal="center" vertical="center" wrapText="1"/>
    </xf>
    <xf numFmtId="176" fontId="13" fillId="4" borderId="51" xfId="1" applyNumberFormat="1" applyFont="1" applyFill="1" applyBorder="1" applyAlignment="1">
      <alignment horizontal="right" vertical="center" wrapText="1"/>
    </xf>
    <xf numFmtId="176" fontId="13" fillId="4" borderId="65" xfId="1" applyNumberFormat="1" applyFont="1" applyFill="1" applyBorder="1" applyAlignment="1">
      <alignment horizontal="right" vertical="center" wrapText="1"/>
    </xf>
    <xf numFmtId="176" fontId="13" fillId="4" borderId="60" xfId="1" applyNumberFormat="1" applyFont="1" applyFill="1" applyBorder="1" applyAlignment="1">
      <alignment horizontal="right" vertical="center" wrapText="1"/>
    </xf>
    <xf numFmtId="0" fontId="13" fillId="4" borderId="14" xfId="0" applyFont="1" applyFill="1" applyBorder="1" applyAlignment="1">
      <alignment horizontal="center" vertical="center"/>
    </xf>
    <xf numFmtId="176" fontId="13" fillId="4" borderId="35" xfId="1" applyNumberFormat="1" applyFont="1" applyFill="1" applyBorder="1" applyAlignment="1">
      <alignment horizontal="center" vertical="center" wrapText="1"/>
    </xf>
    <xf numFmtId="176" fontId="13" fillId="4" borderId="40" xfId="1" applyNumberFormat="1" applyFont="1" applyFill="1" applyBorder="1" applyAlignment="1">
      <alignment horizontal="center" vertical="center" wrapText="1"/>
    </xf>
    <xf numFmtId="177" fontId="13" fillId="4" borderId="43" xfId="1" applyNumberFormat="1" applyFont="1" applyFill="1" applyBorder="1" applyAlignment="1">
      <alignment horizontal="center" vertical="center" wrapText="1"/>
    </xf>
    <xf numFmtId="177" fontId="13" fillId="4" borderId="9" xfId="1" applyNumberFormat="1" applyFont="1" applyFill="1" applyBorder="1" applyAlignment="1">
      <alignment horizontal="center" vertical="center" wrapText="1"/>
    </xf>
    <xf numFmtId="176" fontId="13" fillId="4" borderId="43" xfId="1" applyNumberFormat="1" applyFont="1" applyFill="1" applyBorder="1" applyAlignment="1">
      <alignment horizontal="right" vertical="center" wrapText="1"/>
    </xf>
    <xf numFmtId="176" fontId="13" fillId="4" borderId="34" xfId="1" applyNumberFormat="1" applyFont="1" applyFill="1" applyBorder="1" applyAlignment="1">
      <alignment horizontal="right" vertical="center" wrapText="1"/>
    </xf>
    <xf numFmtId="176" fontId="13" fillId="4" borderId="46" xfId="1" applyNumberFormat="1" applyFont="1" applyFill="1" applyBorder="1" applyAlignment="1">
      <alignment horizontal="right" vertical="center" wrapText="1"/>
    </xf>
    <xf numFmtId="0" fontId="13" fillId="4" borderId="36" xfId="0" applyFont="1" applyFill="1" applyBorder="1" applyAlignment="1">
      <alignment horizontal="center" vertical="center" wrapText="1"/>
    </xf>
    <xf numFmtId="0" fontId="13" fillId="4" borderId="38" xfId="0" applyFont="1" applyFill="1" applyBorder="1" applyAlignment="1">
      <alignment horizontal="center" vertical="center" wrapText="1"/>
    </xf>
    <xf numFmtId="176" fontId="13" fillId="4" borderId="58" xfId="1" applyNumberFormat="1" applyFont="1" applyFill="1" applyBorder="1" applyAlignment="1">
      <alignment horizontal="center" vertical="center" wrapText="1"/>
    </xf>
    <xf numFmtId="176" fontId="13" fillId="4" borderId="69" xfId="1" applyNumberFormat="1" applyFont="1" applyFill="1" applyBorder="1" applyAlignment="1">
      <alignment horizontal="center" vertical="center" wrapText="1"/>
    </xf>
    <xf numFmtId="0" fontId="13" fillId="4" borderId="35" xfId="0" applyFont="1" applyFill="1" applyBorder="1" applyAlignment="1">
      <alignment horizontal="center" vertical="center" wrapText="1"/>
    </xf>
    <xf numFmtId="0" fontId="13" fillId="4" borderId="31" xfId="0" applyFont="1" applyFill="1" applyBorder="1" applyAlignment="1">
      <alignment horizontal="center" vertical="center" wrapText="1"/>
    </xf>
    <xf numFmtId="0" fontId="13" fillId="4" borderId="40" xfId="0" applyFont="1" applyFill="1" applyBorder="1" applyAlignment="1">
      <alignment horizontal="center" vertical="center" wrapText="1"/>
    </xf>
    <xf numFmtId="0" fontId="13" fillId="3" borderId="14" xfId="0" applyFont="1" applyFill="1" applyBorder="1" applyAlignment="1">
      <alignment horizontal="center" vertical="center"/>
    </xf>
    <xf numFmtId="0" fontId="13" fillId="4" borderId="51" xfId="0" applyFont="1" applyFill="1" applyBorder="1" applyAlignment="1">
      <alignment horizontal="center" vertical="center" wrapText="1"/>
    </xf>
    <xf numFmtId="0" fontId="13" fillId="4" borderId="65" xfId="0" applyFont="1" applyFill="1" applyBorder="1" applyAlignment="1">
      <alignment horizontal="center" vertical="center" wrapText="1"/>
    </xf>
    <xf numFmtId="0" fontId="13" fillId="4" borderId="60" xfId="0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/>
    </xf>
    <xf numFmtId="49" fontId="13" fillId="4" borderId="2" xfId="0" applyNumberFormat="1" applyFont="1" applyFill="1" applyBorder="1" applyAlignment="1">
      <alignment horizontal="center" vertical="center" wrapText="1"/>
    </xf>
    <xf numFmtId="0" fontId="13" fillId="5" borderId="42" xfId="0" applyFont="1" applyFill="1" applyBorder="1" applyAlignment="1">
      <alignment horizontal="center" vertical="center" wrapText="1"/>
    </xf>
    <xf numFmtId="0" fontId="13" fillId="5" borderId="28" xfId="0" applyFont="1" applyFill="1" applyBorder="1" applyAlignment="1">
      <alignment horizontal="center" vertical="center" wrapText="1"/>
    </xf>
    <xf numFmtId="176" fontId="13" fillId="5" borderId="43" xfId="1" applyNumberFormat="1" applyFont="1" applyFill="1" applyBorder="1" applyAlignment="1">
      <alignment horizontal="center" vertical="center" wrapText="1"/>
    </xf>
    <xf numFmtId="176" fontId="13" fillId="5" borderId="9" xfId="1" applyNumberFormat="1" applyFont="1" applyFill="1" applyBorder="1" applyAlignment="1">
      <alignment horizontal="center" vertical="center" wrapText="1"/>
    </xf>
    <xf numFmtId="177" fontId="13" fillId="5" borderId="51" xfId="1" applyNumberFormat="1" applyFont="1" applyFill="1" applyBorder="1" applyAlignment="1">
      <alignment horizontal="center" vertical="center" wrapText="1"/>
    </xf>
    <xf numFmtId="177" fontId="13" fillId="5" borderId="60" xfId="1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/>
    </xf>
    <xf numFmtId="177" fontId="13" fillId="5" borderId="44" xfId="1" applyNumberFormat="1" applyFont="1" applyFill="1" applyBorder="1" applyAlignment="1">
      <alignment horizontal="center" vertical="center" wrapText="1"/>
    </xf>
    <xf numFmtId="177" fontId="13" fillId="5" borderId="46" xfId="1" applyNumberFormat="1" applyFont="1" applyFill="1" applyBorder="1" applyAlignment="1">
      <alignment horizontal="center" vertical="center" wrapText="1"/>
    </xf>
    <xf numFmtId="176" fontId="13" fillId="5" borderId="58" xfId="1" applyNumberFormat="1" applyFont="1" applyFill="1" applyBorder="1" applyAlignment="1">
      <alignment horizontal="center" vertical="center" wrapText="1"/>
    </xf>
    <xf numFmtId="176" fontId="13" fillId="5" borderId="69" xfId="1" applyNumberFormat="1" applyFont="1" applyFill="1" applyBorder="1" applyAlignment="1">
      <alignment horizontal="center" vertical="center" wrapText="1"/>
    </xf>
    <xf numFmtId="177" fontId="13" fillId="5" borderId="55" xfId="1" applyNumberFormat="1" applyFont="1" applyFill="1" applyBorder="1" applyAlignment="1">
      <alignment horizontal="center" vertical="center" wrapText="1"/>
    </xf>
    <xf numFmtId="177" fontId="13" fillId="5" borderId="67" xfId="1" applyNumberFormat="1" applyFont="1" applyFill="1" applyBorder="1" applyAlignment="1">
      <alignment horizontal="center" vertical="center" wrapText="1"/>
    </xf>
    <xf numFmtId="49" fontId="13" fillId="5" borderId="9" xfId="0" applyNumberFormat="1" applyFont="1" applyFill="1" applyBorder="1" applyAlignment="1">
      <alignment horizontal="center" vertical="center" wrapText="1"/>
    </xf>
    <xf numFmtId="0" fontId="14" fillId="2" borderId="18" xfId="0" applyFont="1" applyFill="1" applyBorder="1" applyAlignment="1">
      <alignment horizontal="center" vertical="center" wrapText="1"/>
    </xf>
    <xf numFmtId="0" fontId="14" fillId="2" borderId="52" xfId="0" applyFont="1" applyFill="1" applyBorder="1" applyAlignment="1">
      <alignment horizontal="center" vertical="center" wrapText="1"/>
    </xf>
    <xf numFmtId="0" fontId="13" fillId="4" borderId="21" xfId="0" applyFont="1" applyFill="1" applyBorder="1" applyAlignment="1">
      <alignment horizontal="center" vertical="center"/>
    </xf>
    <xf numFmtId="0" fontId="13" fillId="4" borderId="26" xfId="0" applyFont="1" applyFill="1" applyBorder="1" applyAlignment="1">
      <alignment horizontal="center" vertical="center"/>
    </xf>
    <xf numFmtId="0" fontId="13" fillId="4" borderId="29" xfId="0" applyFont="1" applyFill="1" applyBorder="1" applyAlignment="1">
      <alignment horizontal="center" vertical="center"/>
    </xf>
    <xf numFmtId="0" fontId="13" fillId="5" borderId="57" xfId="0" applyFont="1" applyFill="1" applyBorder="1" applyAlignment="1">
      <alignment horizontal="center" vertical="center"/>
    </xf>
    <xf numFmtId="0" fontId="15" fillId="12" borderId="3" xfId="0" applyFont="1" applyFill="1" applyBorder="1" applyAlignment="1">
      <alignment horizontal="center" vertical="center"/>
    </xf>
    <xf numFmtId="0" fontId="15" fillId="12" borderId="2" xfId="0" applyFont="1" applyFill="1" applyBorder="1" applyAlignment="1">
      <alignment horizontal="center" vertical="center"/>
    </xf>
    <xf numFmtId="0" fontId="15" fillId="12" borderId="25" xfId="0" applyFont="1" applyFill="1" applyBorder="1" applyAlignment="1">
      <alignment horizontal="center" vertical="center"/>
    </xf>
    <xf numFmtId="0" fontId="15" fillId="12" borderId="11" xfId="0" applyFont="1" applyFill="1" applyBorder="1" applyAlignment="1">
      <alignment horizontal="center" vertical="center"/>
    </xf>
    <xf numFmtId="0" fontId="19" fillId="12" borderId="1" xfId="0" applyFont="1" applyFill="1" applyBorder="1" applyAlignment="1">
      <alignment horizontal="center" vertical="center"/>
    </xf>
    <xf numFmtId="0" fontId="19" fillId="12" borderId="47" xfId="0" applyFont="1" applyFill="1" applyBorder="1" applyAlignment="1">
      <alignment horizontal="center" vertical="center"/>
    </xf>
    <xf numFmtId="0" fontId="15" fillId="12" borderId="2" xfId="0" applyFont="1" applyFill="1" applyBorder="1" applyAlignment="1">
      <alignment horizontal="left" vertical="center"/>
    </xf>
    <xf numFmtId="0" fontId="15" fillId="12" borderId="1" xfId="0" applyFont="1" applyFill="1" applyBorder="1" applyAlignment="1">
      <alignment horizontal="center" vertical="center"/>
    </xf>
    <xf numFmtId="181" fontId="15" fillId="12" borderId="1" xfId="0" applyNumberFormat="1" applyFont="1" applyFill="1" applyBorder="1" applyAlignment="1">
      <alignment horizontal="center" vertical="center"/>
    </xf>
    <xf numFmtId="182" fontId="15" fillId="12" borderId="2" xfId="0" applyNumberFormat="1" applyFont="1" applyFill="1" applyBorder="1" applyAlignment="1">
      <alignment horizontal="center" vertical="center"/>
    </xf>
    <xf numFmtId="182" fontId="15" fillId="12" borderId="1" xfId="0" applyNumberFormat="1" applyFont="1" applyFill="1" applyBorder="1" applyAlignment="1">
      <alignment horizontal="center" vertical="center"/>
    </xf>
    <xf numFmtId="176" fontId="15" fillId="12" borderId="3" xfId="1" applyNumberFormat="1" applyFont="1" applyFill="1" applyBorder="1">
      <alignment vertical="center"/>
    </xf>
    <xf numFmtId="176" fontId="15" fillId="12" borderId="5" xfId="1" applyNumberFormat="1" applyFont="1" applyFill="1" applyBorder="1">
      <alignment vertical="center"/>
    </xf>
    <xf numFmtId="183" fontId="15" fillId="12" borderId="54" xfId="1" applyNumberFormat="1" applyFont="1" applyFill="1" applyBorder="1" applyAlignment="1">
      <alignment horizontal="center" vertical="center"/>
    </xf>
    <xf numFmtId="176" fontId="15" fillId="12" borderId="2" xfId="1" applyNumberFormat="1" applyFont="1" applyFill="1" applyBorder="1">
      <alignment vertical="center"/>
    </xf>
    <xf numFmtId="176" fontId="15" fillId="12" borderId="1" xfId="1" applyNumberFormat="1" applyFont="1" applyFill="1" applyBorder="1">
      <alignment vertical="center"/>
    </xf>
    <xf numFmtId="176" fontId="19" fillId="12" borderId="1" xfId="1" applyNumberFormat="1" applyFont="1" applyFill="1" applyBorder="1" applyAlignment="1">
      <alignment horizontal="center" vertical="center"/>
    </xf>
    <xf numFmtId="177" fontId="15" fillId="12" borderId="25" xfId="1" applyNumberFormat="1" applyFont="1" applyFill="1" applyBorder="1">
      <alignment vertical="center"/>
    </xf>
    <xf numFmtId="177" fontId="15" fillId="12" borderId="2" xfId="1" applyNumberFormat="1" applyFont="1" applyFill="1" applyBorder="1">
      <alignment vertical="center"/>
    </xf>
    <xf numFmtId="177" fontId="15" fillId="12" borderId="1" xfId="1" applyNumberFormat="1" applyFont="1" applyFill="1" applyBorder="1">
      <alignment vertical="center"/>
    </xf>
    <xf numFmtId="49" fontId="15" fillId="12" borderId="1" xfId="0" applyNumberFormat="1" applyFont="1" applyFill="1" applyBorder="1" applyAlignment="1">
      <alignment horizontal="center" vertical="center"/>
    </xf>
    <xf numFmtId="49" fontId="15" fillId="12" borderId="25" xfId="0" applyNumberFormat="1" applyFont="1" applyFill="1" applyBorder="1" applyAlignment="1">
      <alignment horizontal="center" vertical="center"/>
    </xf>
    <xf numFmtId="0" fontId="15" fillId="12" borderId="11" xfId="0" applyFont="1" applyFill="1" applyBorder="1" applyAlignment="1">
      <alignment horizontal="left" vertical="center"/>
    </xf>
    <xf numFmtId="0" fontId="15" fillId="12" borderId="57" xfId="0" applyFont="1" applyFill="1" applyBorder="1" applyAlignment="1">
      <alignment horizontal="center" vertical="center"/>
    </xf>
    <xf numFmtId="176" fontId="15" fillId="12" borderId="57" xfId="1" applyNumberFormat="1" applyFont="1" applyFill="1" applyBorder="1" applyAlignment="1">
      <alignment vertical="center"/>
    </xf>
    <xf numFmtId="177" fontId="15" fillId="12" borderId="1" xfId="1" applyNumberFormat="1" applyFont="1" applyFill="1" applyBorder="1" applyAlignment="1">
      <alignment horizontal="center" vertical="center"/>
    </xf>
    <xf numFmtId="177" fontId="15" fillId="12" borderId="4" xfId="1" applyNumberFormat="1" applyFont="1" applyFill="1" applyBorder="1" applyAlignment="1">
      <alignment horizontal="center" vertical="center"/>
    </xf>
    <xf numFmtId="177" fontId="15" fillId="12" borderId="50" xfId="1" applyNumberFormat="1" applyFont="1" applyFill="1" applyBorder="1" applyAlignment="1">
      <alignment horizontal="center" vertical="center"/>
    </xf>
    <xf numFmtId="176" fontId="15" fillId="12" borderId="24" xfId="1" applyNumberFormat="1" applyFont="1" applyFill="1" applyBorder="1">
      <alignment vertical="center"/>
    </xf>
    <xf numFmtId="177" fontId="15" fillId="12" borderId="11" xfId="1" applyNumberFormat="1" applyFont="1" applyFill="1" applyBorder="1" applyAlignment="1">
      <alignment horizontal="center" vertical="center"/>
    </xf>
    <xf numFmtId="176" fontId="15" fillId="12" borderId="4" xfId="1" applyNumberFormat="1" applyFont="1" applyFill="1" applyBorder="1">
      <alignment vertical="center"/>
    </xf>
    <xf numFmtId="176" fontId="15" fillId="12" borderId="43" xfId="1" applyNumberFormat="1" applyFont="1" applyFill="1" applyBorder="1" applyAlignment="1">
      <alignment horizontal="center" vertical="center" wrapText="1"/>
    </xf>
    <xf numFmtId="49" fontId="15" fillId="12" borderId="11" xfId="0" applyNumberFormat="1" applyFont="1" applyFill="1" applyBorder="1" applyAlignment="1">
      <alignment horizontal="center" vertical="center"/>
    </xf>
    <xf numFmtId="49" fontId="15" fillId="12" borderId="47" xfId="0" applyNumberFormat="1" applyFont="1" applyFill="1" applyBorder="1" applyAlignment="1">
      <alignment horizontal="center" vertical="center"/>
    </xf>
    <xf numFmtId="49" fontId="15" fillId="12" borderId="2" xfId="0" applyNumberFormat="1" applyFont="1" applyFill="1" applyBorder="1" applyAlignment="1">
      <alignment horizontal="center" vertical="center"/>
    </xf>
    <xf numFmtId="176" fontId="15" fillId="12" borderId="57" xfId="1" applyNumberFormat="1" applyFont="1" applyFill="1" applyBorder="1">
      <alignment vertical="center"/>
    </xf>
    <xf numFmtId="177" fontId="15" fillId="12" borderId="36" xfId="1" applyNumberFormat="1" applyFont="1" applyFill="1" applyBorder="1" applyAlignment="1">
      <alignment horizontal="center" vertical="center"/>
    </xf>
    <xf numFmtId="177" fontId="15" fillId="12" borderId="51" xfId="1" applyNumberFormat="1" applyFont="1" applyFill="1" applyBorder="1" applyAlignment="1">
      <alignment horizontal="center" vertical="center"/>
    </xf>
    <xf numFmtId="176" fontId="15" fillId="12" borderId="43" xfId="1" applyNumberFormat="1" applyFont="1" applyFill="1" applyBorder="1">
      <alignment vertical="center"/>
    </xf>
    <xf numFmtId="176" fontId="15" fillId="12" borderId="36" xfId="1" applyNumberFormat="1" applyFont="1" applyFill="1" applyBorder="1">
      <alignment vertical="center"/>
    </xf>
    <xf numFmtId="176" fontId="15" fillId="12" borderId="1" xfId="2" applyNumberFormat="1" applyFont="1" applyFill="1" applyBorder="1" applyAlignment="1">
      <alignment horizontal="center" vertical="center"/>
    </xf>
    <xf numFmtId="176" fontId="15" fillId="12" borderId="1" xfId="1" applyNumberFormat="1" applyFont="1" applyFill="1" applyBorder="1" applyAlignment="1">
      <alignment horizontal="center" vertical="center"/>
    </xf>
    <xf numFmtId="177" fontId="15" fillId="12" borderId="33" xfId="1" applyNumberFormat="1" applyFont="1" applyFill="1" applyBorder="1">
      <alignment vertical="center"/>
    </xf>
    <xf numFmtId="176" fontId="13" fillId="12" borderId="1" xfId="1" applyNumberFormat="1" applyFont="1" applyFill="1" applyBorder="1" applyAlignment="1">
      <alignment horizontal="center" vertical="center"/>
    </xf>
    <xf numFmtId="177" fontId="15" fillId="12" borderId="36" xfId="1" applyNumberFormat="1" applyFont="1" applyFill="1" applyBorder="1">
      <alignment vertical="center"/>
    </xf>
    <xf numFmtId="176" fontId="15" fillId="12" borderId="33" xfId="1" applyNumberFormat="1" applyFont="1" applyFill="1" applyBorder="1">
      <alignment vertical="center"/>
    </xf>
    <xf numFmtId="177" fontId="15" fillId="12" borderId="51" xfId="1" applyNumberFormat="1" applyFont="1" applyFill="1" applyBorder="1">
      <alignment vertical="center"/>
    </xf>
    <xf numFmtId="177" fontId="15" fillId="12" borderId="0" xfId="1" applyNumberFormat="1" applyFont="1" applyFill="1" applyBorder="1">
      <alignment vertical="center"/>
    </xf>
    <xf numFmtId="177" fontId="15" fillId="12" borderId="65" xfId="1" applyNumberFormat="1" applyFont="1" applyFill="1" applyBorder="1">
      <alignment vertical="center"/>
    </xf>
    <xf numFmtId="177" fontId="15" fillId="12" borderId="32" xfId="1" applyNumberFormat="1" applyFont="1" applyFill="1" applyBorder="1">
      <alignment vertical="center"/>
    </xf>
    <xf numFmtId="0" fontId="15" fillId="12" borderId="0" xfId="0" applyFont="1" applyFill="1">
      <alignment vertical="center"/>
    </xf>
    <xf numFmtId="0" fontId="13" fillId="12" borderId="0" xfId="0" applyFont="1" applyFill="1">
      <alignment vertical="center"/>
    </xf>
  </cellXfs>
  <cellStyles count="11">
    <cellStyle name="一般" xfId="0" builtinId="0"/>
    <cellStyle name="千分位" xfId="1" builtinId="3"/>
    <cellStyle name="千分位 2" xfId="2" xr:uid="{00000000-0005-0000-0000-000003000000}"/>
    <cellStyle name="千分位 2 2" xfId="7" xr:uid="{00000000-0005-0000-0000-000003000000}"/>
    <cellStyle name="千分位 3" xfId="4" xr:uid="{8A34D940-94BE-42A9-B424-9C2C901F4434}"/>
    <cellStyle name="千分位 4" xfId="5" xr:uid="{517560C1-11AE-4244-82CA-1C586434F6A3}"/>
    <cellStyle name="千分位 5" xfId="6" xr:uid="{00000000-0005-0000-0000-000033000000}"/>
    <cellStyle name="千分位 7" xfId="9" xr:uid="{B23F7308-68D7-4C99-9A9C-935E63A23D2A}"/>
    <cellStyle name="千分位[0] 2" xfId="8" xr:uid="{00000000-0005-0000-0000-000035000000}"/>
    <cellStyle name="貨幣" xfId="10" builtinId="4"/>
    <cellStyle name="說明文字 2 2" xfId="3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Y9"/>
  <sheetViews>
    <sheetView zoomScaleNormal="100" workbookViewId="0">
      <pane xSplit="2" ySplit="2" topLeftCell="C3" activePane="bottomRight" state="frozen"/>
      <selection activeCell="H12" sqref="H12"/>
      <selection pane="topRight" activeCell="H12" sqref="H12"/>
      <selection pane="bottomLeft" activeCell="H12" sqref="H12"/>
      <selection pane="bottomRight" activeCell="H12" sqref="H12"/>
    </sheetView>
  </sheetViews>
  <sheetFormatPr defaultColWidth="9" defaultRowHeight="16.2"/>
  <cols>
    <col min="1" max="1" width="9" style="6"/>
    <col min="2" max="7" width="11.109375" style="6" customWidth="1"/>
    <col min="8" max="8" width="12.33203125" style="6" customWidth="1"/>
    <col min="9" max="9" width="11.6640625" style="6" bestFit="1" customWidth="1"/>
    <col min="10" max="10" width="11.44140625" style="6" customWidth="1"/>
    <col min="11" max="11" width="10.44140625" style="6" customWidth="1"/>
    <col min="12" max="12" width="9.88671875" style="6" customWidth="1"/>
    <col min="13" max="13" width="10.33203125" style="6" customWidth="1"/>
    <col min="14" max="14" width="9.44140625" style="6" bestFit="1" customWidth="1"/>
    <col min="15" max="15" width="11.44140625" style="6" customWidth="1"/>
    <col min="16" max="16" width="13.33203125" style="6" bestFit="1" customWidth="1"/>
    <col min="17" max="16384" width="9" style="6"/>
  </cols>
  <sheetData>
    <row r="1" spans="1:77" s="1" customFormat="1" ht="16.8" thickTop="1">
      <c r="A1" s="541" t="s">
        <v>80</v>
      </c>
      <c r="B1" s="543" t="s">
        <v>85</v>
      </c>
      <c r="C1" s="545" t="s">
        <v>5</v>
      </c>
      <c r="D1" s="546"/>
      <c r="E1" s="546"/>
      <c r="F1" s="546"/>
      <c r="G1" s="546"/>
      <c r="H1" s="547"/>
      <c r="I1" s="548" t="s">
        <v>78</v>
      </c>
      <c r="J1" s="549"/>
      <c r="K1" s="549"/>
      <c r="L1" s="549"/>
      <c r="M1" s="549"/>
      <c r="N1" s="549"/>
      <c r="O1" s="550"/>
      <c r="P1" s="551" t="s">
        <v>86</v>
      </c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</row>
    <row r="2" spans="1:77" s="1" customFormat="1" ht="16.8" thickBot="1">
      <c r="A2" s="542"/>
      <c r="B2" s="544"/>
      <c r="C2" s="11" t="s">
        <v>11</v>
      </c>
      <c r="D2" s="11" t="s">
        <v>14</v>
      </c>
      <c r="E2" s="11" t="s">
        <v>82</v>
      </c>
      <c r="F2" s="11" t="s">
        <v>81</v>
      </c>
      <c r="G2" s="11" t="s">
        <v>83</v>
      </c>
      <c r="H2" s="12" t="s">
        <v>87</v>
      </c>
      <c r="I2" s="13" t="s">
        <v>7</v>
      </c>
      <c r="J2" s="11" t="s">
        <v>18</v>
      </c>
      <c r="K2" s="11" t="s">
        <v>82</v>
      </c>
      <c r="L2" s="11" t="s">
        <v>84</v>
      </c>
      <c r="M2" s="11" t="s">
        <v>4</v>
      </c>
      <c r="N2" s="11" t="s">
        <v>83</v>
      </c>
      <c r="O2" s="12" t="s">
        <v>87</v>
      </c>
      <c r="P2" s="552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</row>
    <row r="3" spans="1:77" s="1" customFormat="1" ht="18" thickTop="1">
      <c r="A3" s="535" t="s">
        <v>205</v>
      </c>
      <c r="B3" s="3" t="s">
        <v>204</v>
      </c>
      <c r="C3" s="14" t="e">
        <f>'代租 '!#REF!</f>
        <v>#REF!</v>
      </c>
      <c r="D3" s="14" t="e">
        <f>'代租 '!#REF!</f>
        <v>#REF!</v>
      </c>
      <c r="E3" s="14" t="e">
        <f>'代租 '!#REF!</f>
        <v>#REF!</v>
      </c>
      <c r="F3" s="14" t="e">
        <f>'代租 '!#REF!</f>
        <v>#REF!</v>
      </c>
      <c r="G3" s="14" t="e">
        <f>'代租 '!#REF!</f>
        <v>#REF!</v>
      </c>
      <c r="H3" s="15" t="e">
        <f t="shared" ref="H3:H8" si="0">SUM(C3:G3)</f>
        <v>#REF!</v>
      </c>
      <c r="I3" s="16" t="e">
        <f>'包租 '!#REF!</f>
        <v>#REF!</v>
      </c>
      <c r="J3" s="14" t="e">
        <f>'包租 '!#REF!</f>
        <v>#REF!</v>
      </c>
      <c r="K3" s="14" t="e">
        <f>'包租 '!#REF!</f>
        <v>#REF!</v>
      </c>
      <c r="L3" s="14" t="e">
        <f>'包租 '!#REF!</f>
        <v>#REF!</v>
      </c>
      <c r="M3" s="14" t="e">
        <f>'包租 '!#REF!</f>
        <v>#REF!</v>
      </c>
      <c r="N3" s="14" t="e">
        <f>'包租 '!#REF!</f>
        <v>#REF!</v>
      </c>
      <c r="O3" s="17" t="e">
        <f t="shared" ref="O3" si="1">SUM(I3:N3)</f>
        <v>#REF!</v>
      </c>
      <c r="P3" s="538" t="e">
        <f>SUM(H3:H8,O3:O8)</f>
        <v>#REF!</v>
      </c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</row>
    <row r="4" spans="1:77" s="1" customFormat="1">
      <c r="A4" s="536"/>
      <c r="B4" s="18"/>
      <c r="C4" s="19" t="e">
        <f>'代租 '!#REF!</f>
        <v>#REF!</v>
      </c>
      <c r="D4" s="19" t="e">
        <f>'代租 '!#REF!</f>
        <v>#REF!</v>
      </c>
      <c r="E4" s="19" t="e">
        <f>'代租 '!#REF!</f>
        <v>#REF!</v>
      </c>
      <c r="F4" s="19" t="e">
        <f>'代租 '!#REF!</f>
        <v>#REF!</v>
      </c>
      <c r="G4" s="19" t="e">
        <f>'代租 '!#REF!</f>
        <v>#REF!</v>
      </c>
      <c r="H4" s="20" t="e">
        <f t="shared" si="0"/>
        <v>#REF!</v>
      </c>
      <c r="I4" s="21" t="e">
        <f>'包租 '!#REF!</f>
        <v>#REF!</v>
      </c>
      <c r="J4" s="19" t="e">
        <f>'包租 '!#REF!</f>
        <v>#REF!</v>
      </c>
      <c r="K4" s="19" t="e">
        <f>'包租 '!#REF!</f>
        <v>#REF!</v>
      </c>
      <c r="L4" s="19" t="e">
        <f>'包租 '!#REF!</f>
        <v>#REF!</v>
      </c>
      <c r="M4" s="19" t="e">
        <f>'包租 '!#REF!</f>
        <v>#REF!</v>
      </c>
      <c r="N4" s="19" t="e">
        <f>'包租 '!#REF!</f>
        <v>#REF!</v>
      </c>
      <c r="O4" s="22" t="e">
        <f t="shared" ref="O4:O8" si="2">SUM(I4:N4)</f>
        <v>#REF!</v>
      </c>
      <c r="P4" s="539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</row>
    <row r="5" spans="1:77" s="1" customFormat="1">
      <c r="A5" s="536"/>
      <c r="B5" s="18"/>
      <c r="C5" s="19" t="e">
        <f>'代租 '!#REF!</f>
        <v>#REF!</v>
      </c>
      <c r="D5" s="19" t="e">
        <f>'代租 '!#REF!</f>
        <v>#REF!</v>
      </c>
      <c r="E5" s="19" t="e">
        <f>'代租 '!#REF!</f>
        <v>#REF!</v>
      </c>
      <c r="F5" s="19" t="e">
        <f>'代租 '!#REF!</f>
        <v>#REF!</v>
      </c>
      <c r="G5" s="19" t="e">
        <f>'代租 '!#REF!</f>
        <v>#REF!</v>
      </c>
      <c r="H5" s="20" t="e">
        <f>SUM(C5:G5)</f>
        <v>#REF!</v>
      </c>
      <c r="I5" s="21" t="e">
        <f>'包租 '!#REF!</f>
        <v>#REF!</v>
      </c>
      <c r="J5" s="19" t="e">
        <f>'包租 '!#REF!</f>
        <v>#REF!</v>
      </c>
      <c r="K5" s="19" t="e">
        <f>'包租 '!#REF!</f>
        <v>#REF!</v>
      </c>
      <c r="L5" s="19" t="e">
        <f>'包租 '!#REF!</f>
        <v>#REF!</v>
      </c>
      <c r="M5" s="19" t="e">
        <f>'包租 '!#REF!</f>
        <v>#REF!</v>
      </c>
      <c r="N5" s="19" t="e">
        <f>'包租 '!#REF!</f>
        <v>#REF!</v>
      </c>
      <c r="O5" s="22" t="e">
        <f t="shared" si="2"/>
        <v>#REF!</v>
      </c>
      <c r="P5" s="539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</row>
    <row r="6" spans="1:77" s="1" customFormat="1">
      <c r="A6" s="536"/>
      <c r="B6" s="18"/>
      <c r="C6" s="19" t="e">
        <f>'代租 '!#REF!</f>
        <v>#REF!</v>
      </c>
      <c r="D6" s="19" t="e">
        <f>'代租 '!#REF!</f>
        <v>#REF!</v>
      </c>
      <c r="E6" s="19" t="e">
        <f>'代租 '!#REF!</f>
        <v>#REF!</v>
      </c>
      <c r="F6" s="19" t="e">
        <f>'代租 '!#REF!</f>
        <v>#REF!</v>
      </c>
      <c r="G6" s="19" t="e">
        <f>'代租 '!#REF!</f>
        <v>#REF!</v>
      </c>
      <c r="H6" s="20" t="e">
        <f t="shared" si="0"/>
        <v>#REF!</v>
      </c>
      <c r="I6" s="21" t="e">
        <f>SUM('包租 '!#REF!)</f>
        <v>#REF!</v>
      </c>
      <c r="J6" s="19" t="e">
        <f>SUM('包租 '!#REF!)</f>
        <v>#REF!</v>
      </c>
      <c r="K6" s="19" t="e">
        <f>SUM('包租 '!#REF!)</f>
        <v>#REF!</v>
      </c>
      <c r="L6" s="19" t="e">
        <f>SUM('包租 '!#REF!)</f>
        <v>#REF!</v>
      </c>
      <c r="M6" s="19" t="e">
        <f>SUM('包租 '!#REF!)</f>
        <v>#REF!</v>
      </c>
      <c r="N6" s="19" t="e">
        <f>SUM('包租 '!#REF!)</f>
        <v>#REF!</v>
      </c>
      <c r="O6" s="22" t="e">
        <f t="shared" si="2"/>
        <v>#REF!</v>
      </c>
      <c r="P6" s="539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</row>
    <row r="7" spans="1:77">
      <c r="A7" s="536"/>
      <c r="B7" s="18"/>
      <c r="C7" s="19" t="e">
        <f>SUM('代租 '!#REF!)</f>
        <v>#REF!</v>
      </c>
      <c r="D7" s="19" t="e">
        <f>'代租 '!#REF!</f>
        <v>#REF!</v>
      </c>
      <c r="E7" s="19" t="e">
        <f>'代租 '!#REF!</f>
        <v>#REF!</v>
      </c>
      <c r="F7" s="19" t="e">
        <f>'代租 '!#REF!</f>
        <v>#REF!</v>
      </c>
      <c r="G7" s="19" t="e">
        <f>'代租 '!#REF!</f>
        <v>#REF!</v>
      </c>
      <c r="H7" s="20" t="e">
        <f t="shared" si="0"/>
        <v>#REF!</v>
      </c>
      <c r="I7" s="19" t="e">
        <f>'包租 '!#REF!</f>
        <v>#REF!</v>
      </c>
      <c r="J7" s="19" t="e">
        <f>'包租 '!#REF!</f>
        <v>#REF!</v>
      </c>
      <c r="K7" s="19" t="e">
        <f>'包租 '!#REF!</f>
        <v>#REF!</v>
      </c>
      <c r="L7" s="19" t="e">
        <f>'包租 '!#REF!</f>
        <v>#REF!</v>
      </c>
      <c r="M7" s="19" t="e">
        <f>'包租 '!#REF!</f>
        <v>#REF!</v>
      </c>
      <c r="N7" s="19" t="e">
        <f>'包租 '!#REF!</f>
        <v>#REF!</v>
      </c>
      <c r="O7" s="22" t="e">
        <f t="shared" si="2"/>
        <v>#REF!</v>
      </c>
      <c r="P7" s="539"/>
    </row>
    <row r="8" spans="1:77" ht="16.8" thickBot="1">
      <c r="A8" s="537"/>
      <c r="B8" s="23"/>
      <c r="C8" s="24">
        <f>'代租 '!Q16</f>
        <v>56000</v>
      </c>
      <c r="D8" s="24">
        <f>'代租 '!S17</f>
        <v>65600</v>
      </c>
      <c r="E8" s="24">
        <f>'代租 '!CZ17</f>
        <v>20800</v>
      </c>
      <c r="F8" s="24">
        <f>'代租 '!EW17</f>
        <v>4500</v>
      </c>
      <c r="G8" s="24">
        <f>'代租 '!FC17</f>
        <v>0</v>
      </c>
      <c r="H8" s="25">
        <f t="shared" si="0"/>
        <v>146900</v>
      </c>
      <c r="I8" s="24">
        <f>'包租 '!S30</f>
        <v>40000</v>
      </c>
      <c r="J8" s="24">
        <f>'包租 '!AA31</f>
        <v>51000</v>
      </c>
      <c r="K8" s="24">
        <f>'包租 '!DB31</f>
        <v>10000</v>
      </c>
      <c r="L8" s="24">
        <f>'包租 '!DK30</f>
        <v>1919</v>
      </c>
      <c r="M8" s="24">
        <f>'包租 '!FE31</f>
        <v>8000</v>
      </c>
      <c r="N8" s="24">
        <f>'包租 '!FK31</f>
        <v>0</v>
      </c>
      <c r="O8" s="26">
        <f t="shared" si="2"/>
        <v>110919</v>
      </c>
      <c r="P8" s="540"/>
    </row>
    <row r="9" spans="1:77" ht="16.8" thickTop="1"/>
  </sheetData>
  <mergeCells count="7">
    <mergeCell ref="A3:A8"/>
    <mergeCell ref="P3:P8"/>
    <mergeCell ref="A1:A2"/>
    <mergeCell ref="B1:B2"/>
    <mergeCell ref="C1:H1"/>
    <mergeCell ref="I1:O1"/>
    <mergeCell ref="P1:P2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9EFA9-51C1-4065-A293-B28737659551}">
  <sheetPr>
    <pageSetUpPr fitToPage="1"/>
  </sheetPr>
  <dimension ref="A1:L10"/>
  <sheetViews>
    <sheetView zoomScaleNormal="100" workbookViewId="0">
      <selection activeCell="H12" sqref="H12"/>
    </sheetView>
  </sheetViews>
  <sheetFormatPr defaultColWidth="8.88671875" defaultRowHeight="16.2"/>
  <cols>
    <col min="1" max="1" width="11.88671875" customWidth="1"/>
    <col min="2" max="2" width="10.88671875" bestFit="1" customWidth="1"/>
    <col min="3" max="3" width="10.109375" bestFit="1" customWidth="1"/>
    <col min="4" max="4" width="10.88671875" customWidth="1"/>
    <col min="5" max="5" width="12.88671875" customWidth="1"/>
    <col min="6" max="6" width="13.33203125" customWidth="1"/>
    <col min="7" max="7" width="9" bestFit="1" customWidth="1"/>
    <col min="8" max="10" width="12.44140625" bestFit="1" customWidth="1"/>
    <col min="11" max="11" width="11.6640625" customWidth="1"/>
    <col min="12" max="12" width="16.33203125" customWidth="1"/>
  </cols>
  <sheetData>
    <row r="1" spans="1:12" ht="17.399999999999999">
      <c r="A1" s="556" t="s">
        <v>124</v>
      </c>
      <c r="B1" s="556" t="s">
        <v>123</v>
      </c>
      <c r="C1" s="556"/>
      <c r="D1" s="556"/>
      <c r="E1" s="556" t="s">
        <v>122</v>
      </c>
      <c r="F1" s="556"/>
      <c r="G1" s="556" t="s">
        <v>121</v>
      </c>
      <c r="H1" s="556"/>
      <c r="I1" s="556"/>
      <c r="J1" s="556"/>
      <c r="K1" s="556"/>
      <c r="L1" s="557" t="s">
        <v>120</v>
      </c>
    </row>
    <row r="2" spans="1:12" ht="34.799999999999997">
      <c r="A2" s="556"/>
      <c r="B2" s="3" t="s">
        <v>119</v>
      </c>
      <c r="C2" s="3" t="s">
        <v>4</v>
      </c>
      <c r="D2" s="3" t="s">
        <v>15</v>
      </c>
      <c r="E2" s="3" t="s">
        <v>4</v>
      </c>
      <c r="F2" s="3" t="s">
        <v>118</v>
      </c>
      <c r="G2" s="3" t="s">
        <v>4</v>
      </c>
      <c r="H2" s="3" t="s">
        <v>117</v>
      </c>
      <c r="I2" s="3" t="s">
        <v>116</v>
      </c>
      <c r="J2" s="3" t="s">
        <v>115</v>
      </c>
      <c r="K2" s="3" t="s">
        <v>114</v>
      </c>
      <c r="L2" s="557"/>
    </row>
    <row r="3" spans="1:12" ht="17.399999999999999">
      <c r="A3" s="3" t="s">
        <v>204</v>
      </c>
      <c r="B3" s="4"/>
      <c r="C3" s="4"/>
      <c r="D3" s="4" t="e">
        <f>SUM('包租 '!#REF!)</f>
        <v>#REF!</v>
      </c>
      <c r="E3" s="27" t="e">
        <f>SUM('包租 '!#REF!)</f>
        <v>#REF!</v>
      </c>
      <c r="F3" s="27"/>
      <c r="G3" s="27"/>
      <c r="H3" s="27" t="e">
        <f>SUM('包租 '!#REF!)</f>
        <v>#REF!</v>
      </c>
      <c r="I3" s="27" t="e">
        <f>SUM('包租 '!#REF!)</f>
        <v>#REF!</v>
      </c>
      <c r="J3" s="27" t="e">
        <f>SUM('代租 '!#REF!)</f>
        <v>#REF!</v>
      </c>
      <c r="K3" s="27" t="e">
        <f>SUM('代租 '!#REF!)</f>
        <v>#REF!</v>
      </c>
      <c r="L3" s="5" t="e">
        <f>SUM(H3:K3)</f>
        <v>#REF!</v>
      </c>
    </row>
    <row r="4" spans="1:12" ht="17.399999999999999">
      <c r="A4" s="3"/>
      <c r="B4" s="4"/>
      <c r="C4" s="4"/>
      <c r="D4" s="4"/>
      <c r="E4" s="27"/>
      <c r="F4" s="27"/>
      <c r="G4" s="27"/>
      <c r="H4" s="27"/>
      <c r="I4" s="27"/>
      <c r="J4" s="27"/>
      <c r="K4" s="27"/>
      <c r="L4" s="5">
        <f>SUM(H4:K4)</f>
        <v>0</v>
      </c>
    </row>
    <row r="5" spans="1:12" ht="17.399999999999999">
      <c r="A5" s="3"/>
      <c r="B5" s="4"/>
      <c r="C5" s="4"/>
      <c r="D5" s="4"/>
      <c r="E5" s="28"/>
      <c r="F5" s="27"/>
      <c r="G5" s="27"/>
      <c r="H5" s="27"/>
      <c r="I5" s="27"/>
      <c r="J5" s="27"/>
      <c r="K5" s="27"/>
      <c r="L5" s="5">
        <f>SUM(H5:K5)</f>
        <v>0</v>
      </c>
    </row>
    <row r="6" spans="1:12" ht="17.399999999999999">
      <c r="A6" s="3"/>
      <c r="B6" s="4"/>
      <c r="C6" s="4"/>
      <c r="D6" s="4"/>
      <c r="E6" s="27" t="e">
        <f>SUM('包租 '!#REF!)</f>
        <v>#REF!</v>
      </c>
      <c r="F6" s="27" t="e">
        <f>SUM('包租 '!#REF!)</f>
        <v>#REF!</v>
      </c>
      <c r="G6" s="27"/>
      <c r="H6" s="27" t="e">
        <f>SUM('包租 '!#REF!)</f>
        <v>#REF!</v>
      </c>
      <c r="I6" s="27" t="e">
        <f>SUM('包租 '!#REF!)</f>
        <v>#REF!</v>
      </c>
      <c r="J6" s="27" t="e">
        <f>SUM('代租 '!#REF!)</f>
        <v>#REF!</v>
      </c>
      <c r="K6" s="27" t="e">
        <f>SUM('代租 '!#REF!)</f>
        <v>#REF!</v>
      </c>
      <c r="L6" s="5" t="e">
        <f>SUM(H6:K6)</f>
        <v>#REF!</v>
      </c>
    </row>
    <row r="7" spans="1:12" ht="17.399999999999999">
      <c r="A7" s="3"/>
      <c r="B7" s="4"/>
      <c r="C7" s="4"/>
      <c r="D7" s="4"/>
      <c r="E7" s="27" t="e">
        <f>SUM('包租 '!#REF!)</f>
        <v>#REF!</v>
      </c>
      <c r="F7" s="27" t="e">
        <f>'包租 '!#REF!</f>
        <v>#REF!</v>
      </c>
      <c r="G7" s="27"/>
      <c r="H7" s="27" t="e">
        <f>SUM('包租 '!#REF!)</f>
        <v>#REF!</v>
      </c>
      <c r="I7" s="27" t="e">
        <f>'包租 '!#REF!</f>
        <v>#REF!</v>
      </c>
      <c r="J7" s="27" t="e">
        <f>'代租 '!#REF!</f>
        <v>#REF!</v>
      </c>
      <c r="K7" s="27" t="e">
        <f>'代租 '!#REF!</f>
        <v>#REF!</v>
      </c>
      <c r="L7" s="5" t="e">
        <f t="shared" ref="L7:L8" si="0">SUM(H7:K7)</f>
        <v>#REF!</v>
      </c>
    </row>
    <row r="8" spans="1:12" ht="17.399999999999999">
      <c r="A8" s="3"/>
      <c r="B8" s="4"/>
      <c r="C8" s="4"/>
      <c r="D8" s="4"/>
      <c r="E8" s="27" t="e">
        <f>'包租 '!FE33</f>
        <v>#REF!</v>
      </c>
      <c r="F8" s="27">
        <f>'包租 '!FK33</f>
        <v>0</v>
      </c>
      <c r="G8" s="27"/>
      <c r="H8" s="27">
        <f>'包租 '!S32</f>
        <v>21000</v>
      </c>
      <c r="I8" s="27">
        <f>'包租 '!AA32</f>
        <v>3000</v>
      </c>
      <c r="J8" s="27">
        <f>'代租 '!Q18</f>
        <v>56000</v>
      </c>
      <c r="K8" s="27">
        <f>'代租 '!S18</f>
        <v>8200</v>
      </c>
      <c r="L8" s="5">
        <f t="shared" si="0"/>
        <v>88200</v>
      </c>
    </row>
    <row r="9" spans="1:12" s="2" customFormat="1" ht="17.399999999999999">
      <c r="A9" s="7" t="s">
        <v>77</v>
      </c>
      <c r="B9" s="8">
        <f t="shared" ref="B9:L9" si="1">SUM(B3:B8)</f>
        <v>0</v>
      </c>
      <c r="C9" s="9">
        <f t="shared" si="1"/>
        <v>0</v>
      </c>
      <c r="D9" s="8" t="e">
        <f t="shared" si="1"/>
        <v>#REF!</v>
      </c>
      <c r="E9" s="9" t="e">
        <f t="shared" si="1"/>
        <v>#REF!</v>
      </c>
      <c r="F9" s="8" t="e">
        <f t="shared" si="1"/>
        <v>#REF!</v>
      </c>
      <c r="G9" s="8">
        <f t="shared" si="1"/>
        <v>0</v>
      </c>
      <c r="H9" s="8" t="e">
        <f t="shared" si="1"/>
        <v>#REF!</v>
      </c>
      <c r="I9" s="8" t="e">
        <f t="shared" si="1"/>
        <v>#REF!</v>
      </c>
      <c r="J9" s="8" t="e">
        <f t="shared" si="1"/>
        <v>#REF!</v>
      </c>
      <c r="K9" s="8" t="e">
        <f t="shared" si="1"/>
        <v>#REF!</v>
      </c>
      <c r="L9" s="5" t="e">
        <f t="shared" si="1"/>
        <v>#REF!</v>
      </c>
    </row>
    <row r="10" spans="1:12" ht="19.8">
      <c r="A10" s="10"/>
      <c r="B10" s="10"/>
      <c r="C10" s="553" t="s">
        <v>113</v>
      </c>
      <c r="D10" s="553"/>
      <c r="E10" s="9" t="e">
        <f>C9+E9</f>
        <v>#REF!</v>
      </c>
      <c r="F10" s="10"/>
      <c r="G10" s="10"/>
      <c r="H10" s="10"/>
      <c r="I10" s="10"/>
      <c r="J10" s="554" t="s">
        <v>112</v>
      </c>
      <c r="K10" s="555"/>
      <c r="L10" s="8" t="e">
        <f>SUM(B9:K9)</f>
        <v>#REF!</v>
      </c>
    </row>
  </sheetData>
  <mergeCells count="7">
    <mergeCell ref="C10:D10"/>
    <mergeCell ref="J10:K10"/>
    <mergeCell ref="A1:A2"/>
    <mergeCell ref="L1:L2"/>
    <mergeCell ref="B1:D1"/>
    <mergeCell ref="E1:F1"/>
    <mergeCell ref="G1:K1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92" orientation="landscape" horizontalDpi="300" verticalDpi="300" r:id="rId1"/>
  <headerFooter>
    <oddHeader>&amp;L&amp;"標楷體,標準"&amp;14附件3&amp;C&amp;"標楷體,標準"&amp;20核撥第四期台南公會所轄業者相關款項及金額一覽表 &amp;R&amp;"標楷體,標準"&amp;14單位：新臺幣／元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JR32"/>
  <sheetViews>
    <sheetView tabSelected="1" zoomScaleNormal="100" workbookViewId="0">
      <pane xSplit="4" ySplit="4" topLeftCell="E5" activePane="bottomRight" state="frozen"/>
      <selection pane="topRight" activeCell="D1" sqref="D1"/>
      <selection pane="bottomLeft" activeCell="A5" sqref="A5"/>
      <selection pane="bottomRight" activeCell="A7" sqref="A7:XFD7"/>
    </sheetView>
  </sheetViews>
  <sheetFormatPr defaultColWidth="8.88671875" defaultRowHeight="16.2" outlineLevelCol="1"/>
  <cols>
    <col min="1" max="1" width="4.44140625" style="47" customWidth="1"/>
    <col min="2" max="2" width="13" style="48" hidden="1" customWidth="1"/>
    <col min="3" max="3" width="13" style="86" hidden="1" customWidth="1"/>
    <col min="4" max="4" width="23.77734375" style="277" customWidth="1"/>
    <col min="5" max="5" width="16" style="50" customWidth="1"/>
    <col min="6" max="6" width="17.33203125" style="51" customWidth="1"/>
    <col min="7" max="7" width="39.33203125" style="52" bestFit="1" customWidth="1"/>
    <col min="8" max="8" width="8.109375" style="53" customWidth="1" outlineLevel="1"/>
    <col min="9" max="9" width="13.88671875" style="53" customWidth="1" outlineLevel="1"/>
    <col min="10" max="10" width="10.88671875" style="161" customWidth="1" outlineLevel="1"/>
    <col min="11" max="11" width="13.6640625" style="161" customWidth="1" outlineLevel="1"/>
    <col min="12" max="12" width="10.109375" style="54" customWidth="1" outlineLevel="1"/>
    <col min="13" max="13" width="12.44140625" style="52" customWidth="1" outlineLevel="1"/>
    <col min="14" max="14" width="12.44140625" style="55" customWidth="1"/>
    <col min="15" max="15" width="13.109375" style="71" customWidth="1"/>
    <col min="16" max="16" width="11.44140625" style="72" customWidth="1"/>
    <col min="17" max="17" width="14.44140625" style="162" customWidth="1"/>
    <col min="18" max="18" width="14.44140625" style="56" customWidth="1"/>
    <col min="19" max="19" width="12.109375" style="162" customWidth="1"/>
    <col min="20" max="20" width="14.109375" style="163" customWidth="1"/>
    <col min="21" max="21" width="13.109375" style="59" customWidth="1"/>
    <col min="22" max="22" width="14.109375" style="58" customWidth="1"/>
    <col min="23" max="23" width="11.44140625" style="59" customWidth="1"/>
    <col min="24" max="24" width="12.88671875" style="58" customWidth="1"/>
    <col min="25" max="25" width="10.44140625" style="59" customWidth="1"/>
    <col min="26" max="26" width="13" style="58" customWidth="1"/>
    <col min="27" max="27" width="10.109375" style="59" customWidth="1"/>
    <col min="28" max="28" width="12.88671875" style="58" customWidth="1"/>
    <col min="29" max="29" width="10.88671875" style="59" customWidth="1"/>
    <col min="30" max="30" width="13.109375" style="58" customWidth="1"/>
    <col min="31" max="31" width="11" style="59" customWidth="1"/>
    <col min="32" max="32" width="12.88671875" style="73" customWidth="1"/>
    <col min="33" max="33" width="11.109375" style="59" customWidth="1"/>
    <col min="34" max="34" width="13.6640625" style="73" customWidth="1"/>
    <col min="35" max="35" width="9.6640625" style="59" customWidth="1"/>
    <col min="36" max="36" width="14.33203125" style="73" customWidth="1"/>
    <col min="37" max="37" width="8.88671875" style="59" customWidth="1"/>
    <col min="38" max="38" width="12" style="73" customWidth="1"/>
    <col min="39" max="39" width="8.88671875" style="59" customWidth="1"/>
    <col min="40" max="40" width="12.88671875" style="73" customWidth="1"/>
    <col min="41" max="41" width="8.88671875" style="59" customWidth="1"/>
    <col min="42" max="42" width="11.88671875" style="140" customWidth="1"/>
    <col min="43" max="43" width="11.88671875" style="141" hidden="1" customWidth="1" outlineLevel="1"/>
    <col min="44" max="44" width="11.88671875" style="73" hidden="1" customWidth="1" outlineLevel="1"/>
    <col min="45" max="45" width="11.88671875" style="142" hidden="1" customWidth="1" outlineLevel="1"/>
    <col min="46" max="65" width="11.88671875" style="73" hidden="1" customWidth="1" outlineLevel="1"/>
    <col min="66" max="66" width="11.88671875" style="140" hidden="1" customWidth="1" outlineLevel="1"/>
    <col min="67" max="67" width="11.88671875" style="141" hidden="1" customWidth="1" outlineLevel="1"/>
    <col min="68" max="89" width="11.88671875" style="73" hidden="1" customWidth="1" outlineLevel="1"/>
    <col min="90" max="90" width="11.88671875" style="143" hidden="1" customWidth="1" outlineLevel="1"/>
    <col min="91" max="91" width="12.33203125" style="74" customWidth="1" collapsed="1"/>
    <col min="92" max="92" width="14" style="164" customWidth="1"/>
    <col min="93" max="93" width="13.44140625" style="165" customWidth="1"/>
    <col min="94" max="94" width="18.109375" style="166" customWidth="1"/>
    <col min="95" max="95" width="40.88671875" style="60" customWidth="1"/>
    <col min="96" max="96" width="19.88671875" style="61" customWidth="1"/>
    <col min="97" max="97" width="16.44140625" style="60" customWidth="1"/>
    <col min="98" max="98" width="11.44140625" style="62" customWidth="1"/>
    <col min="99" max="99" width="12.109375" style="63" customWidth="1"/>
    <col min="100" max="102" width="12.109375" style="63" hidden="1" customWidth="1"/>
    <col min="103" max="103" width="12.109375" style="64" hidden="1" customWidth="1"/>
    <col min="104" max="104" width="12" style="87" customWidth="1"/>
    <col min="105" max="105" width="11.88671875" style="65" customWidth="1"/>
    <col min="106" max="106" width="10" style="77" customWidth="1"/>
    <col min="107" max="107" width="11.88671875" style="63" customWidth="1"/>
    <col min="108" max="108" width="11" style="77" customWidth="1"/>
    <col min="109" max="109" width="12.88671875" style="63" customWidth="1"/>
    <col min="110" max="110" width="9.109375" style="77" customWidth="1"/>
    <col min="111" max="111" width="12.88671875" style="63" customWidth="1"/>
    <col min="112" max="112" width="9.109375" style="169" customWidth="1"/>
    <col min="113" max="113" width="9.109375" style="139" hidden="1" customWidth="1"/>
    <col min="114" max="120" width="9.109375" style="77" hidden="1" customWidth="1"/>
    <col min="121" max="121" width="9.109375" style="184" hidden="1" customWidth="1"/>
    <col min="122" max="122" width="9.109375" style="139" hidden="1" customWidth="1"/>
    <col min="123" max="129" width="9.109375" style="77" hidden="1" customWidth="1"/>
    <col min="130" max="130" width="9.109375" style="185" hidden="1" customWidth="1"/>
    <col min="131" max="131" width="10.44140625" style="66" customWidth="1"/>
    <col min="132" max="132" width="12" style="167" bestFit="1" customWidth="1"/>
    <col min="133" max="133" width="13.88671875" style="79" customWidth="1"/>
    <col min="134" max="134" width="8.44140625" style="79" customWidth="1"/>
    <col min="135" max="135" width="16.44140625" style="79" customWidth="1"/>
    <col min="136" max="136" width="8.88671875" style="78" customWidth="1"/>
    <col min="137" max="137" width="13.44140625" style="78" customWidth="1"/>
    <col min="138" max="138" width="10.6640625" style="78" customWidth="1"/>
    <col min="139" max="139" width="8.109375" style="78" customWidth="1"/>
    <col min="140" max="140" width="11.109375" style="79" customWidth="1"/>
    <col min="141" max="141" width="9.88671875" style="79" customWidth="1"/>
    <col min="142" max="142" width="9" style="79" customWidth="1"/>
    <col min="143" max="143" width="10.109375" style="79" customWidth="1"/>
    <col min="144" max="144" width="9.88671875" style="80" customWidth="1"/>
    <col min="145" max="145" width="10.44140625" style="81" customWidth="1"/>
    <col min="146" max="146" width="8.88671875" style="78" customWidth="1"/>
    <col min="147" max="147" width="13.109375" style="78" customWidth="1"/>
    <col min="148" max="148" width="12.109375" style="78" customWidth="1"/>
    <col min="149" max="149" width="16.44140625" style="79" customWidth="1"/>
    <col min="150" max="151" width="16.44140625" style="78" customWidth="1"/>
    <col min="152" max="152" width="16.44140625" style="79" customWidth="1"/>
    <col min="153" max="153" width="11.109375" style="144" hidden="1" customWidth="1"/>
    <col min="154" max="154" width="13.44140625" style="68" hidden="1" customWidth="1"/>
    <col min="155" max="157" width="11.109375" style="68" hidden="1" customWidth="1"/>
    <col min="158" max="158" width="11.109375" style="69" hidden="1" customWidth="1"/>
    <col min="159" max="159" width="13.6640625" style="82" hidden="1" customWidth="1"/>
    <col min="160" max="160" width="13.44140625" style="68" hidden="1" customWidth="1"/>
    <col min="161" max="161" width="12.88671875" style="83" hidden="1" customWidth="1"/>
    <col min="162" max="162" width="12.88671875" style="68" hidden="1" customWidth="1"/>
    <col min="163" max="163" width="12.109375" style="83" hidden="1" customWidth="1"/>
    <col min="164" max="164" width="12.109375" style="68" hidden="1" customWidth="1"/>
    <col min="165" max="165" width="11.88671875" style="83" hidden="1" customWidth="1"/>
    <col min="166" max="166" width="11.88671875" style="68" hidden="1" customWidth="1"/>
    <col min="167" max="167" width="12.44140625" style="83" hidden="1" customWidth="1"/>
    <col min="168" max="168" width="12.44140625" style="68" hidden="1" customWidth="1"/>
    <col min="169" max="169" width="12.109375" style="83" hidden="1" customWidth="1"/>
    <col min="170" max="170" width="12.109375" style="84" hidden="1" customWidth="1"/>
    <col min="171" max="171" width="11.109375" style="83" hidden="1" customWidth="1"/>
    <col min="172" max="172" width="12.109375" style="84" hidden="1" customWidth="1"/>
    <col min="173" max="173" width="11.109375" style="83" hidden="1" customWidth="1"/>
    <col min="174" max="174" width="12.6640625" style="84" hidden="1" customWidth="1"/>
    <col min="175" max="175" width="10.88671875" style="83" hidden="1" customWidth="1"/>
    <col min="176" max="176" width="11.6640625" style="84" hidden="1" customWidth="1"/>
    <col min="177" max="177" width="11.44140625" style="83" hidden="1" customWidth="1"/>
    <col min="178" max="178" width="13.33203125" style="84" hidden="1" customWidth="1"/>
    <col min="179" max="179" width="11.88671875" style="83" hidden="1" customWidth="1"/>
    <col min="180" max="180" width="11.88671875" style="84" hidden="1" customWidth="1"/>
    <col min="181" max="181" width="12.44140625" style="83" hidden="1" customWidth="1"/>
    <col min="182" max="182" width="12.44140625" style="85" hidden="1" customWidth="1"/>
    <col min="183" max="183" width="12.44140625" style="137" hidden="1" customWidth="1"/>
    <col min="184" max="205" width="12.44140625" style="135" hidden="1" customWidth="1"/>
    <col min="206" max="206" width="12.44140625" style="136" hidden="1" customWidth="1"/>
    <col min="207" max="207" width="12.44140625" style="137" hidden="1" customWidth="1"/>
    <col min="208" max="229" width="12.44140625" style="135" hidden="1" customWidth="1"/>
    <col min="230" max="230" width="12.44140625" style="138" hidden="1" customWidth="1"/>
    <col min="231" max="16384" width="8.88671875" style="46"/>
  </cols>
  <sheetData>
    <row r="1" spans="1:278" s="29" customFormat="1" ht="17.100000000000001" customHeight="1" thickTop="1">
      <c r="A1" s="561" t="s">
        <v>6</v>
      </c>
      <c r="B1" s="564" t="s">
        <v>0</v>
      </c>
      <c r="C1" s="691" t="s">
        <v>151</v>
      </c>
      <c r="D1" s="694"/>
      <c r="E1" s="695"/>
      <c r="F1" s="696"/>
      <c r="G1" s="632" t="s">
        <v>76</v>
      </c>
      <c r="H1" s="633"/>
      <c r="I1" s="633"/>
      <c r="J1" s="633"/>
      <c r="K1" s="633"/>
      <c r="L1" s="633"/>
      <c r="M1" s="633"/>
      <c r="N1" s="633"/>
      <c r="O1" s="633"/>
      <c r="P1" s="634"/>
      <c r="Q1" s="558" t="s">
        <v>0</v>
      </c>
      <c r="R1" s="559"/>
      <c r="S1" s="559"/>
      <c r="T1" s="559"/>
      <c r="U1" s="559"/>
      <c r="V1" s="559"/>
      <c r="W1" s="559"/>
      <c r="X1" s="559"/>
      <c r="Y1" s="559"/>
      <c r="Z1" s="559"/>
      <c r="AA1" s="559"/>
      <c r="AB1" s="559"/>
      <c r="AC1" s="559"/>
      <c r="AD1" s="559"/>
      <c r="AE1" s="559"/>
      <c r="AF1" s="559"/>
      <c r="AG1" s="559"/>
      <c r="AH1" s="559"/>
      <c r="AI1" s="559"/>
      <c r="AJ1" s="559"/>
      <c r="AK1" s="559"/>
      <c r="AL1" s="559"/>
      <c r="AM1" s="559"/>
      <c r="AN1" s="559"/>
      <c r="AO1" s="559"/>
      <c r="AP1" s="559"/>
      <c r="AQ1" s="559"/>
      <c r="AR1" s="559"/>
      <c r="AS1" s="559"/>
      <c r="AT1" s="559"/>
      <c r="AU1" s="559"/>
      <c r="AV1" s="559"/>
      <c r="AW1" s="559"/>
      <c r="AX1" s="559"/>
      <c r="AY1" s="559"/>
      <c r="AZ1" s="559"/>
      <c r="BA1" s="559"/>
      <c r="BB1" s="559"/>
      <c r="BC1" s="559"/>
      <c r="BD1" s="559"/>
      <c r="BE1" s="559"/>
      <c r="BF1" s="559"/>
      <c r="BG1" s="559"/>
      <c r="BH1" s="559"/>
      <c r="BI1" s="559"/>
      <c r="BJ1" s="559"/>
      <c r="BK1" s="559"/>
      <c r="BL1" s="559"/>
      <c r="BM1" s="559"/>
      <c r="BN1" s="559"/>
      <c r="BO1" s="559"/>
      <c r="BP1" s="559"/>
      <c r="BQ1" s="559"/>
      <c r="BR1" s="559"/>
      <c r="BS1" s="559"/>
      <c r="BT1" s="559"/>
      <c r="BU1" s="559"/>
      <c r="BV1" s="559"/>
      <c r="BW1" s="559"/>
      <c r="BX1" s="559"/>
      <c r="BY1" s="559"/>
      <c r="BZ1" s="559"/>
      <c r="CA1" s="559"/>
      <c r="CB1" s="559"/>
      <c r="CC1" s="559"/>
      <c r="CD1" s="559"/>
      <c r="CE1" s="559"/>
      <c r="CF1" s="559"/>
      <c r="CG1" s="559"/>
      <c r="CH1" s="559"/>
      <c r="CI1" s="559"/>
      <c r="CJ1" s="559"/>
      <c r="CK1" s="559"/>
      <c r="CL1" s="559"/>
      <c r="CM1" s="567" t="s">
        <v>2</v>
      </c>
      <c r="CN1" s="567"/>
      <c r="CO1" s="567"/>
      <c r="CP1" s="567"/>
      <c r="CQ1" s="567"/>
      <c r="CR1" s="567"/>
      <c r="CS1" s="567"/>
      <c r="CT1" s="568"/>
      <c r="CU1" s="569"/>
      <c r="CV1" s="569"/>
      <c r="CW1" s="569"/>
      <c r="CX1" s="569"/>
      <c r="CY1" s="569"/>
      <c r="CZ1" s="568"/>
      <c r="DA1" s="568"/>
      <c r="DB1" s="568"/>
      <c r="DC1" s="568"/>
      <c r="DD1" s="568"/>
      <c r="DE1" s="568"/>
      <c r="DF1" s="568"/>
      <c r="DG1" s="568"/>
      <c r="DH1" s="568"/>
      <c r="DI1" s="568"/>
      <c r="DJ1" s="568"/>
      <c r="DK1" s="568"/>
      <c r="DL1" s="568"/>
      <c r="DM1" s="568"/>
      <c r="DN1" s="568"/>
      <c r="DO1" s="568"/>
      <c r="DP1" s="568"/>
      <c r="DQ1" s="568"/>
      <c r="DR1" s="568"/>
      <c r="DS1" s="568"/>
      <c r="DT1" s="568"/>
      <c r="DU1" s="568"/>
      <c r="DV1" s="568"/>
      <c r="DW1" s="568"/>
      <c r="DX1" s="568"/>
      <c r="DY1" s="568"/>
      <c r="DZ1" s="568"/>
      <c r="EA1" s="701" t="s">
        <v>3</v>
      </c>
      <c r="EB1" s="702"/>
      <c r="EC1" s="702"/>
      <c r="ED1" s="702"/>
      <c r="EE1" s="702"/>
      <c r="EF1" s="702"/>
      <c r="EG1" s="702"/>
      <c r="EH1" s="702"/>
      <c r="EI1" s="702"/>
      <c r="EJ1" s="702"/>
      <c r="EK1" s="702"/>
      <c r="EL1" s="702"/>
      <c r="EM1" s="702"/>
      <c r="EN1" s="702"/>
      <c r="EO1" s="702"/>
      <c r="EP1" s="702"/>
      <c r="EQ1" s="702"/>
      <c r="ER1" s="702"/>
      <c r="ES1" s="702"/>
      <c r="ET1" s="702"/>
      <c r="EU1" s="702"/>
      <c r="EV1" s="702"/>
      <c r="EW1" s="702"/>
      <c r="EX1" s="702"/>
      <c r="EY1" s="702"/>
      <c r="EZ1" s="702"/>
      <c r="FA1" s="702"/>
      <c r="FB1" s="702"/>
      <c r="FC1" s="702"/>
      <c r="FD1" s="702"/>
      <c r="FE1" s="702"/>
      <c r="FF1" s="702"/>
      <c r="FG1" s="702"/>
      <c r="FH1" s="702"/>
      <c r="FI1" s="702"/>
      <c r="FJ1" s="702"/>
      <c r="FK1" s="702"/>
      <c r="FL1" s="702"/>
      <c r="FM1" s="702"/>
      <c r="FN1" s="702"/>
      <c r="FO1" s="702"/>
      <c r="FP1" s="702"/>
      <c r="FQ1" s="702"/>
      <c r="FR1" s="702"/>
      <c r="FS1" s="702"/>
      <c r="FT1" s="702"/>
      <c r="FU1" s="702"/>
      <c r="FV1" s="702"/>
      <c r="FW1" s="702"/>
      <c r="FX1" s="702"/>
      <c r="FY1" s="702"/>
      <c r="FZ1" s="702"/>
      <c r="GA1" s="702"/>
      <c r="GB1" s="702"/>
      <c r="GC1" s="702"/>
      <c r="GD1" s="702"/>
      <c r="GE1" s="702"/>
      <c r="GF1" s="702"/>
      <c r="GG1" s="702"/>
      <c r="GH1" s="702"/>
      <c r="GI1" s="702"/>
      <c r="GJ1" s="702"/>
      <c r="GK1" s="702"/>
      <c r="GL1" s="702"/>
      <c r="GM1" s="702"/>
      <c r="GN1" s="702"/>
      <c r="GO1" s="702"/>
      <c r="GP1" s="702"/>
      <c r="GQ1" s="702"/>
      <c r="GR1" s="702"/>
      <c r="GS1" s="702"/>
      <c r="GT1" s="702"/>
      <c r="GU1" s="702"/>
      <c r="GV1" s="702"/>
      <c r="GW1" s="702"/>
      <c r="GX1" s="702"/>
      <c r="GY1" s="702"/>
      <c r="GZ1" s="702"/>
      <c r="HA1" s="702"/>
      <c r="HB1" s="702"/>
      <c r="HC1" s="702"/>
      <c r="HD1" s="702"/>
      <c r="HE1" s="702"/>
      <c r="HF1" s="702"/>
      <c r="HG1" s="702"/>
      <c r="HH1" s="702"/>
      <c r="HI1" s="702"/>
      <c r="HJ1" s="702"/>
      <c r="HK1" s="702"/>
      <c r="HL1" s="702"/>
      <c r="HM1" s="702"/>
      <c r="HN1" s="702"/>
      <c r="HO1" s="702"/>
      <c r="HP1" s="702"/>
      <c r="HQ1" s="702"/>
      <c r="HR1" s="702"/>
      <c r="HS1" s="702"/>
      <c r="HT1" s="702"/>
      <c r="HU1" s="702"/>
      <c r="HV1" s="703"/>
    </row>
    <row r="2" spans="1:278" s="29" customFormat="1" ht="17.100000000000001" customHeight="1">
      <c r="A2" s="562"/>
      <c r="B2" s="565"/>
      <c r="C2" s="692"/>
      <c r="D2" s="570" t="s">
        <v>1</v>
      </c>
      <c r="E2" s="697" t="s">
        <v>203</v>
      </c>
      <c r="F2" s="698" t="s">
        <v>152</v>
      </c>
      <c r="G2" s="593" t="s">
        <v>67</v>
      </c>
      <c r="H2" s="595" t="s">
        <v>68</v>
      </c>
      <c r="I2" s="595" t="s">
        <v>69</v>
      </c>
      <c r="J2" s="595" t="s">
        <v>140</v>
      </c>
      <c r="K2" s="595" t="s">
        <v>139</v>
      </c>
      <c r="L2" s="597" t="s">
        <v>70</v>
      </c>
      <c r="M2" s="595" t="s">
        <v>71</v>
      </c>
      <c r="N2" s="573" t="s">
        <v>111</v>
      </c>
      <c r="O2" s="576" t="s">
        <v>126</v>
      </c>
      <c r="P2" s="579" t="s">
        <v>8</v>
      </c>
      <c r="Q2" s="584" t="s">
        <v>11</v>
      </c>
      <c r="R2" s="585"/>
      <c r="S2" s="586" t="s">
        <v>88</v>
      </c>
      <c r="T2" s="587"/>
      <c r="U2" s="587"/>
      <c r="V2" s="587"/>
      <c r="W2" s="587"/>
      <c r="X2" s="587"/>
      <c r="Y2" s="587"/>
      <c r="Z2" s="587"/>
      <c r="AA2" s="587"/>
      <c r="AB2" s="587"/>
      <c r="AC2" s="587"/>
      <c r="AD2" s="587"/>
      <c r="AE2" s="587"/>
      <c r="AF2" s="587"/>
      <c r="AG2" s="587"/>
      <c r="AH2" s="587"/>
      <c r="AI2" s="587"/>
      <c r="AJ2" s="587"/>
      <c r="AK2" s="587"/>
      <c r="AL2" s="587"/>
      <c r="AM2" s="587"/>
      <c r="AN2" s="587"/>
      <c r="AO2" s="587"/>
      <c r="AP2" s="588"/>
      <c r="AQ2" s="586" t="s">
        <v>90</v>
      </c>
      <c r="AR2" s="587"/>
      <c r="AS2" s="587"/>
      <c r="AT2" s="587"/>
      <c r="AU2" s="587"/>
      <c r="AV2" s="587"/>
      <c r="AW2" s="587"/>
      <c r="AX2" s="587"/>
      <c r="AY2" s="587"/>
      <c r="AZ2" s="587"/>
      <c r="BA2" s="587"/>
      <c r="BB2" s="587"/>
      <c r="BC2" s="587"/>
      <c r="BD2" s="587"/>
      <c r="BE2" s="587"/>
      <c r="BF2" s="587"/>
      <c r="BG2" s="587"/>
      <c r="BH2" s="587"/>
      <c r="BI2" s="587"/>
      <c r="BJ2" s="587"/>
      <c r="BK2" s="587"/>
      <c r="BL2" s="587"/>
      <c r="BM2" s="587"/>
      <c r="BN2" s="588"/>
      <c r="BO2" s="586" t="s">
        <v>91</v>
      </c>
      <c r="BP2" s="587"/>
      <c r="BQ2" s="587"/>
      <c r="BR2" s="587"/>
      <c r="BS2" s="587"/>
      <c r="BT2" s="587"/>
      <c r="BU2" s="587"/>
      <c r="BV2" s="587"/>
      <c r="BW2" s="587"/>
      <c r="BX2" s="587"/>
      <c r="BY2" s="587"/>
      <c r="BZ2" s="587"/>
      <c r="CA2" s="587"/>
      <c r="CB2" s="587"/>
      <c r="CC2" s="587"/>
      <c r="CD2" s="587"/>
      <c r="CE2" s="587"/>
      <c r="CF2" s="587"/>
      <c r="CG2" s="587"/>
      <c r="CH2" s="587"/>
      <c r="CI2" s="587"/>
      <c r="CJ2" s="587"/>
      <c r="CK2" s="587"/>
      <c r="CL2" s="588"/>
      <c r="CM2" s="623" t="s">
        <v>131</v>
      </c>
      <c r="CN2" s="642" t="s">
        <v>38</v>
      </c>
      <c r="CO2" s="643"/>
      <c r="CP2" s="643"/>
      <c r="CQ2" s="644"/>
      <c r="CR2" s="647" t="s">
        <v>136</v>
      </c>
      <c r="CS2" s="617" t="s">
        <v>137</v>
      </c>
      <c r="CT2" s="631" t="s">
        <v>92</v>
      </c>
      <c r="CU2" s="635"/>
      <c r="CV2" s="628" t="s">
        <v>93</v>
      </c>
      <c r="CW2" s="635"/>
      <c r="CX2" s="628" t="s">
        <v>94</v>
      </c>
      <c r="CY2" s="638"/>
      <c r="CZ2" s="582" t="s">
        <v>15</v>
      </c>
      <c r="DA2" s="583"/>
      <c r="DB2" s="583"/>
      <c r="DC2" s="583"/>
      <c r="DD2" s="583"/>
      <c r="DE2" s="583"/>
      <c r="DF2" s="583"/>
      <c r="DG2" s="583"/>
      <c r="DH2" s="583"/>
      <c r="DI2" s="583"/>
      <c r="DJ2" s="583"/>
      <c r="DK2" s="583"/>
      <c r="DL2" s="583"/>
      <c r="DM2" s="583"/>
      <c r="DN2" s="583"/>
      <c r="DO2" s="583"/>
      <c r="DP2" s="583"/>
      <c r="DQ2" s="583"/>
      <c r="DR2" s="583"/>
      <c r="DS2" s="583"/>
      <c r="DT2" s="583"/>
      <c r="DU2" s="583"/>
      <c r="DV2" s="583"/>
      <c r="DW2" s="583"/>
      <c r="DX2" s="583"/>
      <c r="DY2" s="583"/>
      <c r="DZ2" s="583"/>
      <c r="EA2" s="679" t="s">
        <v>133</v>
      </c>
      <c r="EB2" s="680"/>
      <c r="EC2" s="680"/>
      <c r="ED2" s="680"/>
      <c r="EE2" s="680"/>
      <c r="EF2" s="606" t="s">
        <v>142</v>
      </c>
      <c r="EG2" s="607"/>
      <c r="EH2" s="607"/>
      <c r="EI2" s="607"/>
      <c r="EJ2" s="607"/>
      <c r="EK2" s="607"/>
      <c r="EL2" s="607"/>
      <c r="EM2" s="607"/>
      <c r="EN2" s="608"/>
      <c r="EO2" s="689" t="s">
        <v>138</v>
      </c>
      <c r="EP2" s="604"/>
      <c r="EQ2" s="604"/>
      <c r="ER2" s="604"/>
      <c r="ES2" s="663"/>
      <c r="ET2" s="606" t="s">
        <v>148</v>
      </c>
      <c r="EU2" s="607"/>
      <c r="EV2" s="609"/>
      <c r="EW2" s="671" t="s">
        <v>92</v>
      </c>
      <c r="EX2" s="672"/>
      <c r="EY2" s="665" t="s">
        <v>93</v>
      </c>
      <c r="EZ2" s="706"/>
      <c r="FA2" s="665" t="s">
        <v>94</v>
      </c>
      <c r="FB2" s="666"/>
      <c r="FC2" s="654" t="s">
        <v>103</v>
      </c>
      <c r="FD2" s="655"/>
      <c r="FE2" s="656"/>
      <c r="FF2" s="656"/>
      <c r="FG2" s="656"/>
      <c r="FH2" s="656"/>
      <c r="FI2" s="656"/>
      <c r="FJ2" s="656"/>
      <c r="FK2" s="656"/>
      <c r="FL2" s="656"/>
      <c r="FM2" s="656"/>
      <c r="FN2" s="656"/>
      <c r="FO2" s="656"/>
      <c r="FP2" s="656"/>
      <c r="FQ2" s="656"/>
      <c r="FR2" s="656"/>
      <c r="FS2" s="656"/>
      <c r="FT2" s="656"/>
      <c r="FU2" s="656"/>
      <c r="FV2" s="656"/>
      <c r="FW2" s="656"/>
      <c r="FX2" s="656"/>
      <c r="FY2" s="656"/>
      <c r="FZ2" s="657"/>
      <c r="GA2" s="654" t="s">
        <v>104</v>
      </c>
      <c r="GB2" s="655"/>
      <c r="GC2" s="656"/>
      <c r="GD2" s="656"/>
      <c r="GE2" s="656"/>
      <c r="GF2" s="656"/>
      <c r="GG2" s="656"/>
      <c r="GH2" s="656"/>
      <c r="GI2" s="656"/>
      <c r="GJ2" s="656"/>
      <c r="GK2" s="656"/>
      <c r="GL2" s="656"/>
      <c r="GM2" s="656"/>
      <c r="GN2" s="656"/>
      <c r="GO2" s="656"/>
      <c r="GP2" s="656"/>
      <c r="GQ2" s="656"/>
      <c r="GR2" s="656"/>
      <c r="GS2" s="656"/>
      <c r="GT2" s="656"/>
      <c r="GU2" s="656"/>
      <c r="GV2" s="656"/>
      <c r="GW2" s="656"/>
      <c r="GX2" s="657"/>
      <c r="GY2" s="654" t="s">
        <v>105</v>
      </c>
      <c r="GZ2" s="655"/>
      <c r="HA2" s="656"/>
      <c r="HB2" s="656"/>
      <c r="HC2" s="656"/>
      <c r="HD2" s="656"/>
      <c r="HE2" s="656"/>
      <c r="HF2" s="656"/>
      <c r="HG2" s="656"/>
      <c r="HH2" s="656"/>
      <c r="HI2" s="656"/>
      <c r="HJ2" s="656"/>
      <c r="HK2" s="656"/>
      <c r="HL2" s="656"/>
      <c r="HM2" s="656"/>
      <c r="HN2" s="656"/>
      <c r="HO2" s="656"/>
      <c r="HP2" s="656"/>
      <c r="HQ2" s="656"/>
      <c r="HR2" s="656"/>
      <c r="HS2" s="656"/>
      <c r="HT2" s="656"/>
      <c r="HU2" s="656"/>
      <c r="HV2" s="657"/>
    </row>
    <row r="3" spans="1:278" s="29" customFormat="1" ht="17.100000000000001" customHeight="1">
      <c r="A3" s="562"/>
      <c r="B3" s="565"/>
      <c r="C3" s="692"/>
      <c r="D3" s="571"/>
      <c r="E3" s="692"/>
      <c r="F3" s="699"/>
      <c r="G3" s="593"/>
      <c r="H3" s="595"/>
      <c r="I3" s="595"/>
      <c r="J3" s="595"/>
      <c r="K3" s="595"/>
      <c r="L3" s="597"/>
      <c r="M3" s="595"/>
      <c r="N3" s="574"/>
      <c r="O3" s="577"/>
      <c r="P3" s="580"/>
      <c r="Q3" s="589" t="s">
        <v>11</v>
      </c>
      <c r="R3" s="610" t="s">
        <v>127</v>
      </c>
      <c r="S3" s="612" t="s">
        <v>19</v>
      </c>
      <c r="T3" s="585"/>
      <c r="U3" s="560" t="s">
        <v>20</v>
      </c>
      <c r="V3" s="560"/>
      <c r="W3" s="560" t="s">
        <v>21</v>
      </c>
      <c r="X3" s="560"/>
      <c r="Y3" s="560" t="s">
        <v>22</v>
      </c>
      <c r="Z3" s="560"/>
      <c r="AA3" s="560" t="s">
        <v>23</v>
      </c>
      <c r="AB3" s="560"/>
      <c r="AC3" s="560" t="s">
        <v>24</v>
      </c>
      <c r="AD3" s="560"/>
      <c r="AE3" s="560" t="s">
        <v>25</v>
      </c>
      <c r="AF3" s="560"/>
      <c r="AG3" s="560" t="s">
        <v>26</v>
      </c>
      <c r="AH3" s="560"/>
      <c r="AI3" s="560" t="s">
        <v>27</v>
      </c>
      <c r="AJ3" s="560"/>
      <c r="AK3" s="560" t="s">
        <v>28</v>
      </c>
      <c r="AL3" s="560"/>
      <c r="AM3" s="560" t="s">
        <v>29</v>
      </c>
      <c r="AN3" s="560"/>
      <c r="AO3" s="560" t="s">
        <v>30</v>
      </c>
      <c r="AP3" s="651"/>
      <c r="AQ3" s="612" t="s">
        <v>154</v>
      </c>
      <c r="AR3" s="613"/>
      <c r="AS3" s="613" t="s">
        <v>156</v>
      </c>
      <c r="AT3" s="560"/>
      <c r="AU3" s="560" t="s">
        <v>158</v>
      </c>
      <c r="AV3" s="560"/>
      <c r="AW3" s="560" t="s">
        <v>160</v>
      </c>
      <c r="AX3" s="560"/>
      <c r="AY3" s="560" t="s">
        <v>162</v>
      </c>
      <c r="AZ3" s="560"/>
      <c r="BA3" s="560" t="s">
        <v>164</v>
      </c>
      <c r="BB3" s="560"/>
      <c r="BC3" s="560" t="s">
        <v>166</v>
      </c>
      <c r="BD3" s="560"/>
      <c r="BE3" s="560" t="s">
        <v>168</v>
      </c>
      <c r="BF3" s="560"/>
      <c r="BG3" s="560" t="s">
        <v>170</v>
      </c>
      <c r="BH3" s="560"/>
      <c r="BI3" s="560" t="s">
        <v>172</v>
      </c>
      <c r="BJ3" s="560"/>
      <c r="BK3" s="560" t="s">
        <v>174</v>
      </c>
      <c r="BL3" s="560"/>
      <c r="BM3" s="612" t="s">
        <v>176</v>
      </c>
      <c r="BN3" s="652"/>
      <c r="BO3" s="653" t="s">
        <v>178</v>
      </c>
      <c r="BP3" s="560"/>
      <c r="BQ3" s="560" t="s">
        <v>180</v>
      </c>
      <c r="BR3" s="560"/>
      <c r="BS3" s="560" t="s">
        <v>182</v>
      </c>
      <c r="BT3" s="560"/>
      <c r="BU3" s="560" t="s">
        <v>184</v>
      </c>
      <c r="BV3" s="560"/>
      <c r="BW3" s="560" t="s">
        <v>186</v>
      </c>
      <c r="BX3" s="560"/>
      <c r="BY3" s="560" t="s">
        <v>188</v>
      </c>
      <c r="BZ3" s="560"/>
      <c r="CA3" s="560" t="s">
        <v>190</v>
      </c>
      <c r="CB3" s="560"/>
      <c r="CC3" s="560" t="s">
        <v>192</v>
      </c>
      <c r="CD3" s="560"/>
      <c r="CE3" s="560" t="s">
        <v>194</v>
      </c>
      <c r="CF3" s="560"/>
      <c r="CG3" s="560" t="s">
        <v>196</v>
      </c>
      <c r="CH3" s="560"/>
      <c r="CI3" s="560" t="s">
        <v>198</v>
      </c>
      <c r="CJ3" s="560"/>
      <c r="CK3" s="560" t="s">
        <v>200</v>
      </c>
      <c r="CL3" s="616"/>
      <c r="CM3" s="624"/>
      <c r="CN3" s="591" t="s">
        <v>132</v>
      </c>
      <c r="CO3" s="626" t="s">
        <v>36</v>
      </c>
      <c r="CP3" s="645" t="s">
        <v>35</v>
      </c>
      <c r="CQ3" s="617" t="s">
        <v>37</v>
      </c>
      <c r="CR3" s="648"/>
      <c r="CS3" s="618"/>
      <c r="CT3" s="619" t="s">
        <v>4</v>
      </c>
      <c r="CU3" s="614" t="s">
        <v>127</v>
      </c>
      <c r="CV3" s="636" t="s">
        <v>4</v>
      </c>
      <c r="CW3" s="614" t="s">
        <v>13</v>
      </c>
      <c r="CX3" s="636" t="s">
        <v>4</v>
      </c>
      <c r="CY3" s="639" t="s">
        <v>13</v>
      </c>
      <c r="CZ3" s="641" t="s">
        <v>31</v>
      </c>
      <c r="DA3" s="583"/>
      <c r="DB3" s="628" t="s">
        <v>32</v>
      </c>
      <c r="DC3" s="628"/>
      <c r="DD3" s="628" t="s">
        <v>33</v>
      </c>
      <c r="DE3" s="628"/>
      <c r="DF3" s="628" t="s">
        <v>34</v>
      </c>
      <c r="DG3" s="628"/>
      <c r="DH3" s="629" t="s">
        <v>17</v>
      </c>
      <c r="DI3" s="631" t="s">
        <v>95</v>
      </c>
      <c r="DJ3" s="628"/>
      <c r="DK3" s="628" t="s">
        <v>96</v>
      </c>
      <c r="DL3" s="628"/>
      <c r="DM3" s="628" t="s">
        <v>97</v>
      </c>
      <c r="DN3" s="628"/>
      <c r="DO3" s="628" t="s">
        <v>98</v>
      </c>
      <c r="DP3" s="628"/>
      <c r="DQ3" s="621" t="s">
        <v>17</v>
      </c>
      <c r="DR3" s="631" t="s">
        <v>99</v>
      </c>
      <c r="DS3" s="628"/>
      <c r="DT3" s="628" t="s">
        <v>100</v>
      </c>
      <c r="DU3" s="628"/>
      <c r="DV3" s="628" t="s">
        <v>101</v>
      </c>
      <c r="DW3" s="628"/>
      <c r="DX3" s="628" t="s">
        <v>102</v>
      </c>
      <c r="DY3" s="628"/>
      <c r="DZ3" s="661" t="s">
        <v>17</v>
      </c>
      <c r="EA3" s="681" t="s">
        <v>134</v>
      </c>
      <c r="EB3" s="600" t="s">
        <v>9</v>
      </c>
      <c r="EC3" s="685" t="s">
        <v>135</v>
      </c>
      <c r="ED3" s="604" t="s">
        <v>36</v>
      </c>
      <c r="EE3" s="663" t="s">
        <v>35</v>
      </c>
      <c r="EF3" s="606" t="s">
        <v>143</v>
      </c>
      <c r="EG3" s="607"/>
      <c r="EH3" s="609"/>
      <c r="EI3" s="606" t="s">
        <v>144</v>
      </c>
      <c r="EJ3" s="607"/>
      <c r="EK3" s="609"/>
      <c r="EL3" s="606" t="s">
        <v>147</v>
      </c>
      <c r="EM3" s="607"/>
      <c r="EN3" s="608"/>
      <c r="EO3" s="681" t="s">
        <v>134</v>
      </c>
      <c r="EP3" s="600" t="s">
        <v>9</v>
      </c>
      <c r="EQ3" s="602" t="s">
        <v>135</v>
      </c>
      <c r="ER3" s="604" t="s">
        <v>36</v>
      </c>
      <c r="ES3" s="663" t="s">
        <v>35</v>
      </c>
      <c r="ET3" s="672" t="s">
        <v>141</v>
      </c>
      <c r="EU3" s="672"/>
      <c r="EV3" s="684"/>
      <c r="EW3" s="673" t="s">
        <v>4</v>
      </c>
      <c r="EX3" s="675" t="s">
        <v>127</v>
      </c>
      <c r="EY3" s="667" t="s">
        <v>4</v>
      </c>
      <c r="EZ3" s="677" t="s">
        <v>13</v>
      </c>
      <c r="FA3" s="667" t="s">
        <v>4</v>
      </c>
      <c r="FB3" s="669" t="s">
        <v>13</v>
      </c>
      <c r="FC3" s="654" t="s">
        <v>19</v>
      </c>
      <c r="FD3" s="660"/>
      <c r="FE3" s="658" t="s">
        <v>20</v>
      </c>
      <c r="FF3" s="658"/>
      <c r="FG3" s="658" t="s">
        <v>21</v>
      </c>
      <c r="FH3" s="658"/>
      <c r="FI3" s="658" t="s">
        <v>22</v>
      </c>
      <c r="FJ3" s="658"/>
      <c r="FK3" s="658" t="s">
        <v>23</v>
      </c>
      <c r="FL3" s="658"/>
      <c r="FM3" s="658" t="s">
        <v>24</v>
      </c>
      <c r="FN3" s="658"/>
      <c r="FO3" s="658" t="s">
        <v>25</v>
      </c>
      <c r="FP3" s="658"/>
      <c r="FQ3" s="658" t="s">
        <v>26</v>
      </c>
      <c r="FR3" s="658"/>
      <c r="FS3" s="658" t="s">
        <v>27</v>
      </c>
      <c r="FT3" s="658"/>
      <c r="FU3" s="658" t="s">
        <v>28</v>
      </c>
      <c r="FV3" s="658"/>
      <c r="FW3" s="658" t="s">
        <v>29</v>
      </c>
      <c r="FX3" s="658"/>
      <c r="FY3" s="658" t="s">
        <v>30</v>
      </c>
      <c r="FZ3" s="659"/>
      <c r="GA3" s="654" t="s">
        <v>153</v>
      </c>
      <c r="GB3" s="704"/>
      <c r="GC3" s="658" t="s">
        <v>155</v>
      </c>
      <c r="GD3" s="658"/>
      <c r="GE3" s="658" t="s">
        <v>157</v>
      </c>
      <c r="GF3" s="658"/>
      <c r="GG3" s="658" t="s">
        <v>159</v>
      </c>
      <c r="GH3" s="658"/>
      <c r="GI3" s="658" t="s">
        <v>161</v>
      </c>
      <c r="GJ3" s="658"/>
      <c r="GK3" s="658" t="s">
        <v>163</v>
      </c>
      <c r="GL3" s="658"/>
      <c r="GM3" s="658" t="s">
        <v>165</v>
      </c>
      <c r="GN3" s="658"/>
      <c r="GO3" s="658" t="s">
        <v>167</v>
      </c>
      <c r="GP3" s="658"/>
      <c r="GQ3" s="658" t="s">
        <v>169</v>
      </c>
      <c r="GR3" s="658"/>
      <c r="GS3" s="658" t="s">
        <v>171</v>
      </c>
      <c r="GT3" s="658"/>
      <c r="GU3" s="658" t="s">
        <v>173</v>
      </c>
      <c r="GV3" s="658"/>
      <c r="GW3" s="658" t="s">
        <v>175</v>
      </c>
      <c r="GX3" s="659"/>
      <c r="GY3" s="654" t="s">
        <v>177</v>
      </c>
      <c r="GZ3" s="704"/>
      <c r="HA3" s="658" t="s">
        <v>179</v>
      </c>
      <c r="HB3" s="658"/>
      <c r="HC3" s="658" t="s">
        <v>181</v>
      </c>
      <c r="HD3" s="658"/>
      <c r="HE3" s="658" t="s">
        <v>183</v>
      </c>
      <c r="HF3" s="658"/>
      <c r="HG3" s="658" t="s">
        <v>185</v>
      </c>
      <c r="HH3" s="658"/>
      <c r="HI3" s="658" t="s">
        <v>187</v>
      </c>
      <c r="HJ3" s="658"/>
      <c r="HK3" s="658" t="s">
        <v>189</v>
      </c>
      <c r="HL3" s="658"/>
      <c r="HM3" s="658" t="s">
        <v>191</v>
      </c>
      <c r="HN3" s="658"/>
      <c r="HO3" s="658" t="s">
        <v>193</v>
      </c>
      <c r="HP3" s="658"/>
      <c r="HQ3" s="658" t="s">
        <v>195</v>
      </c>
      <c r="HR3" s="658"/>
      <c r="HS3" s="658" t="s">
        <v>197</v>
      </c>
      <c r="HT3" s="658"/>
      <c r="HU3" s="658" t="s">
        <v>199</v>
      </c>
      <c r="HV3" s="705"/>
    </row>
    <row r="4" spans="1:278" s="29" customFormat="1" ht="87" customHeight="1" thickBot="1">
      <c r="A4" s="563"/>
      <c r="B4" s="566"/>
      <c r="C4" s="693"/>
      <c r="D4" s="572"/>
      <c r="E4" s="693"/>
      <c r="F4" s="700"/>
      <c r="G4" s="594"/>
      <c r="H4" s="596"/>
      <c r="I4" s="596"/>
      <c r="J4" s="599"/>
      <c r="K4" s="599"/>
      <c r="L4" s="598"/>
      <c r="M4" s="596"/>
      <c r="N4" s="575"/>
      <c r="O4" s="578"/>
      <c r="P4" s="581"/>
      <c r="Q4" s="590"/>
      <c r="R4" s="611"/>
      <c r="S4" s="30" t="s">
        <v>14</v>
      </c>
      <c r="T4" s="430" t="s">
        <v>127</v>
      </c>
      <c r="U4" s="31" t="s">
        <v>14</v>
      </c>
      <c r="V4" s="32" t="s">
        <v>127</v>
      </c>
      <c r="W4" s="31" t="s">
        <v>14</v>
      </c>
      <c r="X4" s="32" t="s">
        <v>127</v>
      </c>
      <c r="Y4" s="31" t="s">
        <v>14</v>
      </c>
      <c r="Z4" s="32" t="s">
        <v>127</v>
      </c>
      <c r="AA4" s="31" t="s">
        <v>14</v>
      </c>
      <c r="AB4" s="32" t="s">
        <v>127</v>
      </c>
      <c r="AC4" s="31" t="s">
        <v>14</v>
      </c>
      <c r="AD4" s="32" t="s">
        <v>127</v>
      </c>
      <c r="AE4" s="31" t="s">
        <v>14</v>
      </c>
      <c r="AF4" s="32" t="s">
        <v>127</v>
      </c>
      <c r="AG4" s="31" t="s">
        <v>14</v>
      </c>
      <c r="AH4" s="32" t="s">
        <v>127</v>
      </c>
      <c r="AI4" s="31" t="s">
        <v>14</v>
      </c>
      <c r="AJ4" s="32" t="s">
        <v>127</v>
      </c>
      <c r="AK4" s="31" t="s">
        <v>14</v>
      </c>
      <c r="AL4" s="32" t="s">
        <v>127</v>
      </c>
      <c r="AM4" s="31" t="s">
        <v>14</v>
      </c>
      <c r="AN4" s="32" t="s">
        <v>127</v>
      </c>
      <c r="AO4" s="31" t="s">
        <v>14</v>
      </c>
      <c r="AP4" s="431" t="s">
        <v>127</v>
      </c>
      <c r="AQ4" s="432" t="s">
        <v>14</v>
      </c>
      <c r="AR4" s="32" t="s">
        <v>13</v>
      </c>
      <c r="AS4" s="30" t="s">
        <v>14</v>
      </c>
      <c r="AT4" s="32" t="s">
        <v>13</v>
      </c>
      <c r="AU4" s="31" t="s">
        <v>14</v>
      </c>
      <c r="AV4" s="32" t="s">
        <v>13</v>
      </c>
      <c r="AW4" s="31" t="s">
        <v>14</v>
      </c>
      <c r="AX4" s="32" t="s">
        <v>13</v>
      </c>
      <c r="AY4" s="31" t="s">
        <v>14</v>
      </c>
      <c r="AZ4" s="32" t="s">
        <v>13</v>
      </c>
      <c r="BA4" s="31" t="s">
        <v>14</v>
      </c>
      <c r="BB4" s="32" t="s">
        <v>13</v>
      </c>
      <c r="BC4" s="31" t="s">
        <v>14</v>
      </c>
      <c r="BD4" s="32" t="s">
        <v>13</v>
      </c>
      <c r="BE4" s="31" t="s">
        <v>14</v>
      </c>
      <c r="BF4" s="32" t="s">
        <v>13</v>
      </c>
      <c r="BG4" s="31" t="s">
        <v>14</v>
      </c>
      <c r="BH4" s="32" t="s">
        <v>13</v>
      </c>
      <c r="BI4" s="31" t="s">
        <v>14</v>
      </c>
      <c r="BJ4" s="32" t="s">
        <v>13</v>
      </c>
      <c r="BK4" s="31" t="s">
        <v>14</v>
      </c>
      <c r="BL4" s="32" t="s">
        <v>13</v>
      </c>
      <c r="BM4" s="31" t="s">
        <v>14</v>
      </c>
      <c r="BN4" s="431" t="s">
        <v>13</v>
      </c>
      <c r="BO4" s="432" t="s">
        <v>14</v>
      </c>
      <c r="BP4" s="32" t="s">
        <v>13</v>
      </c>
      <c r="BQ4" s="31" t="s">
        <v>14</v>
      </c>
      <c r="BR4" s="32" t="s">
        <v>13</v>
      </c>
      <c r="BS4" s="31" t="s">
        <v>14</v>
      </c>
      <c r="BT4" s="32" t="s">
        <v>13</v>
      </c>
      <c r="BU4" s="31" t="s">
        <v>14</v>
      </c>
      <c r="BV4" s="32" t="s">
        <v>13</v>
      </c>
      <c r="BW4" s="31" t="s">
        <v>14</v>
      </c>
      <c r="BX4" s="32" t="s">
        <v>13</v>
      </c>
      <c r="BY4" s="31" t="s">
        <v>14</v>
      </c>
      <c r="BZ4" s="32" t="s">
        <v>13</v>
      </c>
      <c r="CA4" s="31" t="s">
        <v>14</v>
      </c>
      <c r="CB4" s="32" t="s">
        <v>13</v>
      </c>
      <c r="CC4" s="31" t="s">
        <v>14</v>
      </c>
      <c r="CD4" s="32" t="s">
        <v>13</v>
      </c>
      <c r="CE4" s="31" t="s">
        <v>14</v>
      </c>
      <c r="CF4" s="32" t="s">
        <v>13</v>
      </c>
      <c r="CG4" s="31" t="s">
        <v>14</v>
      </c>
      <c r="CH4" s="32" t="s">
        <v>13</v>
      </c>
      <c r="CI4" s="31" t="s">
        <v>14</v>
      </c>
      <c r="CJ4" s="32" t="s">
        <v>13</v>
      </c>
      <c r="CK4" s="31" t="s">
        <v>14</v>
      </c>
      <c r="CL4" s="433" t="s">
        <v>13</v>
      </c>
      <c r="CM4" s="625"/>
      <c r="CN4" s="592"/>
      <c r="CO4" s="627"/>
      <c r="CP4" s="646"/>
      <c r="CQ4" s="618"/>
      <c r="CR4" s="649"/>
      <c r="CS4" s="650"/>
      <c r="CT4" s="620"/>
      <c r="CU4" s="615"/>
      <c r="CV4" s="637"/>
      <c r="CW4" s="615"/>
      <c r="CX4" s="637"/>
      <c r="CY4" s="640"/>
      <c r="CZ4" s="33" t="s">
        <v>15</v>
      </c>
      <c r="DA4" s="34" t="s">
        <v>127</v>
      </c>
      <c r="DB4" s="35" t="s">
        <v>15</v>
      </c>
      <c r="DC4" s="36" t="s">
        <v>127</v>
      </c>
      <c r="DD4" s="35" t="s">
        <v>15</v>
      </c>
      <c r="DE4" s="36" t="s">
        <v>127</v>
      </c>
      <c r="DF4" s="35" t="s">
        <v>15</v>
      </c>
      <c r="DG4" s="36" t="s">
        <v>127</v>
      </c>
      <c r="DH4" s="630"/>
      <c r="DI4" s="37" t="s">
        <v>15</v>
      </c>
      <c r="DJ4" s="36" t="s">
        <v>13</v>
      </c>
      <c r="DK4" s="35" t="s">
        <v>15</v>
      </c>
      <c r="DL4" s="36" t="s">
        <v>13</v>
      </c>
      <c r="DM4" s="35" t="s">
        <v>15</v>
      </c>
      <c r="DN4" s="36" t="s">
        <v>12</v>
      </c>
      <c r="DO4" s="35" t="s">
        <v>15</v>
      </c>
      <c r="DP4" s="36" t="s">
        <v>13</v>
      </c>
      <c r="DQ4" s="622"/>
      <c r="DR4" s="37" t="s">
        <v>15</v>
      </c>
      <c r="DS4" s="36" t="s">
        <v>13</v>
      </c>
      <c r="DT4" s="35" t="s">
        <v>15</v>
      </c>
      <c r="DU4" s="36" t="s">
        <v>13</v>
      </c>
      <c r="DV4" s="35" t="s">
        <v>15</v>
      </c>
      <c r="DW4" s="36" t="s">
        <v>12</v>
      </c>
      <c r="DX4" s="35" t="s">
        <v>15</v>
      </c>
      <c r="DY4" s="36" t="s">
        <v>13</v>
      </c>
      <c r="DZ4" s="662"/>
      <c r="EA4" s="682"/>
      <c r="EB4" s="683"/>
      <c r="EC4" s="686"/>
      <c r="ED4" s="687"/>
      <c r="EE4" s="688"/>
      <c r="EF4" s="38" t="s">
        <v>146</v>
      </c>
      <c r="EG4" s="38" t="s">
        <v>135</v>
      </c>
      <c r="EH4" s="39" t="s">
        <v>145</v>
      </c>
      <c r="EI4" s="38" t="s">
        <v>146</v>
      </c>
      <c r="EJ4" s="38" t="s">
        <v>135</v>
      </c>
      <c r="EK4" s="39" t="s">
        <v>145</v>
      </c>
      <c r="EL4" s="38" t="s">
        <v>146</v>
      </c>
      <c r="EM4" s="38" t="s">
        <v>135</v>
      </c>
      <c r="EN4" s="40" t="s">
        <v>145</v>
      </c>
      <c r="EO4" s="690"/>
      <c r="EP4" s="601"/>
      <c r="EQ4" s="603"/>
      <c r="ER4" s="605"/>
      <c r="ES4" s="664"/>
      <c r="ET4" s="38" t="s">
        <v>146</v>
      </c>
      <c r="EU4" s="38" t="s">
        <v>135</v>
      </c>
      <c r="EV4" s="434" t="s">
        <v>145</v>
      </c>
      <c r="EW4" s="674"/>
      <c r="EX4" s="676"/>
      <c r="EY4" s="668"/>
      <c r="EZ4" s="678"/>
      <c r="FA4" s="668"/>
      <c r="FB4" s="670"/>
      <c r="FC4" s="41" t="s">
        <v>16</v>
      </c>
      <c r="FD4" s="42" t="s">
        <v>127</v>
      </c>
      <c r="FE4" s="43" t="s">
        <v>16</v>
      </c>
      <c r="FF4" s="42" t="s">
        <v>127</v>
      </c>
      <c r="FG4" s="43" t="s">
        <v>16</v>
      </c>
      <c r="FH4" s="42" t="s">
        <v>127</v>
      </c>
      <c r="FI4" s="43" t="s">
        <v>16</v>
      </c>
      <c r="FJ4" s="42" t="s">
        <v>127</v>
      </c>
      <c r="FK4" s="43" t="s">
        <v>16</v>
      </c>
      <c r="FL4" s="42" t="s">
        <v>127</v>
      </c>
      <c r="FM4" s="43" t="s">
        <v>16</v>
      </c>
      <c r="FN4" s="42" t="s">
        <v>127</v>
      </c>
      <c r="FO4" s="43" t="s">
        <v>16</v>
      </c>
      <c r="FP4" s="42" t="s">
        <v>127</v>
      </c>
      <c r="FQ4" s="43" t="s">
        <v>16</v>
      </c>
      <c r="FR4" s="42" t="s">
        <v>127</v>
      </c>
      <c r="FS4" s="43" t="s">
        <v>16</v>
      </c>
      <c r="FT4" s="42" t="s">
        <v>127</v>
      </c>
      <c r="FU4" s="43" t="s">
        <v>16</v>
      </c>
      <c r="FV4" s="42" t="s">
        <v>127</v>
      </c>
      <c r="FW4" s="43" t="s">
        <v>16</v>
      </c>
      <c r="FX4" s="42" t="s">
        <v>127</v>
      </c>
      <c r="FY4" s="43" t="s">
        <v>16</v>
      </c>
      <c r="FZ4" s="44" t="s">
        <v>127</v>
      </c>
      <c r="GA4" s="41" t="s">
        <v>16</v>
      </c>
      <c r="GB4" s="42" t="s">
        <v>13</v>
      </c>
      <c r="GC4" s="43" t="s">
        <v>16</v>
      </c>
      <c r="GD4" s="42" t="s">
        <v>13</v>
      </c>
      <c r="GE4" s="43" t="s">
        <v>16</v>
      </c>
      <c r="GF4" s="42" t="s">
        <v>13</v>
      </c>
      <c r="GG4" s="43" t="s">
        <v>16</v>
      </c>
      <c r="GH4" s="42" t="s">
        <v>13</v>
      </c>
      <c r="GI4" s="43" t="s">
        <v>16</v>
      </c>
      <c r="GJ4" s="42" t="s">
        <v>13</v>
      </c>
      <c r="GK4" s="43" t="s">
        <v>16</v>
      </c>
      <c r="GL4" s="42" t="s">
        <v>13</v>
      </c>
      <c r="GM4" s="43" t="s">
        <v>16</v>
      </c>
      <c r="GN4" s="42" t="s">
        <v>13</v>
      </c>
      <c r="GO4" s="43" t="s">
        <v>16</v>
      </c>
      <c r="GP4" s="42" t="s">
        <v>13</v>
      </c>
      <c r="GQ4" s="43" t="s">
        <v>16</v>
      </c>
      <c r="GR4" s="42" t="s">
        <v>13</v>
      </c>
      <c r="GS4" s="43" t="s">
        <v>16</v>
      </c>
      <c r="GT4" s="42" t="s">
        <v>13</v>
      </c>
      <c r="GU4" s="43" t="s">
        <v>16</v>
      </c>
      <c r="GV4" s="42" t="s">
        <v>13</v>
      </c>
      <c r="GW4" s="43" t="s">
        <v>16</v>
      </c>
      <c r="GX4" s="44" t="s">
        <v>13</v>
      </c>
      <c r="GY4" s="41" t="s">
        <v>16</v>
      </c>
      <c r="GZ4" s="42" t="s">
        <v>13</v>
      </c>
      <c r="HA4" s="43" t="s">
        <v>16</v>
      </c>
      <c r="HB4" s="42" t="s">
        <v>13</v>
      </c>
      <c r="HC4" s="43" t="s">
        <v>16</v>
      </c>
      <c r="HD4" s="42" t="s">
        <v>13</v>
      </c>
      <c r="HE4" s="43" t="s">
        <v>16</v>
      </c>
      <c r="HF4" s="42" t="s">
        <v>13</v>
      </c>
      <c r="HG4" s="43" t="s">
        <v>16</v>
      </c>
      <c r="HH4" s="42" t="s">
        <v>13</v>
      </c>
      <c r="HI4" s="43" t="s">
        <v>16</v>
      </c>
      <c r="HJ4" s="42" t="s">
        <v>13</v>
      </c>
      <c r="HK4" s="43" t="s">
        <v>16</v>
      </c>
      <c r="HL4" s="42" t="s">
        <v>13</v>
      </c>
      <c r="HM4" s="43" t="s">
        <v>16</v>
      </c>
      <c r="HN4" s="42" t="s">
        <v>13</v>
      </c>
      <c r="HO4" s="43" t="s">
        <v>16</v>
      </c>
      <c r="HP4" s="42" t="s">
        <v>13</v>
      </c>
      <c r="HQ4" s="43" t="s">
        <v>16</v>
      </c>
      <c r="HR4" s="42" t="s">
        <v>13</v>
      </c>
      <c r="HS4" s="43" t="s">
        <v>16</v>
      </c>
      <c r="HT4" s="42" t="s">
        <v>13</v>
      </c>
      <c r="HU4" s="43" t="s">
        <v>16</v>
      </c>
      <c r="HV4" s="45" t="s">
        <v>13</v>
      </c>
    </row>
    <row r="5" spans="1:278" ht="16.8" thickTop="1">
      <c r="A5" s="47">
        <f>ROW()-4</f>
        <v>1</v>
      </c>
      <c r="B5" s="435" t="s">
        <v>211</v>
      </c>
      <c r="D5" s="277" t="s">
        <v>212</v>
      </c>
      <c r="G5" s="436" t="s">
        <v>217</v>
      </c>
      <c r="H5" s="53" t="str">
        <f>MID(G5,4,3)</f>
        <v>信義區</v>
      </c>
      <c r="I5" s="53" t="s">
        <v>218</v>
      </c>
      <c r="J5" s="53" t="s">
        <v>219</v>
      </c>
      <c r="K5" s="53" t="s">
        <v>220</v>
      </c>
      <c r="L5" s="54">
        <v>109.1</v>
      </c>
      <c r="M5" s="52" t="s">
        <v>206</v>
      </c>
      <c r="N5" s="437">
        <v>45946</v>
      </c>
      <c r="O5" s="278">
        <f>N5+364</f>
        <v>46310</v>
      </c>
      <c r="P5" s="72">
        <v>30000</v>
      </c>
      <c r="Q5" s="170">
        <v>12000</v>
      </c>
      <c r="R5" s="279">
        <v>46011</v>
      </c>
      <c r="S5" s="162">
        <f>IF(D5="","",IF($EB5=0,1700,2400))</f>
        <v>1700</v>
      </c>
      <c r="T5" s="279">
        <v>46011</v>
      </c>
      <c r="U5" s="59">
        <f>S5</f>
        <v>1700</v>
      </c>
      <c r="V5" s="279" t="s">
        <v>283</v>
      </c>
      <c r="W5" s="59">
        <f>U5</f>
        <v>1700</v>
      </c>
      <c r="X5" s="279" t="s">
        <v>298</v>
      </c>
      <c r="Y5" s="59">
        <f>W5</f>
        <v>1700</v>
      </c>
      <c r="Z5" s="279">
        <v>46101</v>
      </c>
      <c r="AA5" s="59">
        <f>Y5</f>
        <v>1700</v>
      </c>
      <c r="AB5" s="279">
        <v>46132</v>
      </c>
      <c r="AC5" s="59">
        <f>AA5</f>
        <v>1700</v>
      </c>
      <c r="AD5" s="279">
        <v>46162</v>
      </c>
      <c r="AE5" s="59">
        <f>AC5</f>
        <v>1700</v>
      </c>
      <c r="AF5" s="279">
        <v>46195</v>
      </c>
      <c r="AG5" s="59">
        <f>AE5</f>
        <v>1700</v>
      </c>
      <c r="AH5" s="279">
        <v>46223</v>
      </c>
      <c r="AI5" s="530">
        <f>AG5</f>
        <v>1700</v>
      </c>
      <c r="AJ5" s="529">
        <v>46254</v>
      </c>
      <c r="AL5" s="279"/>
      <c r="AN5" s="279"/>
      <c r="AP5" s="279"/>
      <c r="AR5" s="279"/>
      <c r="AT5" s="279"/>
      <c r="AV5" s="279"/>
      <c r="AX5" s="279"/>
      <c r="AZ5" s="279"/>
      <c r="BB5" s="279"/>
      <c r="BD5" s="279"/>
      <c r="BF5" s="279"/>
      <c r="BH5" s="279"/>
      <c r="BJ5" s="279"/>
      <c r="BL5" s="279"/>
      <c r="BN5" s="279"/>
      <c r="BP5" s="279"/>
      <c r="BR5" s="279"/>
      <c r="BT5" s="279"/>
      <c r="BV5" s="279"/>
      <c r="BX5" s="279"/>
      <c r="BZ5" s="279"/>
      <c r="CB5" s="279"/>
      <c r="CD5" s="279"/>
      <c r="CF5" s="279"/>
      <c r="CH5" s="279"/>
      <c r="CJ5" s="279"/>
      <c r="CL5" s="279"/>
      <c r="CM5" s="74" t="s">
        <v>213</v>
      </c>
      <c r="CN5" s="164" t="s">
        <v>214</v>
      </c>
      <c r="CO5" s="164" t="s">
        <v>221</v>
      </c>
      <c r="CP5" s="166" t="s">
        <v>222</v>
      </c>
      <c r="CQ5" s="425" t="s">
        <v>223</v>
      </c>
      <c r="CV5" s="441"/>
      <c r="CW5" s="441"/>
      <c r="CX5" s="441"/>
      <c r="CY5" s="442"/>
      <c r="CZ5" s="443"/>
      <c r="DE5" s="441"/>
      <c r="DF5" s="444"/>
      <c r="DG5" s="441"/>
      <c r="DH5" s="445">
        <f>IF($EB5=0,8000,10000)-CZ5-DB5-DD5-DF5</f>
        <v>8000</v>
      </c>
      <c r="DI5" s="443"/>
      <c r="DJ5" s="65"/>
      <c r="DL5" s="63"/>
      <c r="DN5" s="441"/>
      <c r="DO5" s="444"/>
      <c r="DP5" s="441"/>
      <c r="DQ5" s="445">
        <f>IF($EB5=0,8000,10000)-DI5-DK5-DM5-DO5</f>
        <v>8000</v>
      </c>
      <c r="DR5" s="443"/>
      <c r="DS5" s="65"/>
      <c r="DU5" s="63"/>
      <c r="DW5" s="441"/>
      <c r="DX5" s="444"/>
      <c r="DY5" s="441"/>
      <c r="DZ5" s="445">
        <f>IF($EB5=0,8000,10000)-DR5-DT5-DV5-DX5</f>
        <v>8000</v>
      </c>
      <c r="EA5" s="66" t="s">
        <v>215</v>
      </c>
      <c r="EB5" s="67">
        <v>0</v>
      </c>
      <c r="EC5" s="78" t="s">
        <v>216</v>
      </c>
      <c r="ED5" s="78" t="s">
        <v>224</v>
      </c>
      <c r="EE5" s="79" t="s">
        <v>225</v>
      </c>
      <c r="EO5" s="81" t="s">
        <v>207</v>
      </c>
      <c r="EP5" s="78">
        <v>0</v>
      </c>
      <c r="EQ5" s="78" t="s">
        <v>208</v>
      </c>
      <c r="ER5" s="78" t="s">
        <v>210</v>
      </c>
      <c r="ES5" s="79" t="s">
        <v>209</v>
      </c>
      <c r="EY5" s="446"/>
      <c r="EZ5" s="446"/>
      <c r="FA5" s="446"/>
      <c r="FB5" s="447"/>
      <c r="FC5" s="448"/>
      <c r="FE5" s="449"/>
      <c r="FF5" s="446"/>
      <c r="FG5" s="449"/>
      <c r="FI5" s="449"/>
      <c r="FJ5" s="446"/>
      <c r="FK5" s="450"/>
      <c r="FL5" s="450"/>
      <c r="FO5" s="451"/>
      <c r="FP5" s="135"/>
      <c r="FQ5" s="452"/>
      <c r="FR5" s="135"/>
      <c r="FS5" s="452"/>
      <c r="FU5" s="453"/>
      <c r="FV5" s="135"/>
      <c r="FX5" s="454"/>
      <c r="FY5" s="455"/>
      <c r="FZ5" s="456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</row>
    <row r="6" spans="1:278">
      <c r="A6" s="47">
        <f t="shared" ref="A6:A10" si="0">ROW()-4</f>
        <v>2</v>
      </c>
      <c r="D6" s="277" t="s">
        <v>241</v>
      </c>
      <c r="G6" s="436" t="s">
        <v>242</v>
      </c>
      <c r="H6" s="53" t="str">
        <f t="shared" ref="H6:H15" si="1">MID(G6,4,3)</f>
        <v>北投區</v>
      </c>
      <c r="I6" s="53" t="s">
        <v>244</v>
      </c>
      <c r="J6" s="53" t="s">
        <v>245</v>
      </c>
      <c r="K6" s="53" t="s">
        <v>246</v>
      </c>
      <c r="L6" s="54">
        <v>36.57</v>
      </c>
      <c r="M6" s="52" t="str">
        <f>IF(G6="","","全部")</f>
        <v>全部</v>
      </c>
      <c r="N6" s="437">
        <v>45962</v>
      </c>
      <c r="O6" s="278">
        <f t="shared" ref="O6" si="2">IF(N6=0,"",N6+364)</f>
        <v>46326</v>
      </c>
      <c r="P6" s="72">
        <v>24000</v>
      </c>
      <c r="Q6" s="170">
        <v>16000</v>
      </c>
      <c r="R6" s="279" t="s">
        <v>283</v>
      </c>
      <c r="S6" s="162">
        <f t="shared" ref="S6:S15" si="3">IF(D6="","",IF($EB6=0,1700,2400))</f>
        <v>2400</v>
      </c>
      <c r="T6" s="279" t="s">
        <v>283</v>
      </c>
      <c r="U6" s="59">
        <f>S6</f>
        <v>2400</v>
      </c>
      <c r="V6" s="279" t="s">
        <v>298</v>
      </c>
      <c r="W6" s="59">
        <f>U6</f>
        <v>2400</v>
      </c>
      <c r="X6" s="279">
        <v>46101</v>
      </c>
      <c r="Y6" s="59">
        <f>W6</f>
        <v>2400</v>
      </c>
      <c r="Z6" s="279">
        <v>46132</v>
      </c>
      <c r="AA6" s="59">
        <f t="shared" ref="AA6:AA8" si="4">Y6</f>
        <v>2400</v>
      </c>
      <c r="AB6" s="279">
        <v>46162</v>
      </c>
      <c r="AC6" s="59">
        <f t="shared" ref="AC6:AC8" si="5">AA6</f>
        <v>2400</v>
      </c>
      <c r="AD6" s="279">
        <v>46195</v>
      </c>
      <c r="AE6" s="59">
        <f t="shared" ref="AE6:AE8" si="6">AC6</f>
        <v>2400</v>
      </c>
      <c r="AF6" s="279">
        <v>46223</v>
      </c>
      <c r="AG6" s="530">
        <f>AE6</f>
        <v>2400</v>
      </c>
      <c r="AH6" s="529">
        <v>46254</v>
      </c>
      <c r="AI6" s="168"/>
      <c r="AJ6" s="279"/>
      <c r="AL6" s="279"/>
      <c r="AN6" s="279"/>
      <c r="AP6" s="279"/>
      <c r="AR6" s="279"/>
      <c r="AT6" s="279"/>
      <c r="AV6" s="279"/>
      <c r="AX6" s="279"/>
      <c r="AZ6" s="279"/>
      <c r="BB6" s="279"/>
      <c r="BD6" s="279"/>
      <c r="BF6" s="279"/>
      <c r="BH6" s="279"/>
      <c r="BJ6" s="279"/>
      <c r="BL6" s="279"/>
      <c r="BN6" s="279"/>
      <c r="BP6" s="279"/>
      <c r="BR6" s="279"/>
      <c r="BT6" s="279"/>
      <c r="BV6" s="279"/>
      <c r="BX6" s="279"/>
      <c r="BZ6" s="279"/>
      <c r="CB6" s="279"/>
      <c r="CD6" s="279"/>
      <c r="CF6" s="279"/>
      <c r="CH6" s="279"/>
      <c r="CJ6" s="279"/>
      <c r="CL6" s="279"/>
      <c r="CM6" s="74" t="s">
        <v>248</v>
      </c>
      <c r="CN6" s="164" t="s">
        <v>249</v>
      </c>
      <c r="CO6" s="164" t="s">
        <v>224</v>
      </c>
      <c r="CP6" s="166" t="s">
        <v>256</v>
      </c>
      <c r="CQ6" s="425" t="s">
        <v>257</v>
      </c>
      <c r="CV6" s="441"/>
      <c r="CW6" s="441"/>
      <c r="CX6" s="441"/>
      <c r="CY6" s="442"/>
      <c r="CZ6" s="443">
        <v>10000</v>
      </c>
      <c r="DA6" s="65" t="s">
        <v>283</v>
      </c>
      <c r="DE6" s="441"/>
      <c r="DF6" s="444"/>
      <c r="DG6" s="441"/>
      <c r="DH6" s="445">
        <f>IF($EB6=0,8000,10000)-CZ6-DB6-DD6-DF6</f>
        <v>0</v>
      </c>
      <c r="DI6" s="443"/>
      <c r="DJ6" s="65"/>
      <c r="DL6" s="63"/>
      <c r="DN6" s="441"/>
      <c r="DO6" s="444"/>
      <c r="DP6" s="441"/>
      <c r="DQ6" s="445">
        <f>IF($EB6=0,8000,10000)-DI6-DK6-DM6-DO6</f>
        <v>10000</v>
      </c>
      <c r="DR6" s="443"/>
      <c r="DS6" s="65"/>
      <c r="DU6" s="63"/>
      <c r="DW6" s="441"/>
      <c r="DX6" s="444"/>
      <c r="DY6" s="441"/>
      <c r="DZ6" s="445">
        <f>IF($EB6=0,8000,10000)-DR6-DT6-DV6-DX6</f>
        <v>10000</v>
      </c>
      <c r="EA6" s="66" t="s">
        <v>252</v>
      </c>
      <c r="EB6" s="67">
        <v>1</v>
      </c>
      <c r="EC6" s="78" t="s">
        <v>253</v>
      </c>
      <c r="ED6" s="78" t="s">
        <v>258</v>
      </c>
      <c r="EE6" s="79" t="s">
        <v>259</v>
      </c>
      <c r="EY6" s="446"/>
      <c r="EZ6" s="446"/>
      <c r="FA6" s="446"/>
      <c r="FB6" s="447"/>
      <c r="FC6" s="448"/>
      <c r="FE6" s="449"/>
      <c r="FF6" s="446"/>
      <c r="FG6" s="449"/>
      <c r="FI6" s="449"/>
      <c r="FJ6" s="446"/>
      <c r="FK6" s="450"/>
      <c r="FL6" s="450"/>
      <c r="FO6" s="451"/>
      <c r="FP6" s="135"/>
      <c r="FQ6" s="452"/>
      <c r="FR6" s="135"/>
      <c r="FS6" s="452"/>
      <c r="FU6" s="453"/>
      <c r="FV6" s="135"/>
      <c r="FX6" s="454"/>
      <c r="FY6" s="455"/>
      <c r="FZ6" s="456"/>
      <c r="II6" s="29"/>
      <c r="IJ6" s="29"/>
      <c r="IK6" s="29"/>
      <c r="IL6" s="29"/>
      <c r="IM6" s="29"/>
      <c r="IN6" s="29"/>
      <c r="IO6" s="29"/>
      <c r="IP6" s="29"/>
      <c r="IQ6" s="29"/>
      <c r="IR6" s="29"/>
      <c r="IS6" s="29"/>
      <c r="IT6" s="29"/>
      <c r="JF6" s="29"/>
      <c r="JG6" s="29"/>
      <c r="JH6" s="29"/>
      <c r="JI6" s="29"/>
      <c r="JJ6" s="29"/>
      <c r="JK6" s="29"/>
      <c r="JL6" s="29"/>
      <c r="JM6" s="29"/>
      <c r="JN6" s="29"/>
      <c r="JO6" s="29"/>
      <c r="JP6" s="29"/>
      <c r="JQ6" s="29"/>
      <c r="JR6" s="29"/>
    </row>
    <row r="7" spans="1:278" s="833" customFormat="1">
      <c r="A7" s="783">
        <f t="shared" si="0"/>
        <v>3</v>
      </c>
      <c r="B7" s="784"/>
      <c r="C7" s="785"/>
      <c r="D7" s="786" t="s">
        <v>304</v>
      </c>
      <c r="E7" s="787" t="s">
        <v>302</v>
      </c>
      <c r="F7" s="788" t="s">
        <v>303</v>
      </c>
      <c r="G7" s="789" t="s">
        <v>243</v>
      </c>
      <c r="H7" s="790" t="str">
        <f t="shared" si="1"/>
        <v>北投區</v>
      </c>
      <c r="I7" s="790" t="s">
        <v>244</v>
      </c>
      <c r="J7" s="790" t="s">
        <v>245</v>
      </c>
      <c r="K7" s="790" t="s">
        <v>247</v>
      </c>
      <c r="L7" s="791">
        <v>36.57</v>
      </c>
      <c r="M7" s="784" t="str">
        <f t="shared" ref="M7:M14" si="7">IF(G7="","","全部")</f>
        <v>全部</v>
      </c>
      <c r="N7" s="792">
        <v>45962</v>
      </c>
      <c r="O7" s="793">
        <f>IF(N7=0,"",N7+364)</f>
        <v>46326</v>
      </c>
      <c r="P7" s="794">
        <v>24000</v>
      </c>
      <c r="Q7" s="795">
        <v>12000</v>
      </c>
      <c r="R7" s="796" t="s">
        <v>283</v>
      </c>
      <c r="S7" s="797">
        <f t="shared" si="3"/>
        <v>1700</v>
      </c>
      <c r="T7" s="796" t="s">
        <v>283</v>
      </c>
      <c r="U7" s="798">
        <f t="shared" ref="U7:U8" si="8">S7</f>
        <v>1700</v>
      </c>
      <c r="V7" s="796" t="s">
        <v>298</v>
      </c>
      <c r="W7" s="798">
        <f>U7</f>
        <v>1700</v>
      </c>
      <c r="X7" s="796">
        <v>46101</v>
      </c>
      <c r="Y7" s="798">
        <f t="shared" ref="Y7:Y8" si="9">W7</f>
        <v>1700</v>
      </c>
      <c r="Z7" s="796">
        <v>46132</v>
      </c>
      <c r="AA7" s="798">
        <f t="shared" si="4"/>
        <v>1700</v>
      </c>
      <c r="AB7" s="796">
        <v>46162</v>
      </c>
      <c r="AC7" s="798">
        <f t="shared" si="5"/>
        <v>1700</v>
      </c>
      <c r="AD7" s="796">
        <v>46195</v>
      </c>
      <c r="AE7" s="798">
        <f t="shared" si="6"/>
        <v>1700</v>
      </c>
      <c r="AF7" s="796">
        <v>46223</v>
      </c>
      <c r="AG7" s="799" t="s">
        <v>301</v>
      </c>
      <c r="AH7" s="799" t="s">
        <v>301</v>
      </c>
      <c r="AI7" s="799" t="s">
        <v>301</v>
      </c>
      <c r="AJ7" s="799" t="s">
        <v>301</v>
      </c>
      <c r="AK7" s="799" t="s">
        <v>301</v>
      </c>
      <c r="AL7" s="799" t="s">
        <v>301</v>
      </c>
      <c r="AM7" s="799" t="s">
        <v>301</v>
      </c>
      <c r="AN7" s="799" t="s">
        <v>301</v>
      </c>
      <c r="AO7" s="799" t="s">
        <v>301</v>
      </c>
      <c r="AP7" s="799" t="s">
        <v>301</v>
      </c>
      <c r="AQ7" s="800"/>
      <c r="AR7" s="796"/>
      <c r="AS7" s="801"/>
      <c r="AT7" s="796"/>
      <c r="AU7" s="802"/>
      <c r="AV7" s="796"/>
      <c r="AW7" s="802"/>
      <c r="AX7" s="796"/>
      <c r="AY7" s="802"/>
      <c r="AZ7" s="796"/>
      <c r="BA7" s="802"/>
      <c r="BB7" s="796"/>
      <c r="BC7" s="802"/>
      <c r="BD7" s="796"/>
      <c r="BE7" s="802"/>
      <c r="BF7" s="796"/>
      <c r="BG7" s="802"/>
      <c r="BH7" s="796"/>
      <c r="BI7" s="802"/>
      <c r="BJ7" s="796"/>
      <c r="BK7" s="802"/>
      <c r="BL7" s="796"/>
      <c r="BM7" s="802"/>
      <c r="BN7" s="796"/>
      <c r="BO7" s="800"/>
      <c r="BP7" s="796"/>
      <c r="BQ7" s="802"/>
      <c r="BR7" s="796"/>
      <c r="BS7" s="802"/>
      <c r="BT7" s="796"/>
      <c r="BU7" s="802"/>
      <c r="BV7" s="796"/>
      <c r="BW7" s="802"/>
      <c r="BX7" s="796"/>
      <c r="BY7" s="802"/>
      <c r="BZ7" s="796"/>
      <c r="CA7" s="802"/>
      <c r="CB7" s="796"/>
      <c r="CC7" s="802"/>
      <c r="CD7" s="796"/>
      <c r="CE7" s="802"/>
      <c r="CF7" s="796"/>
      <c r="CG7" s="802"/>
      <c r="CH7" s="796"/>
      <c r="CI7" s="802"/>
      <c r="CJ7" s="796"/>
      <c r="CK7" s="802"/>
      <c r="CL7" s="796"/>
      <c r="CM7" s="785" t="s">
        <v>250</v>
      </c>
      <c r="CN7" s="803" t="s">
        <v>251</v>
      </c>
      <c r="CO7" s="803" t="s">
        <v>224</v>
      </c>
      <c r="CP7" s="804" t="s">
        <v>260</v>
      </c>
      <c r="CQ7" s="805" t="s">
        <v>261</v>
      </c>
      <c r="CR7" s="806" t="s">
        <v>262</v>
      </c>
      <c r="CS7" s="786" t="s">
        <v>263</v>
      </c>
      <c r="CT7" s="807">
        <v>4500</v>
      </c>
      <c r="CU7" s="808" t="s">
        <v>283</v>
      </c>
      <c r="CV7" s="809"/>
      <c r="CW7" s="809"/>
      <c r="CX7" s="809"/>
      <c r="CY7" s="810"/>
      <c r="CZ7" s="811">
        <v>800</v>
      </c>
      <c r="DA7" s="812" t="s">
        <v>283</v>
      </c>
      <c r="DB7" s="798"/>
      <c r="DC7" s="808"/>
      <c r="DD7" s="798"/>
      <c r="DE7" s="809"/>
      <c r="DF7" s="813"/>
      <c r="DG7" s="809"/>
      <c r="DH7" s="814">
        <f t="shared" ref="DH7:DH8" si="10">IF($EB7=0,8000,10000)-CZ7-DB7-DD7-DF7</f>
        <v>7200</v>
      </c>
      <c r="DI7" s="811"/>
      <c r="DJ7" s="812"/>
      <c r="DK7" s="798"/>
      <c r="DL7" s="808"/>
      <c r="DM7" s="798"/>
      <c r="DN7" s="809"/>
      <c r="DO7" s="813"/>
      <c r="DP7" s="809"/>
      <c r="DQ7" s="814">
        <f t="shared" ref="DQ7:DQ15" si="11">IF($EB7=0,8000,10000)-DI7-DK7-DM7-DO7</f>
        <v>8000</v>
      </c>
      <c r="DR7" s="811"/>
      <c r="DS7" s="812"/>
      <c r="DT7" s="798"/>
      <c r="DU7" s="808"/>
      <c r="DV7" s="798"/>
      <c r="DW7" s="809"/>
      <c r="DX7" s="813"/>
      <c r="DY7" s="809"/>
      <c r="DZ7" s="814">
        <f t="shared" ref="DZ7:DZ15" si="12">IF($EB7=0,8000,10000)-DR7-DT7-DV7-DX7</f>
        <v>8000</v>
      </c>
      <c r="EA7" s="784" t="s">
        <v>254</v>
      </c>
      <c r="EB7" s="790">
        <v>0</v>
      </c>
      <c r="EC7" s="803" t="s">
        <v>255</v>
      </c>
      <c r="ED7" s="803" t="s">
        <v>264</v>
      </c>
      <c r="EE7" s="815" t="s">
        <v>265</v>
      </c>
      <c r="EF7" s="803"/>
      <c r="EG7" s="803"/>
      <c r="EH7" s="803"/>
      <c r="EI7" s="803"/>
      <c r="EJ7" s="815"/>
      <c r="EK7" s="815"/>
      <c r="EL7" s="815"/>
      <c r="EM7" s="815"/>
      <c r="EN7" s="816"/>
      <c r="EO7" s="817"/>
      <c r="EP7" s="803"/>
      <c r="EQ7" s="803"/>
      <c r="ER7" s="803"/>
      <c r="ES7" s="815"/>
      <c r="ET7" s="803"/>
      <c r="EU7" s="803"/>
      <c r="EV7" s="815"/>
      <c r="EW7" s="818"/>
      <c r="EX7" s="808"/>
      <c r="EY7" s="819"/>
      <c r="EZ7" s="819"/>
      <c r="FA7" s="819"/>
      <c r="FB7" s="820"/>
      <c r="FC7" s="821"/>
      <c r="FD7" s="808"/>
      <c r="FE7" s="822"/>
      <c r="FF7" s="819"/>
      <c r="FG7" s="822"/>
      <c r="FH7" s="808"/>
      <c r="FI7" s="822"/>
      <c r="FJ7" s="819"/>
      <c r="FK7" s="823"/>
      <c r="FL7" s="823"/>
      <c r="FM7" s="798"/>
      <c r="FN7" s="802"/>
      <c r="FO7" s="824"/>
      <c r="FP7" s="825"/>
      <c r="FQ7" s="826"/>
      <c r="FR7" s="825"/>
      <c r="FS7" s="826"/>
      <c r="FT7" s="802"/>
      <c r="FU7" s="813"/>
      <c r="FV7" s="825"/>
      <c r="FW7" s="798"/>
      <c r="FX7" s="827"/>
      <c r="FY7" s="828"/>
      <c r="FZ7" s="829"/>
      <c r="GA7" s="830"/>
      <c r="GB7" s="825"/>
      <c r="GC7" s="825"/>
      <c r="GD7" s="825"/>
      <c r="GE7" s="825"/>
      <c r="GF7" s="825"/>
      <c r="GG7" s="825"/>
      <c r="GH7" s="825"/>
      <c r="GI7" s="825"/>
      <c r="GJ7" s="825"/>
      <c r="GK7" s="825"/>
      <c r="GL7" s="825"/>
      <c r="GM7" s="825"/>
      <c r="GN7" s="825"/>
      <c r="GO7" s="825"/>
      <c r="GP7" s="825"/>
      <c r="GQ7" s="825"/>
      <c r="GR7" s="825"/>
      <c r="GS7" s="825"/>
      <c r="GT7" s="825"/>
      <c r="GU7" s="825"/>
      <c r="GV7" s="825"/>
      <c r="GW7" s="825"/>
      <c r="GX7" s="831"/>
      <c r="GY7" s="830"/>
      <c r="GZ7" s="825"/>
      <c r="HA7" s="825"/>
      <c r="HB7" s="825"/>
      <c r="HC7" s="825"/>
      <c r="HD7" s="825"/>
      <c r="HE7" s="825"/>
      <c r="HF7" s="825"/>
      <c r="HG7" s="825"/>
      <c r="HH7" s="825"/>
      <c r="HI7" s="825"/>
      <c r="HJ7" s="825"/>
      <c r="HK7" s="825"/>
      <c r="HL7" s="825"/>
      <c r="HM7" s="825"/>
      <c r="HN7" s="825"/>
      <c r="HO7" s="825"/>
      <c r="HP7" s="825"/>
      <c r="HQ7" s="825"/>
      <c r="HR7" s="825"/>
      <c r="HS7" s="825"/>
      <c r="HT7" s="825"/>
      <c r="HU7" s="825"/>
      <c r="HV7" s="832"/>
      <c r="II7" s="834"/>
      <c r="IJ7" s="834"/>
      <c r="IK7" s="834"/>
      <c r="IL7" s="834"/>
      <c r="IM7" s="834"/>
      <c r="IN7" s="834"/>
      <c r="IO7" s="834"/>
      <c r="IP7" s="834"/>
      <c r="IQ7" s="834"/>
      <c r="IR7" s="834"/>
      <c r="IS7" s="834"/>
      <c r="IT7" s="834"/>
      <c r="JF7" s="834"/>
      <c r="JG7" s="834"/>
      <c r="JH7" s="834"/>
      <c r="JI7" s="834"/>
      <c r="JJ7" s="834"/>
      <c r="JK7" s="834"/>
      <c r="JL7" s="834"/>
      <c r="JM7" s="834"/>
      <c r="JN7" s="834"/>
      <c r="JO7" s="834"/>
      <c r="JP7" s="834"/>
      <c r="JQ7" s="834"/>
      <c r="JR7" s="834"/>
    </row>
    <row r="8" spans="1:278">
      <c r="A8" s="47">
        <f t="shared" si="0"/>
        <v>4</v>
      </c>
      <c r="D8" s="277" t="s">
        <v>282</v>
      </c>
      <c r="G8" s="436" t="s">
        <v>281</v>
      </c>
      <c r="H8" s="53" t="str">
        <f t="shared" si="1"/>
        <v>中山區</v>
      </c>
      <c r="I8" s="53" t="s">
        <v>295</v>
      </c>
      <c r="J8" s="53" t="s">
        <v>296</v>
      </c>
      <c r="K8" s="53" t="s">
        <v>297</v>
      </c>
      <c r="L8" s="54">
        <v>51.2</v>
      </c>
      <c r="M8" s="52" t="str">
        <f t="shared" si="7"/>
        <v>全部</v>
      </c>
      <c r="N8" s="437">
        <v>45977</v>
      </c>
      <c r="O8" s="278">
        <f>N8+365+365+365</f>
        <v>47072</v>
      </c>
      <c r="P8" s="72">
        <v>10000</v>
      </c>
      <c r="Q8" s="170">
        <v>16000</v>
      </c>
      <c r="R8" s="279" t="s">
        <v>283</v>
      </c>
      <c r="S8" s="162">
        <f t="shared" si="3"/>
        <v>2400</v>
      </c>
      <c r="T8" s="279" t="s">
        <v>283</v>
      </c>
      <c r="U8" s="59">
        <f t="shared" si="8"/>
        <v>2400</v>
      </c>
      <c r="V8" s="279" t="s">
        <v>298</v>
      </c>
      <c r="W8" s="59">
        <f>U8</f>
        <v>2400</v>
      </c>
      <c r="X8" s="279">
        <v>46101</v>
      </c>
      <c r="Y8" s="59">
        <f t="shared" si="9"/>
        <v>2400</v>
      </c>
      <c r="Z8" s="279">
        <v>46132</v>
      </c>
      <c r="AA8" s="59">
        <f t="shared" si="4"/>
        <v>2400</v>
      </c>
      <c r="AB8" s="279">
        <v>46162</v>
      </c>
      <c r="AC8" s="59">
        <f t="shared" si="5"/>
        <v>2400</v>
      </c>
      <c r="AD8" s="279">
        <v>46195</v>
      </c>
      <c r="AE8" s="59">
        <f t="shared" si="6"/>
        <v>2400</v>
      </c>
      <c r="AF8" s="279">
        <v>46223</v>
      </c>
      <c r="AG8" s="530">
        <f>AE8</f>
        <v>2400</v>
      </c>
      <c r="AH8" s="529">
        <v>46254</v>
      </c>
      <c r="AI8" s="168"/>
      <c r="AJ8" s="279"/>
      <c r="AL8" s="279"/>
      <c r="AN8" s="279"/>
      <c r="AP8" s="279"/>
      <c r="AR8" s="279"/>
      <c r="AT8" s="279"/>
      <c r="AV8" s="279"/>
      <c r="AX8" s="279"/>
      <c r="AZ8" s="279"/>
      <c r="BB8" s="279"/>
      <c r="BD8" s="279"/>
      <c r="BF8" s="279"/>
      <c r="BH8" s="279"/>
      <c r="BJ8" s="279"/>
      <c r="BL8" s="279"/>
      <c r="BN8" s="279"/>
      <c r="BP8" s="279"/>
      <c r="BR8" s="279"/>
      <c r="BT8" s="279"/>
      <c r="BV8" s="279"/>
      <c r="BX8" s="279"/>
      <c r="BZ8" s="279"/>
      <c r="CB8" s="279"/>
      <c r="CD8" s="279"/>
      <c r="CF8" s="279"/>
      <c r="CH8" s="279"/>
      <c r="CJ8" s="279"/>
      <c r="CL8" s="279"/>
      <c r="CM8" s="74" t="s">
        <v>284</v>
      </c>
      <c r="CN8" s="164" t="s">
        <v>285</v>
      </c>
      <c r="CO8" s="164" t="s">
        <v>286</v>
      </c>
      <c r="CP8" s="166" t="s">
        <v>287</v>
      </c>
      <c r="CQ8" s="425" t="s">
        <v>288</v>
      </c>
      <c r="CR8" s="61" t="s">
        <v>289</v>
      </c>
      <c r="CS8" s="60" t="s">
        <v>290</v>
      </c>
      <c r="CV8" s="441"/>
      <c r="CW8" s="441"/>
      <c r="CX8" s="441"/>
      <c r="CY8" s="442"/>
      <c r="CZ8" s="443">
        <v>10000</v>
      </c>
      <c r="DA8" s="65" t="s">
        <v>298</v>
      </c>
      <c r="DE8" s="441"/>
      <c r="DF8" s="444"/>
      <c r="DG8" s="441"/>
      <c r="DH8" s="445">
        <f t="shared" si="10"/>
        <v>0</v>
      </c>
      <c r="DI8" s="443"/>
      <c r="DJ8" s="65"/>
      <c r="DL8" s="63"/>
      <c r="DN8" s="441"/>
      <c r="DO8" s="444"/>
      <c r="DP8" s="441"/>
      <c r="DQ8" s="445">
        <f t="shared" si="11"/>
        <v>10000</v>
      </c>
      <c r="DR8" s="443"/>
      <c r="DS8" s="65"/>
      <c r="DU8" s="63"/>
      <c r="DW8" s="441"/>
      <c r="DX8" s="444"/>
      <c r="DY8" s="441"/>
      <c r="DZ8" s="445">
        <f t="shared" si="12"/>
        <v>10000</v>
      </c>
      <c r="EA8" s="66" t="s">
        <v>291</v>
      </c>
      <c r="EB8" s="67">
        <v>1</v>
      </c>
      <c r="EC8" s="78" t="s">
        <v>292</v>
      </c>
      <c r="ED8" s="78" t="s">
        <v>293</v>
      </c>
      <c r="EE8" s="79" t="s">
        <v>294</v>
      </c>
      <c r="EY8" s="446"/>
      <c r="EZ8" s="446"/>
      <c r="FA8" s="446"/>
      <c r="FB8" s="447"/>
      <c r="FC8" s="448"/>
      <c r="FE8" s="449"/>
      <c r="FF8" s="446"/>
      <c r="FG8" s="449"/>
      <c r="FI8" s="449"/>
      <c r="FJ8" s="446"/>
      <c r="FK8" s="450"/>
      <c r="FL8" s="450"/>
      <c r="FO8" s="451"/>
      <c r="FP8" s="135"/>
      <c r="FQ8" s="452"/>
      <c r="FR8" s="135"/>
      <c r="FS8" s="452"/>
      <c r="FU8" s="453"/>
      <c r="FV8" s="135"/>
      <c r="FX8" s="454"/>
      <c r="FY8" s="455"/>
      <c r="FZ8" s="456"/>
      <c r="II8" s="29"/>
      <c r="IJ8" s="29"/>
      <c r="IK8" s="29"/>
      <c r="IL8" s="29"/>
      <c r="IM8" s="29"/>
      <c r="IN8" s="29"/>
      <c r="IO8" s="29"/>
      <c r="IP8" s="29"/>
      <c r="IQ8" s="29"/>
      <c r="IR8" s="29"/>
      <c r="IS8" s="29"/>
      <c r="IT8" s="29"/>
      <c r="JF8" s="29"/>
      <c r="JG8" s="29"/>
      <c r="JH8" s="29"/>
      <c r="JI8" s="29"/>
      <c r="JJ8" s="29"/>
      <c r="JK8" s="29"/>
      <c r="JL8" s="29"/>
      <c r="JM8" s="29"/>
      <c r="JN8" s="29"/>
      <c r="JO8" s="29"/>
      <c r="JP8" s="29"/>
      <c r="JQ8" s="29"/>
      <c r="JR8" s="29"/>
    </row>
    <row r="9" spans="1:278">
      <c r="A9" s="47">
        <f t="shared" si="0"/>
        <v>5</v>
      </c>
      <c r="G9" s="436"/>
      <c r="H9" s="53" t="str">
        <f t="shared" si="1"/>
        <v/>
      </c>
      <c r="J9" s="53"/>
      <c r="K9" s="53"/>
      <c r="M9" s="52" t="str">
        <f t="shared" si="7"/>
        <v/>
      </c>
      <c r="N9" s="437"/>
      <c r="O9" s="278" t="str">
        <f t="shared" ref="O9:O15" si="13">IF(N9=0,"",N9+364)</f>
        <v/>
      </c>
      <c r="Q9" s="170"/>
      <c r="R9" s="279"/>
      <c r="S9" s="162" t="str">
        <f t="shared" si="3"/>
        <v/>
      </c>
      <c r="T9" s="279"/>
      <c r="V9" s="279"/>
      <c r="X9" s="279"/>
      <c r="Z9" s="279"/>
      <c r="AA9" s="438"/>
      <c r="AB9" s="279"/>
      <c r="AC9" s="168"/>
      <c r="AD9" s="279"/>
      <c r="AE9" s="439"/>
      <c r="AF9" s="279"/>
      <c r="AG9" s="440"/>
      <c r="AH9" s="279"/>
      <c r="AI9" s="168"/>
      <c r="AJ9" s="279"/>
      <c r="AL9" s="279"/>
      <c r="AN9" s="279"/>
      <c r="AP9" s="279"/>
      <c r="AR9" s="279"/>
      <c r="AT9" s="279"/>
      <c r="AV9" s="279"/>
      <c r="AX9" s="279"/>
      <c r="AZ9" s="279"/>
      <c r="BB9" s="279"/>
      <c r="BD9" s="279"/>
      <c r="BF9" s="279"/>
      <c r="BH9" s="279"/>
      <c r="BJ9" s="279"/>
      <c r="BL9" s="279"/>
      <c r="BN9" s="279"/>
      <c r="BP9" s="279"/>
      <c r="BR9" s="279"/>
      <c r="BT9" s="279"/>
      <c r="BV9" s="279"/>
      <c r="BX9" s="279"/>
      <c r="BZ9" s="279"/>
      <c r="CB9" s="279"/>
      <c r="CD9" s="279"/>
      <c r="CF9" s="279"/>
      <c r="CH9" s="279"/>
      <c r="CJ9" s="279"/>
      <c r="CL9" s="279"/>
      <c r="CO9" s="164"/>
      <c r="CQ9" s="425"/>
      <c r="CV9" s="441"/>
      <c r="CW9" s="441"/>
      <c r="CX9" s="441"/>
      <c r="CY9" s="442"/>
      <c r="CZ9" s="443"/>
      <c r="DE9" s="441"/>
      <c r="DF9" s="444"/>
      <c r="DG9" s="441"/>
      <c r="DH9" s="445"/>
      <c r="DI9" s="443"/>
      <c r="DJ9" s="65"/>
      <c r="DL9" s="63"/>
      <c r="DN9" s="441"/>
      <c r="DO9" s="444"/>
      <c r="DP9" s="441"/>
      <c r="DQ9" s="445">
        <f t="shared" si="11"/>
        <v>8000</v>
      </c>
      <c r="DR9" s="443"/>
      <c r="DS9" s="65"/>
      <c r="DU9" s="63"/>
      <c r="DW9" s="441"/>
      <c r="DX9" s="444"/>
      <c r="DY9" s="441"/>
      <c r="DZ9" s="445">
        <f t="shared" si="12"/>
        <v>8000</v>
      </c>
      <c r="EB9" s="67"/>
      <c r="EC9" s="78"/>
      <c r="ED9" s="78"/>
      <c r="EY9" s="446"/>
      <c r="EZ9" s="446"/>
      <c r="FA9" s="446"/>
      <c r="FB9" s="447"/>
      <c r="FC9" s="448"/>
      <c r="FE9" s="449"/>
      <c r="FF9" s="446"/>
      <c r="FG9" s="449"/>
      <c r="FI9" s="449"/>
      <c r="FJ9" s="446"/>
      <c r="FK9" s="450"/>
      <c r="FL9" s="450"/>
      <c r="FO9" s="451"/>
      <c r="FP9" s="135"/>
      <c r="FQ9" s="452"/>
      <c r="FR9" s="135"/>
      <c r="FS9" s="452"/>
      <c r="FU9" s="453"/>
      <c r="FV9" s="135"/>
      <c r="FX9" s="454"/>
      <c r="FY9" s="455"/>
      <c r="FZ9" s="456"/>
      <c r="II9" s="29"/>
      <c r="IJ9" s="29"/>
      <c r="IK9" s="29"/>
      <c r="IL9" s="29"/>
      <c r="IM9" s="29"/>
      <c r="IN9" s="29"/>
      <c r="IO9" s="29"/>
      <c r="IP9" s="29"/>
      <c r="IQ9" s="29"/>
      <c r="IR9" s="29"/>
      <c r="IS9" s="29"/>
      <c r="IT9" s="29"/>
      <c r="JF9" s="29"/>
      <c r="JG9" s="29"/>
      <c r="JH9" s="29"/>
      <c r="JI9" s="29"/>
      <c r="JJ9" s="29"/>
      <c r="JK9" s="29"/>
      <c r="JL9" s="29"/>
      <c r="JM9" s="29"/>
      <c r="JN9" s="29"/>
      <c r="JO9" s="29"/>
      <c r="JP9" s="29"/>
      <c r="JQ9" s="29"/>
      <c r="JR9" s="29"/>
    </row>
    <row r="10" spans="1:278">
      <c r="A10" s="47">
        <f t="shared" si="0"/>
        <v>6</v>
      </c>
      <c r="G10" s="436"/>
      <c r="H10" s="53" t="str">
        <f t="shared" si="1"/>
        <v/>
      </c>
      <c r="J10" s="53"/>
      <c r="K10" s="53"/>
      <c r="M10" s="52" t="str">
        <f t="shared" si="7"/>
        <v/>
      </c>
      <c r="N10" s="437"/>
      <c r="O10" s="278" t="str">
        <f t="shared" si="13"/>
        <v/>
      </c>
      <c r="Q10" s="170"/>
      <c r="R10" s="279"/>
      <c r="S10" s="162" t="str">
        <f t="shared" si="3"/>
        <v/>
      </c>
      <c r="T10" s="279"/>
      <c r="V10" s="279"/>
      <c r="X10" s="279"/>
      <c r="Z10" s="279"/>
      <c r="AA10" s="438"/>
      <c r="AB10" s="279"/>
      <c r="AC10" s="168"/>
      <c r="AD10" s="279"/>
      <c r="AE10" s="439"/>
      <c r="AF10" s="279"/>
      <c r="AG10" s="440"/>
      <c r="AH10" s="279"/>
      <c r="AI10" s="168"/>
      <c r="AJ10" s="279"/>
      <c r="AL10" s="279"/>
      <c r="AN10" s="279"/>
      <c r="AP10" s="279"/>
      <c r="AR10" s="279"/>
      <c r="AT10" s="279"/>
      <c r="AV10" s="279"/>
      <c r="AX10" s="279"/>
      <c r="AZ10" s="279"/>
      <c r="BB10" s="279"/>
      <c r="BD10" s="279"/>
      <c r="BF10" s="279"/>
      <c r="BH10" s="279"/>
      <c r="BJ10" s="279"/>
      <c r="BL10" s="279"/>
      <c r="BN10" s="279"/>
      <c r="BP10" s="279"/>
      <c r="BR10" s="279"/>
      <c r="BT10" s="279"/>
      <c r="BV10" s="279"/>
      <c r="BX10" s="279"/>
      <c r="BZ10" s="279"/>
      <c r="CB10" s="279"/>
      <c r="CD10" s="279"/>
      <c r="CF10" s="279"/>
      <c r="CH10" s="279"/>
      <c r="CJ10" s="279"/>
      <c r="CL10" s="279"/>
      <c r="CO10" s="164"/>
      <c r="CQ10" s="425"/>
      <c r="CV10" s="441"/>
      <c r="CW10" s="441"/>
      <c r="CX10" s="441"/>
      <c r="CY10" s="442"/>
      <c r="CZ10" s="443"/>
      <c r="DE10" s="441"/>
      <c r="DF10" s="444"/>
      <c r="DG10" s="441"/>
      <c r="DH10" s="445"/>
      <c r="DI10" s="443"/>
      <c r="DJ10" s="65"/>
      <c r="DL10" s="63"/>
      <c r="DN10" s="441"/>
      <c r="DO10" s="444"/>
      <c r="DP10" s="441"/>
      <c r="DQ10" s="445">
        <f t="shared" si="11"/>
        <v>8000</v>
      </c>
      <c r="DR10" s="443"/>
      <c r="DS10" s="65"/>
      <c r="DU10" s="63"/>
      <c r="DW10" s="441"/>
      <c r="DX10" s="444"/>
      <c r="DY10" s="441"/>
      <c r="DZ10" s="445">
        <f t="shared" si="12"/>
        <v>8000</v>
      </c>
      <c r="EB10" s="67"/>
      <c r="EC10" s="78"/>
      <c r="ED10" s="78"/>
      <c r="EY10" s="446"/>
      <c r="EZ10" s="446"/>
      <c r="FA10" s="446"/>
      <c r="FB10" s="447"/>
      <c r="FC10" s="448"/>
      <c r="FE10" s="449"/>
      <c r="FF10" s="446"/>
      <c r="FG10" s="449"/>
      <c r="FI10" s="449"/>
      <c r="FJ10" s="446"/>
      <c r="FK10" s="450"/>
      <c r="FL10" s="450"/>
      <c r="FO10" s="451"/>
      <c r="FP10" s="135"/>
      <c r="FQ10" s="452"/>
      <c r="FR10" s="135"/>
      <c r="FS10" s="452"/>
      <c r="FU10" s="453"/>
      <c r="FV10" s="135"/>
      <c r="FX10" s="454"/>
      <c r="FY10" s="455"/>
      <c r="FZ10" s="456"/>
      <c r="II10" s="29"/>
      <c r="IJ10" s="29"/>
      <c r="IK10" s="29"/>
      <c r="IL10" s="29"/>
      <c r="IM10" s="29"/>
      <c r="IN10" s="29"/>
      <c r="IO10" s="29"/>
      <c r="IP10" s="29"/>
      <c r="IQ10" s="29"/>
      <c r="IR10" s="29"/>
      <c r="IS10" s="29"/>
      <c r="IT10" s="29"/>
      <c r="JF10" s="29"/>
      <c r="JG10" s="29"/>
      <c r="JH10" s="29"/>
      <c r="JI10" s="29"/>
      <c r="JJ10" s="29"/>
      <c r="JK10" s="29"/>
      <c r="JL10" s="29"/>
      <c r="JM10" s="29"/>
      <c r="JN10" s="29"/>
      <c r="JO10" s="29"/>
      <c r="JP10" s="29"/>
      <c r="JQ10" s="29"/>
      <c r="JR10" s="29"/>
    </row>
    <row r="11" spans="1:278">
      <c r="A11" s="47">
        <f t="shared" ref="A11:A15" si="14">ROW()-4</f>
        <v>7</v>
      </c>
      <c r="G11" s="436"/>
      <c r="H11" s="53" t="str">
        <f t="shared" si="1"/>
        <v/>
      </c>
      <c r="J11" s="53"/>
      <c r="K11" s="53"/>
      <c r="M11" s="52" t="str">
        <f t="shared" si="7"/>
        <v/>
      </c>
      <c r="N11" s="437"/>
      <c r="O11" s="278" t="str">
        <f t="shared" si="13"/>
        <v/>
      </c>
      <c r="Q11" s="170"/>
      <c r="R11" s="279"/>
      <c r="S11" s="162" t="str">
        <f t="shared" si="3"/>
        <v/>
      </c>
      <c r="T11" s="279"/>
      <c r="V11" s="279"/>
      <c r="X11" s="279"/>
      <c r="Z11" s="279"/>
      <c r="AA11" s="438"/>
      <c r="AB11" s="279"/>
      <c r="AC11" s="168"/>
      <c r="AD11" s="279"/>
      <c r="AE11" s="439"/>
      <c r="AF11" s="279"/>
      <c r="AG11" s="440"/>
      <c r="AH11" s="279"/>
      <c r="AI11" s="168"/>
      <c r="AJ11" s="279"/>
      <c r="AL11" s="279"/>
      <c r="AN11" s="279"/>
      <c r="AP11" s="279"/>
      <c r="AR11" s="279"/>
      <c r="AT11" s="279"/>
      <c r="AV11" s="279"/>
      <c r="AX11" s="279"/>
      <c r="AZ11" s="279"/>
      <c r="BB11" s="279"/>
      <c r="BD11" s="279"/>
      <c r="BF11" s="279"/>
      <c r="BH11" s="279"/>
      <c r="BJ11" s="279"/>
      <c r="BL11" s="279"/>
      <c r="BN11" s="279"/>
      <c r="BP11" s="279"/>
      <c r="BR11" s="279"/>
      <c r="BT11" s="279"/>
      <c r="BV11" s="279"/>
      <c r="BX11" s="279"/>
      <c r="BZ11" s="279"/>
      <c r="CB11" s="279"/>
      <c r="CD11" s="279"/>
      <c r="CF11" s="279"/>
      <c r="CH11" s="279"/>
      <c r="CJ11" s="279"/>
      <c r="CL11" s="279"/>
      <c r="CO11" s="164"/>
      <c r="CQ11" s="425"/>
      <c r="CV11" s="441"/>
      <c r="CW11" s="441"/>
      <c r="CX11" s="441"/>
      <c r="CY11" s="442"/>
      <c r="CZ11" s="443"/>
      <c r="DE11" s="441"/>
      <c r="DF11" s="444"/>
      <c r="DG11" s="441"/>
      <c r="DH11" s="445"/>
      <c r="DI11" s="443"/>
      <c r="DJ11" s="65"/>
      <c r="DL11" s="63"/>
      <c r="DN11" s="441"/>
      <c r="DO11" s="444"/>
      <c r="DP11" s="441"/>
      <c r="DQ11" s="445">
        <f t="shared" si="11"/>
        <v>8000</v>
      </c>
      <c r="DR11" s="443"/>
      <c r="DS11" s="65"/>
      <c r="DU11" s="63"/>
      <c r="DW11" s="441"/>
      <c r="DX11" s="444"/>
      <c r="DY11" s="441"/>
      <c r="DZ11" s="445">
        <f t="shared" si="12"/>
        <v>8000</v>
      </c>
      <c r="EB11" s="67"/>
      <c r="EC11" s="78"/>
      <c r="ED11" s="78"/>
      <c r="EY11" s="446"/>
      <c r="EZ11" s="446"/>
      <c r="FA11" s="446"/>
      <c r="FB11" s="447"/>
      <c r="FC11" s="448"/>
      <c r="FE11" s="449"/>
      <c r="FF11" s="446"/>
      <c r="FG11" s="449"/>
      <c r="FI11" s="449"/>
      <c r="FJ11" s="446"/>
      <c r="FK11" s="450"/>
      <c r="FL11" s="450"/>
      <c r="FO11" s="451"/>
      <c r="FP11" s="135"/>
      <c r="FQ11" s="452"/>
      <c r="FR11" s="135"/>
      <c r="FS11" s="452"/>
      <c r="FU11" s="453"/>
      <c r="FV11" s="135"/>
      <c r="FX11" s="454"/>
      <c r="FY11" s="455"/>
      <c r="FZ11" s="456"/>
      <c r="II11" s="29"/>
      <c r="IJ11" s="29"/>
      <c r="IK11" s="29"/>
      <c r="IL11" s="29"/>
      <c r="IM11" s="29"/>
      <c r="IN11" s="29"/>
      <c r="IO11" s="29"/>
      <c r="IP11" s="29"/>
      <c r="IQ11" s="29"/>
      <c r="IR11" s="29"/>
      <c r="IS11" s="29"/>
      <c r="IT11" s="29"/>
      <c r="JF11" s="29"/>
      <c r="JG11" s="29"/>
      <c r="JH11" s="29"/>
      <c r="JI11" s="29"/>
      <c r="JJ11" s="29"/>
      <c r="JK11" s="29"/>
      <c r="JL11" s="29"/>
      <c r="JM11" s="29"/>
      <c r="JN11" s="29"/>
      <c r="JO11" s="29"/>
      <c r="JP11" s="29"/>
      <c r="JQ11" s="29"/>
      <c r="JR11" s="29"/>
    </row>
    <row r="12" spans="1:278">
      <c r="A12" s="47">
        <f t="shared" si="14"/>
        <v>8</v>
      </c>
      <c r="G12" s="436"/>
      <c r="H12" s="53" t="str">
        <f t="shared" si="1"/>
        <v/>
      </c>
      <c r="J12" s="53"/>
      <c r="K12" s="53"/>
      <c r="M12" s="52" t="str">
        <f t="shared" si="7"/>
        <v/>
      </c>
      <c r="N12" s="437"/>
      <c r="O12" s="278" t="str">
        <f t="shared" si="13"/>
        <v/>
      </c>
      <c r="Q12" s="170"/>
      <c r="R12" s="279"/>
      <c r="S12" s="162" t="str">
        <f t="shared" si="3"/>
        <v/>
      </c>
      <c r="T12" s="279"/>
      <c r="V12" s="279"/>
      <c r="X12" s="279"/>
      <c r="Z12" s="279"/>
      <c r="AA12" s="438"/>
      <c r="AB12" s="279"/>
      <c r="AC12" s="168"/>
      <c r="AD12" s="279"/>
      <c r="AE12" s="439"/>
      <c r="AF12" s="279"/>
      <c r="AG12" s="440"/>
      <c r="AH12" s="279"/>
      <c r="AI12" s="168"/>
      <c r="AJ12" s="279"/>
      <c r="AL12" s="279"/>
      <c r="AN12" s="279"/>
      <c r="AP12" s="279"/>
      <c r="AR12" s="279"/>
      <c r="AT12" s="279"/>
      <c r="AV12" s="279"/>
      <c r="AX12" s="279"/>
      <c r="AZ12" s="279"/>
      <c r="BB12" s="279"/>
      <c r="BD12" s="279"/>
      <c r="BF12" s="279"/>
      <c r="BH12" s="279"/>
      <c r="BJ12" s="279"/>
      <c r="BL12" s="279"/>
      <c r="BN12" s="279"/>
      <c r="BP12" s="279"/>
      <c r="BR12" s="279"/>
      <c r="BT12" s="279"/>
      <c r="BV12" s="279"/>
      <c r="BX12" s="279"/>
      <c r="BZ12" s="279"/>
      <c r="CB12" s="279"/>
      <c r="CD12" s="279"/>
      <c r="CF12" s="279"/>
      <c r="CH12" s="279"/>
      <c r="CJ12" s="279"/>
      <c r="CL12" s="279"/>
      <c r="CO12" s="164"/>
      <c r="CQ12" s="425"/>
      <c r="CV12" s="441"/>
      <c r="CW12" s="441"/>
      <c r="CX12" s="441"/>
      <c r="CY12" s="442"/>
      <c r="CZ12" s="443"/>
      <c r="DE12" s="441"/>
      <c r="DF12" s="444"/>
      <c r="DG12" s="441"/>
      <c r="DH12" s="445"/>
      <c r="DI12" s="443"/>
      <c r="DJ12" s="65"/>
      <c r="DL12" s="63"/>
      <c r="DN12" s="441"/>
      <c r="DO12" s="444"/>
      <c r="DP12" s="441"/>
      <c r="DQ12" s="445">
        <f t="shared" si="11"/>
        <v>8000</v>
      </c>
      <c r="DR12" s="443"/>
      <c r="DS12" s="65"/>
      <c r="DU12" s="63"/>
      <c r="DW12" s="441"/>
      <c r="DX12" s="444"/>
      <c r="DY12" s="441"/>
      <c r="DZ12" s="445">
        <f t="shared" si="12"/>
        <v>8000</v>
      </c>
      <c r="EB12" s="67"/>
      <c r="EC12" s="78"/>
      <c r="ED12" s="78"/>
      <c r="EY12" s="446"/>
      <c r="EZ12" s="446"/>
      <c r="FA12" s="446"/>
      <c r="FB12" s="447"/>
      <c r="FC12" s="448"/>
      <c r="FE12" s="449"/>
      <c r="FF12" s="446"/>
      <c r="FG12" s="449"/>
      <c r="FI12" s="449"/>
      <c r="FJ12" s="446"/>
      <c r="FK12" s="450"/>
      <c r="FL12" s="450"/>
      <c r="FO12" s="451"/>
      <c r="FP12" s="135"/>
      <c r="FQ12" s="452"/>
      <c r="FR12" s="135"/>
      <c r="FS12" s="452"/>
      <c r="FU12" s="453"/>
      <c r="FV12" s="135"/>
      <c r="FX12" s="454"/>
      <c r="FY12" s="455"/>
      <c r="FZ12" s="456"/>
      <c r="II12" s="29"/>
      <c r="IJ12" s="29"/>
      <c r="IK12" s="29"/>
      <c r="IL12" s="29"/>
      <c r="IM12" s="29"/>
      <c r="IN12" s="29"/>
      <c r="IO12" s="29"/>
      <c r="IP12" s="29"/>
      <c r="IQ12" s="29"/>
      <c r="IR12" s="29"/>
      <c r="IS12" s="29"/>
      <c r="IT12" s="29"/>
      <c r="JF12" s="29"/>
      <c r="JG12" s="29"/>
      <c r="JH12" s="29"/>
      <c r="JI12" s="29"/>
      <c r="JJ12" s="29"/>
      <c r="JK12" s="29"/>
      <c r="JL12" s="29"/>
      <c r="JM12" s="29"/>
      <c r="JN12" s="29"/>
      <c r="JO12" s="29"/>
      <c r="JP12" s="29"/>
      <c r="JQ12" s="29"/>
      <c r="JR12" s="29"/>
    </row>
    <row r="13" spans="1:278">
      <c r="A13" s="47">
        <f t="shared" si="14"/>
        <v>9</v>
      </c>
      <c r="H13" s="53" t="str">
        <f t="shared" si="1"/>
        <v/>
      </c>
      <c r="J13" s="53"/>
      <c r="K13" s="53"/>
      <c r="M13" s="52" t="str">
        <f t="shared" si="7"/>
        <v/>
      </c>
      <c r="N13" s="437"/>
      <c r="O13" s="278" t="str">
        <f t="shared" si="13"/>
        <v/>
      </c>
      <c r="Q13" s="170"/>
      <c r="R13" s="279"/>
      <c r="S13" s="162" t="str">
        <f t="shared" si="3"/>
        <v/>
      </c>
      <c r="T13" s="279"/>
      <c r="V13" s="279"/>
      <c r="X13" s="279"/>
      <c r="Z13" s="279"/>
      <c r="AA13" s="438"/>
      <c r="AB13" s="279"/>
      <c r="AC13" s="168"/>
      <c r="AD13" s="279"/>
      <c r="AE13" s="439"/>
      <c r="AF13" s="279"/>
      <c r="AG13" s="440"/>
      <c r="AH13" s="279"/>
      <c r="AI13" s="168"/>
      <c r="AJ13" s="279"/>
      <c r="AL13" s="279"/>
      <c r="AN13" s="279"/>
      <c r="AP13" s="279"/>
      <c r="AR13" s="279"/>
      <c r="AT13" s="279"/>
      <c r="AV13" s="279"/>
      <c r="AX13" s="279"/>
      <c r="AZ13" s="279"/>
      <c r="BB13" s="279"/>
      <c r="BD13" s="279"/>
      <c r="BF13" s="279"/>
      <c r="BH13" s="279"/>
      <c r="BJ13" s="279"/>
      <c r="BL13" s="279"/>
      <c r="BN13" s="279"/>
      <c r="BP13" s="279"/>
      <c r="BR13" s="279"/>
      <c r="BT13" s="279"/>
      <c r="BV13" s="279"/>
      <c r="BX13" s="279"/>
      <c r="BZ13" s="279"/>
      <c r="CB13" s="279"/>
      <c r="CD13" s="279"/>
      <c r="CF13" s="279"/>
      <c r="CH13" s="279"/>
      <c r="CJ13" s="279"/>
      <c r="CL13" s="279"/>
      <c r="CO13" s="164"/>
      <c r="CQ13" s="425"/>
      <c r="CV13" s="441"/>
      <c r="CW13" s="441"/>
      <c r="CX13" s="441"/>
      <c r="CY13" s="442"/>
      <c r="CZ13" s="443"/>
      <c r="DE13" s="441"/>
      <c r="DF13" s="444"/>
      <c r="DG13" s="441"/>
      <c r="DH13" s="445"/>
      <c r="DI13" s="443"/>
      <c r="DJ13" s="65"/>
      <c r="DL13" s="63"/>
      <c r="DN13" s="441"/>
      <c r="DO13" s="444"/>
      <c r="DP13" s="441"/>
      <c r="DQ13" s="445">
        <f t="shared" si="11"/>
        <v>8000</v>
      </c>
      <c r="DR13" s="443"/>
      <c r="DS13" s="65"/>
      <c r="DU13" s="63"/>
      <c r="DW13" s="441"/>
      <c r="DX13" s="444"/>
      <c r="DY13" s="441"/>
      <c r="DZ13" s="445">
        <f t="shared" si="12"/>
        <v>8000</v>
      </c>
      <c r="EB13" s="67"/>
      <c r="EC13" s="78"/>
      <c r="ED13" s="78"/>
      <c r="EY13" s="446"/>
      <c r="EZ13" s="446"/>
      <c r="FA13" s="446"/>
      <c r="FB13" s="447"/>
      <c r="FC13" s="448"/>
      <c r="FE13" s="449"/>
      <c r="FF13" s="446"/>
      <c r="FG13" s="449"/>
      <c r="FI13" s="449"/>
      <c r="FJ13" s="446"/>
      <c r="FK13" s="450"/>
      <c r="FL13" s="450"/>
      <c r="FO13" s="451"/>
      <c r="FP13" s="135"/>
      <c r="FQ13" s="452"/>
      <c r="FR13" s="135"/>
      <c r="FS13" s="452"/>
      <c r="FU13" s="453"/>
      <c r="FV13" s="135"/>
      <c r="FX13" s="454"/>
      <c r="FY13" s="455"/>
      <c r="FZ13" s="456"/>
      <c r="II13" s="29"/>
      <c r="IJ13" s="29"/>
      <c r="IK13" s="29"/>
      <c r="IL13" s="29"/>
      <c r="IM13" s="29"/>
      <c r="IN13" s="29"/>
      <c r="IO13" s="29"/>
      <c r="IP13" s="29"/>
      <c r="IQ13" s="29"/>
      <c r="IR13" s="29"/>
      <c r="IS13" s="29"/>
      <c r="IT13" s="29"/>
      <c r="JF13" s="29"/>
      <c r="JG13" s="29"/>
      <c r="JH13" s="29"/>
      <c r="JI13" s="29"/>
      <c r="JJ13" s="29"/>
      <c r="JK13" s="29"/>
      <c r="JL13" s="29"/>
      <c r="JM13" s="29"/>
      <c r="JN13" s="29"/>
      <c r="JO13" s="29"/>
      <c r="JP13" s="29"/>
      <c r="JQ13" s="29"/>
      <c r="JR13" s="29"/>
    </row>
    <row r="14" spans="1:278">
      <c r="A14" s="47">
        <f t="shared" si="14"/>
        <v>10</v>
      </c>
      <c r="H14" s="53" t="str">
        <f t="shared" si="1"/>
        <v/>
      </c>
      <c r="J14" s="53"/>
      <c r="K14" s="53"/>
      <c r="M14" s="52" t="str">
        <f t="shared" si="7"/>
        <v/>
      </c>
      <c r="N14" s="437"/>
      <c r="O14" s="278" t="str">
        <f t="shared" si="13"/>
        <v/>
      </c>
      <c r="Q14" s="170"/>
      <c r="R14" s="279"/>
      <c r="S14" s="162" t="str">
        <f t="shared" si="3"/>
        <v/>
      </c>
      <c r="T14" s="279"/>
      <c r="V14" s="279"/>
      <c r="X14" s="279"/>
      <c r="Z14" s="279"/>
      <c r="AA14" s="438"/>
      <c r="AB14" s="279"/>
      <c r="AC14" s="168"/>
      <c r="AD14" s="279"/>
      <c r="AE14" s="439"/>
      <c r="AF14" s="279"/>
      <c r="AG14" s="440"/>
      <c r="AH14" s="279"/>
      <c r="AI14" s="168"/>
      <c r="AJ14" s="279"/>
      <c r="AL14" s="279"/>
      <c r="AN14" s="279"/>
      <c r="AP14" s="279"/>
      <c r="AR14" s="279"/>
      <c r="AT14" s="279"/>
      <c r="AV14" s="279"/>
      <c r="AX14" s="279"/>
      <c r="AZ14" s="279"/>
      <c r="BB14" s="279"/>
      <c r="BD14" s="279"/>
      <c r="BF14" s="279"/>
      <c r="BH14" s="279"/>
      <c r="BJ14" s="279"/>
      <c r="BL14" s="279"/>
      <c r="BN14" s="279"/>
      <c r="BP14" s="279"/>
      <c r="BR14" s="279"/>
      <c r="BT14" s="279"/>
      <c r="BV14" s="279"/>
      <c r="BX14" s="279"/>
      <c r="BZ14" s="279"/>
      <c r="CB14" s="279"/>
      <c r="CD14" s="279"/>
      <c r="CF14" s="279"/>
      <c r="CH14" s="279"/>
      <c r="CJ14" s="279"/>
      <c r="CL14" s="279"/>
      <c r="CO14" s="164"/>
      <c r="CQ14" s="425"/>
      <c r="CV14" s="441"/>
      <c r="CW14" s="441"/>
      <c r="CX14" s="441"/>
      <c r="CY14" s="442"/>
      <c r="CZ14" s="443"/>
      <c r="DE14" s="441"/>
      <c r="DF14" s="444"/>
      <c r="DG14" s="441"/>
      <c r="DH14" s="445"/>
      <c r="DI14" s="443"/>
      <c r="DJ14" s="65"/>
      <c r="DL14" s="63"/>
      <c r="DN14" s="441"/>
      <c r="DO14" s="444"/>
      <c r="DP14" s="441"/>
      <c r="DQ14" s="445">
        <f t="shared" si="11"/>
        <v>8000</v>
      </c>
      <c r="DR14" s="443"/>
      <c r="DS14" s="65"/>
      <c r="DU14" s="63"/>
      <c r="DW14" s="441"/>
      <c r="DX14" s="444"/>
      <c r="DY14" s="441"/>
      <c r="DZ14" s="445">
        <f t="shared" si="12"/>
        <v>8000</v>
      </c>
      <c r="EB14" s="67"/>
      <c r="EC14" s="78"/>
      <c r="ED14" s="78"/>
      <c r="EY14" s="446"/>
      <c r="EZ14" s="446"/>
      <c r="FA14" s="446"/>
      <c r="FB14" s="447"/>
      <c r="FC14" s="448"/>
      <c r="FE14" s="449"/>
      <c r="FF14" s="446"/>
      <c r="FG14" s="449"/>
      <c r="FI14" s="449"/>
      <c r="FJ14" s="446"/>
      <c r="FK14" s="450"/>
      <c r="FL14" s="450"/>
      <c r="FO14" s="451"/>
      <c r="FP14" s="135"/>
      <c r="FQ14" s="452"/>
      <c r="FR14" s="135"/>
      <c r="FS14" s="452"/>
      <c r="FU14" s="453"/>
      <c r="FV14" s="135"/>
      <c r="FX14" s="454"/>
      <c r="FY14" s="455"/>
      <c r="FZ14" s="456"/>
      <c r="II14" s="29"/>
      <c r="IJ14" s="29"/>
      <c r="IK14" s="29"/>
      <c r="IL14" s="29"/>
      <c r="IM14" s="29"/>
      <c r="IN14" s="29"/>
      <c r="IO14" s="29"/>
      <c r="IP14" s="29"/>
      <c r="IQ14" s="29"/>
      <c r="IR14" s="29"/>
      <c r="IS14" s="29"/>
      <c r="IT14" s="29"/>
      <c r="JF14" s="29"/>
      <c r="JG14" s="29"/>
      <c r="JH14" s="29"/>
      <c r="JI14" s="29"/>
      <c r="JJ14" s="29"/>
      <c r="JK14" s="29"/>
      <c r="JL14" s="29"/>
      <c r="JM14" s="29"/>
      <c r="JN14" s="29"/>
      <c r="JO14" s="29"/>
      <c r="JP14" s="29"/>
      <c r="JQ14" s="29"/>
      <c r="JR14" s="29"/>
    </row>
    <row r="15" spans="1:278">
      <c r="A15" s="47">
        <f t="shared" si="14"/>
        <v>11</v>
      </c>
      <c r="H15" s="53" t="str">
        <f t="shared" si="1"/>
        <v/>
      </c>
      <c r="J15" s="53"/>
      <c r="K15" s="53"/>
      <c r="M15" s="52" t="str">
        <f>IF(G15="","","全部")</f>
        <v/>
      </c>
      <c r="N15" s="437"/>
      <c r="O15" s="278" t="str">
        <f t="shared" si="13"/>
        <v/>
      </c>
      <c r="Q15" s="170"/>
      <c r="R15" s="279"/>
      <c r="S15" s="162" t="str">
        <f t="shared" si="3"/>
        <v/>
      </c>
      <c r="T15" s="279"/>
      <c r="V15" s="279"/>
      <c r="X15" s="279"/>
      <c r="Z15" s="279"/>
      <c r="AA15" s="438"/>
      <c r="AB15" s="279"/>
      <c r="AC15" s="168"/>
      <c r="AD15" s="279"/>
      <c r="AE15" s="439"/>
      <c r="AF15" s="279"/>
      <c r="AG15" s="440"/>
      <c r="AH15" s="279"/>
      <c r="AI15" s="168"/>
      <c r="AJ15" s="279"/>
      <c r="AL15" s="279"/>
      <c r="AN15" s="279"/>
      <c r="AP15" s="279"/>
      <c r="AR15" s="279"/>
      <c r="AT15" s="279"/>
      <c r="AV15" s="279"/>
      <c r="AX15" s="279"/>
      <c r="AZ15" s="279"/>
      <c r="BB15" s="279"/>
      <c r="BD15" s="279"/>
      <c r="BF15" s="279"/>
      <c r="BH15" s="279"/>
      <c r="BJ15" s="279"/>
      <c r="BL15" s="279"/>
      <c r="BN15" s="279"/>
      <c r="BP15" s="279"/>
      <c r="BR15" s="279"/>
      <c r="BT15" s="279"/>
      <c r="BV15" s="279"/>
      <c r="BX15" s="279"/>
      <c r="BZ15" s="279"/>
      <c r="CB15" s="279"/>
      <c r="CD15" s="279"/>
      <c r="CF15" s="279"/>
      <c r="CH15" s="279"/>
      <c r="CJ15" s="279"/>
      <c r="CL15" s="279"/>
      <c r="CO15" s="164"/>
      <c r="CQ15" s="425"/>
      <c r="CV15" s="441"/>
      <c r="CW15" s="441"/>
      <c r="CX15" s="441"/>
      <c r="CY15" s="442"/>
      <c r="CZ15" s="443"/>
      <c r="DE15" s="441"/>
      <c r="DF15" s="444"/>
      <c r="DG15" s="441"/>
      <c r="DH15" s="445"/>
      <c r="DI15" s="443"/>
      <c r="DJ15" s="65"/>
      <c r="DL15" s="63"/>
      <c r="DN15" s="441"/>
      <c r="DO15" s="444"/>
      <c r="DP15" s="441"/>
      <c r="DQ15" s="445">
        <f t="shared" si="11"/>
        <v>8000</v>
      </c>
      <c r="DR15" s="443"/>
      <c r="DS15" s="65"/>
      <c r="DU15" s="63"/>
      <c r="DW15" s="441"/>
      <c r="DX15" s="444"/>
      <c r="DY15" s="441"/>
      <c r="DZ15" s="445">
        <f t="shared" si="12"/>
        <v>8000</v>
      </c>
      <c r="EB15" s="67"/>
      <c r="EC15" s="78"/>
      <c r="ED15" s="78"/>
      <c r="EY15" s="446"/>
      <c r="EZ15" s="446"/>
      <c r="FA15" s="446"/>
      <c r="FB15" s="447"/>
      <c r="FC15" s="448"/>
      <c r="FE15" s="449"/>
      <c r="FF15" s="446"/>
      <c r="FG15" s="449"/>
      <c r="FI15" s="449"/>
      <c r="FJ15" s="446"/>
      <c r="FK15" s="450"/>
      <c r="FL15" s="450"/>
      <c r="FO15" s="451"/>
      <c r="FP15" s="135"/>
      <c r="FQ15" s="452"/>
      <c r="FR15" s="135"/>
      <c r="FS15" s="452"/>
      <c r="FU15" s="453"/>
      <c r="FV15" s="135"/>
      <c r="FX15" s="454"/>
      <c r="FY15" s="455"/>
      <c r="FZ15" s="456"/>
      <c r="II15" s="29"/>
      <c r="IJ15" s="29"/>
      <c r="IK15" s="29"/>
      <c r="IL15" s="29"/>
      <c r="IM15" s="29"/>
      <c r="IN15" s="29"/>
      <c r="IO15" s="29"/>
      <c r="IP15" s="29"/>
      <c r="IQ15" s="29"/>
      <c r="IR15" s="29"/>
      <c r="IS15" s="29"/>
      <c r="IT15" s="29"/>
      <c r="JF15" s="29"/>
      <c r="JG15" s="29"/>
      <c r="JH15" s="29"/>
      <c r="JI15" s="29"/>
      <c r="JJ15" s="29"/>
      <c r="JK15" s="29"/>
      <c r="JL15" s="29"/>
      <c r="JM15" s="29"/>
      <c r="JN15" s="29"/>
      <c r="JO15" s="29"/>
      <c r="JP15" s="29"/>
      <c r="JQ15" s="29"/>
      <c r="JR15" s="29"/>
    </row>
    <row r="16" spans="1:278">
      <c r="A16" s="457"/>
      <c r="B16" s="88"/>
      <c r="C16" s="89"/>
      <c r="D16" s="234" t="s">
        <v>79</v>
      </c>
      <c r="E16" s="90"/>
      <c r="F16" s="91"/>
      <c r="G16" s="458"/>
      <c r="H16" s="459"/>
      <c r="I16" s="459"/>
      <c r="J16" s="460"/>
      <c r="K16" s="460"/>
      <c r="L16" s="461"/>
      <c r="M16" s="462"/>
      <c r="N16" s="463"/>
      <c r="O16" s="464"/>
      <c r="P16" s="465"/>
      <c r="Q16" s="466">
        <f>SUM(Q5:Q15)</f>
        <v>56000</v>
      </c>
      <c r="R16" s="93"/>
      <c r="S16" s="466">
        <f>SUM(S5:S15)</f>
        <v>8200</v>
      </c>
      <c r="T16" s="94"/>
      <c r="U16" s="467">
        <f>SUM(U5:U15)</f>
        <v>8200</v>
      </c>
      <c r="V16" s="95"/>
      <c r="W16" s="467">
        <f>SUM(W5:W15)</f>
        <v>8200</v>
      </c>
      <c r="X16" s="95"/>
      <c r="Y16" s="467">
        <f>SUM(Y5:Y15)</f>
        <v>8200</v>
      </c>
      <c r="Z16" s="95"/>
      <c r="AA16" s="467">
        <f>SUM(AA5:AA15)</f>
        <v>8200</v>
      </c>
      <c r="AB16" s="95"/>
      <c r="AC16" s="467">
        <f>SUM(AC5:AC15)</f>
        <v>8200</v>
      </c>
      <c r="AD16" s="95"/>
      <c r="AE16" s="467">
        <f>SUM(AE5:AE15)</f>
        <v>8200</v>
      </c>
      <c r="AF16" s="95"/>
      <c r="AG16" s="467">
        <f>SUM(AG5:AG15)</f>
        <v>6500</v>
      </c>
      <c r="AH16" s="95"/>
      <c r="AI16" s="467">
        <f>SUM(AI5:AI15)</f>
        <v>1700</v>
      </c>
      <c r="AJ16" s="95"/>
      <c r="AK16" s="467">
        <f>SUM(AK5:AK15)</f>
        <v>0</v>
      </c>
      <c r="AL16" s="95"/>
      <c r="AM16" s="467">
        <f>SUM(AM5:AM15)</f>
        <v>0</v>
      </c>
      <c r="AN16" s="95"/>
      <c r="AO16" s="467">
        <f>SUM(AO5:AO15)</f>
        <v>0</v>
      </c>
      <c r="AP16" s="96"/>
      <c r="AQ16" s="94"/>
      <c r="AR16" s="95"/>
      <c r="AS16" s="468"/>
      <c r="AT16" s="95"/>
      <c r="AU16" s="95"/>
      <c r="AV16" s="95"/>
      <c r="AW16" s="95"/>
      <c r="AX16" s="95"/>
      <c r="AY16" s="95"/>
      <c r="AZ16" s="95"/>
      <c r="BA16" s="95"/>
      <c r="BB16" s="95"/>
      <c r="BC16" s="95"/>
      <c r="BD16" s="95"/>
      <c r="BE16" s="95"/>
      <c r="BF16" s="95"/>
      <c r="BG16" s="95"/>
      <c r="BH16" s="95"/>
      <c r="BI16" s="95"/>
      <c r="BJ16" s="95"/>
      <c r="BK16" s="95"/>
      <c r="BL16" s="95"/>
      <c r="BM16" s="95"/>
      <c r="BN16" s="96"/>
      <c r="BO16" s="94"/>
      <c r="BP16" s="95"/>
      <c r="BQ16" s="95"/>
      <c r="BR16" s="95"/>
      <c r="BS16" s="95"/>
      <c r="BT16" s="95"/>
      <c r="BU16" s="95"/>
      <c r="BV16" s="95"/>
      <c r="BW16" s="95"/>
      <c r="BX16" s="95"/>
      <c r="BY16" s="95"/>
      <c r="BZ16" s="95"/>
      <c r="CA16" s="95"/>
      <c r="CB16" s="95"/>
      <c r="CC16" s="95"/>
      <c r="CD16" s="95"/>
      <c r="CE16" s="95"/>
      <c r="CF16" s="95"/>
      <c r="CG16" s="95"/>
      <c r="CH16" s="95"/>
      <c r="CI16" s="95"/>
      <c r="CJ16" s="95"/>
      <c r="CK16" s="95"/>
      <c r="CL16" s="97"/>
      <c r="CM16" s="469"/>
      <c r="CN16" s="459"/>
      <c r="CO16" s="470"/>
      <c r="CP16" s="471"/>
      <c r="CQ16" s="472"/>
      <c r="CR16" s="473"/>
      <c r="CS16" s="472"/>
      <c r="CT16" s="474">
        <f>SUM(CT5:CT15)</f>
        <v>4500</v>
      </c>
      <c r="CU16" s="95"/>
      <c r="CV16" s="95"/>
      <c r="CW16" s="95"/>
      <c r="CX16" s="95"/>
      <c r="CY16" s="96"/>
      <c r="CZ16" s="475">
        <f>SUM(CZ5:CZ15)</f>
        <v>20800</v>
      </c>
      <c r="DA16" s="98"/>
      <c r="DB16" s="476">
        <f>SUM(DB5:DB15)</f>
        <v>0</v>
      </c>
      <c r="DC16" s="95"/>
      <c r="DD16" s="476">
        <f>SUM(DD5:DD15)</f>
        <v>0</v>
      </c>
      <c r="DE16" s="95"/>
      <c r="DF16" s="476">
        <f>SUM(DF5:DF15)</f>
        <v>0</v>
      </c>
      <c r="DG16" s="95"/>
      <c r="DH16" s="477"/>
      <c r="DI16" s="478"/>
      <c r="DJ16" s="479"/>
      <c r="DK16" s="479"/>
      <c r="DL16" s="479"/>
      <c r="DM16" s="479"/>
      <c r="DN16" s="479"/>
      <c r="DO16" s="479"/>
      <c r="DP16" s="479"/>
      <c r="DQ16" s="480"/>
      <c r="DR16" s="478"/>
      <c r="DS16" s="479"/>
      <c r="DT16" s="479"/>
      <c r="DU16" s="479"/>
      <c r="DV16" s="479"/>
      <c r="DW16" s="479"/>
      <c r="DX16" s="479"/>
      <c r="DY16" s="479"/>
      <c r="DZ16" s="481"/>
      <c r="EA16" s="462"/>
      <c r="EB16" s="459"/>
      <c r="EC16" s="469"/>
      <c r="ED16" s="459"/>
      <c r="EE16" s="471"/>
      <c r="EF16" s="460"/>
      <c r="EG16" s="460"/>
      <c r="EH16" s="460"/>
      <c r="EI16" s="460"/>
      <c r="EJ16" s="482"/>
      <c r="EK16" s="482"/>
      <c r="EL16" s="482"/>
      <c r="EM16" s="482"/>
      <c r="EN16" s="483"/>
      <c r="EO16" s="470"/>
      <c r="EP16" s="460"/>
      <c r="EQ16" s="460"/>
      <c r="ER16" s="460"/>
      <c r="ES16" s="482"/>
      <c r="ET16" s="460"/>
      <c r="EU16" s="460"/>
      <c r="EV16" s="482"/>
      <c r="EW16" s="145">
        <f>SUM(EW5:EW15)</f>
        <v>0</v>
      </c>
      <c r="EX16" s="95"/>
      <c r="EY16" s="95"/>
      <c r="EZ16" s="95"/>
      <c r="FA16" s="95"/>
      <c r="FB16" s="96"/>
      <c r="FC16" s="146">
        <f>SUM(FC5:FC15)</f>
        <v>0</v>
      </c>
      <c r="FD16" s="95"/>
      <c r="FE16" s="99">
        <f>SUM(FE5:FE15)</f>
        <v>0</v>
      </c>
      <c r="FF16" s="95"/>
      <c r="FG16" s="99">
        <f>SUM(FG5:FG15)</f>
        <v>0</v>
      </c>
      <c r="FH16" s="95"/>
      <c r="FI16" s="99">
        <f>SUM(FI5:FI15)</f>
        <v>0</v>
      </c>
      <c r="FJ16" s="95"/>
      <c r="FK16" s="99">
        <f>SUM(FK5:FK15)</f>
        <v>0</v>
      </c>
      <c r="FL16" s="95"/>
      <c r="FM16" s="99">
        <f>SUM(FM5:FM15)</f>
        <v>0</v>
      </c>
      <c r="FN16" s="95"/>
      <c r="FO16" s="99">
        <f>SUM(FO5:FO15)</f>
        <v>0</v>
      </c>
      <c r="FP16" s="95"/>
      <c r="FQ16" s="99">
        <f>SUM(FQ5:FQ15)</f>
        <v>0</v>
      </c>
      <c r="FR16" s="95"/>
      <c r="FS16" s="99">
        <f>SUM(FS5:FS15)</f>
        <v>0</v>
      </c>
      <c r="FT16" s="95"/>
      <c r="FU16" s="99">
        <f>SUM(FU5:FU15)</f>
        <v>0</v>
      </c>
      <c r="FV16" s="95"/>
      <c r="FW16" s="99">
        <f>SUM(FW5:FW15)</f>
        <v>0</v>
      </c>
      <c r="FX16" s="95"/>
      <c r="FY16" s="99">
        <f>SUM(FY5:FY15)</f>
        <v>0</v>
      </c>
      <c r="FZ16" s="96"/>
      <c r="HW16" s="29"/>
      <c r="HX16" s="29"/>
      <c r="HY16" s="29"/>
      <c r="HZ16" s="29"/>
      <c r="IA16" s="29"/>
      <c r="IB16" s="29"/>
      <c r="IC16" s="29"/>
      <c r="ID16" s="29"/>
      <c r="IE16" s="29"/>
      <c r="IF16" s="29"/>
      <c r="IG16" s="29"/>
      <c r="IH16" s="29"/>
      <c r="II16" s="29"/>
      <c r="IJ16" s="29"/>
      <c r="IK16" s="29"/>
      <c r="IL16" s="29"/>
      <c r="IM16" s="29"/>
      <c r="IN16" s="29"/>
      <c r="IO16" s="29"/>
      <c r="IP16" s="29"/>
      <c r="IQ16" s="29"/>
      <c r="IR16" s="29"/>
      <c r="IS16" s="29"/>
      <c r="IT16" s="29"/>
      <c r="IU16" s="29"/>
      <c r="IV16" s="29"/>
      <c r="IW16" s="29"/>
      <c r="IX16" s="29"/>
      <c r="IY16" s="29"/>
      <c r="IZ16" s="29"/>
      <c r="JA16" s="29"/>
      <c r="JB16" s="29"/>
      <c r="JC16" s="29"/>
      <c r="JD16" s="29"/>
      <c r="JE16" s="29"/>
      <c r="JF16" s="29"/>
      <c r="JG16" s="29"/>
      <c r="JH16" s="29"/>
      <c r="JI16" s="29"/>
      <c r="JJ16" s="29"/>
      <c r="JK16" s="29"/>
      <c r="JL16" s="29"/>
      <c r="JM16" s="29"/>
      <c r="JN16" s="29"/>
      <c r="JO16" s="29"/>
      <c r="JP16" s="29"/>
      <c r="JQ16" s="29"/>
      <c r="JR16" s="29"/>
    </row>
    <row r="17" spans="1:278">
      <c r="A17" s="457"/>
      <c r="B17" s="88"/>
      <c r="C17" s="89"/>
      <c r="D17" s="234" t="s">
        <v>77</v>
      </c>
      <c r="E17" s="90"/>
      <c r="F17" s="91"/>
      <c r="G17" s="458"/>
      <c r="H17" s="459"/>
      <c r="I17" s="459"/>
      <c r="J17" s="460"/>
      <c r="K17" s="460"/>
      <c r="L17" s="461"/>
      <c r="M17" s="462"/>
      <c r="N17" s="463"/>
      <c r="O17" s="464"/>
      <c r="P17" s="465"/>
      <c r="Q17" s="466"/>
      <c r="R17" s="93"/>
      <c r="S17" s="484">
        <f>SUM(S16:AP16)</f>
        <v>65600</v>
      </c>
      <c r="T17" s="94"/>
      <c r="U17" s="99"/>
      <c r="V17" s="95"/>
      <c r="W17" s="99"/>
      <c r="X17" s="95"/>
      <c r="Y17" s="99"/>
      <c r="Z17" s="95"/>
      <c r="AA17" s="99"/>
      <c r="AB17" s="95"/>
      <c r="AC17" s="99"/>
      <c r="AD17" s="95"/>
      <c r="AE17" s="99"/>
      <c r="AF17" s="100"/>
      <c r="AG17" s="99"/>
      <c r="AH17" s="100"/>
      <c r="AI17" s="99"/>
      <c r="AJ17" s="100"/>
      <c r="AK17" s="99"/>
      <c r="AL17" s="100"/>
      <c r="AM17" s="99"/>
      <c r="AN17" s="100"/>
      <c r="AO17" s="99"/>
      <c r="AP17" s="485"/>
      <c r="AQ17" s="101"/>
      <c r="AR17" s="100"/>
      <c r="AS17" s="147"/>
      <c r="AT17" s="100"/>
      <c r="AU17" s="100"/>
      <c r="AV17" s="100"/>
      <c r="AW17" s="100"/>
      <c r="AX17" s="100"/>
      <c r="AY17" s="100"/>
      <c r="AZ17" s="100"/>
      <c r="BA17" s="100"/>
      <c r="BB17" s="100"/>
      <c r="BC17" s="100"/>
      <c r="BD17" s="100"/>
      <c r="BE17" s="100"/>
      <c r="BF17" s="100"/>
      <c r="BG17" s="100"/>
      <c r="BH17" s="100"/>
      <c r="BI17" s="100"/>
      <c r="BJ17" s="100"/>
      <c r="BK17" s="100"/>
      <c r="BL17" s="100"/>
      <c r="BM17" s="100"/>
      <c r="BN17" s="485"/>
      <c r="BO17" s="101"/>
      <c r="BP17" s="100"/>
      <c r="BQ17" s="100"/>
      <c r="BR17" s="100"/>
      <c r="BS17" s="100"/>
      <c r="BT17" s="100"/>
      <c r="BU17" s="100"/>
      <c r="BV17" s="100"/>
      <c r="BW17" s="100"/>
      <c r="BX17" s="100"/>
      <c r="BY17" s="100"/>
      <c r="BZ17" s="100"/>
      <c r="CA17" s="100"/>
      <c r="CB17" s="100"/>
      <c r="CC17" s="100"/>
      <c r="CD17" s="100"/>
      <c r="CE17" s="100"/>
      <c r="CF17" s="100"/>
      <c r="CG17" s="100"/>
      <c r="CH17" s="100"/>
      <c r="CI17" s="100"/>
      <c r="CJ17" s="100"/>
      <c r="CK17" s="100"/>
      <c r="CL17" s="486"/>
      <c r="CM17" s="469"/>
      <c r="CN17" s="459"/>
      <c r="CO17" s="470"/>
      <c r="CP17" s="471"/>
      <c r="CQ17" s="472"/>
      <c r="CR17" s="473"/>
      <c r="CS17" s="472"/>
      <c r="CT17" s="474"/>
      <c r="CU17" s="95"/>
      <c r="CV17" s="95"/>
      <c r="CW17" s="95"/>
      <c r="CX17" s="95"/>
      <c r="CY17" s="96"/>
      <c r="CZ17" s="487">
        <f>SUM(CZ16:DG16)</f>
        <v>20800</v>
      </c>
      <c r="DA17" s="98"/>
      <c r="DB17" s="99"/>
      <c r="DC17" s="95"/>
      <c r="DD17" s="99"/>
      <c r="DE17" s="95"/>
      <c r="DF17" s="99"/>
      <c r="DG17" s="95"/>
      <c r="DH17" s="477"/>
      <c r="DI17" s="478"/>
      <c r="DJ17" s="479"/>
      <c r="DK17" s="479"/>
      <c r="DL17" s="479"/>
      <c r="DM17" s="479"/>
      <c r="DN17" s="479"/>
      <c r="DO17" s="479"/>
      <c r="DP17" s="479"/>
      <c r="DQ17" s="480"/>
      <c r="DR17" s="478"/>
      <c r="DS17" s="479"/>
      <c r="DT17" s="479"/>
      <c r="DU17" s="479"/>
      <c r="DV17" s="479"/>
      <c r="DW17" s="479"/>
      <c r="DX17" s="479"/>
      <c r="DY17" s="479"/>
      <c r="DZ17" s="481"/>
      <c r="EA17" s="462"/>
      <c r="EB17" s="459"/>
      <c r="EC17" s="469"/>
      <c r="ED17" s="459"/>
      <c r="EE17" s="471"/>
      <c r="EF17" s="460"/>
      <c r="EG17" s="460"/>
      <c r="EH17" s="460"/>
      <c r="EI17" s="460"/>
      <c r="EJ17" s="482"/>
      <c r="EK17" s="482"/>
      <c r="EL17" s="482"/>
      <c r="EM17" s="482"/>
      <c r="EN17" s="483"/>
      <c r="EO17" s="470"/>
      <c r="EP17" s="460"/>
      <c r="EQ17" s="460"/>
      <c r="ER17" s="460"/>
      <c r="ES17" s="482"/>
      <c r="ET17" s="460"/>
      <c r="EU17" s="460"/>
      <c r="EV17" s="482"/>
      <c r="EW17" s="145">
        <f>SUM(EW16,CT16)</f>
        <v>4500</v>
      </c>
      <c r="EX17" s="95"/>
      <c r="EY17" s="95"/>
      <c r="EZ17" s="95"/>
      <c r="FA17" s="95"/>
      <c r="FB17" s="96"/>
      <c r="FC17" s="488">
        <f>SUM(FC16:FZ16)</f>
        <v>0</v>
      </c>
      <c r="FD17" s="489"/>
      <c r="FE17" s="99"/>
      <c r="FF17" s="95"/>
      <c r="FG17" s="99"/>
      <c r="FH17" s="95"/>
      <c r="FI17" s="99"/>
      <c r="FJ17" s="95"/>
      <c r="FK17" s="99"/>
      <c r="FL17" s="95"/>
      <c r="FM17" s="99"/>
      <c r="FN17" s="100"/>
      <c r="FO17" s="99"/>
      <c r="FP17" s="100"/>
      <c r="FQ17" s="99"/>
      <c r="FR17" s="100"/>
      <c r="FS17" s="99"/>
      <c r="FT17" s="100"/>
      <c r="FU17" s="99"/>
      <c r="FV17" s="100"/>
      <c r="FW17" s="99"/>
      <c r="FX17" s="100"/>
      <c r="FY17" s="99"/>
      <c r="FZ17" s="485"/>
      <c r="HW17" s="29"/>
      <c r="HX17" s="29"/>
      <c r="HY17" s="29"/>
      <c r="HZ17" s="29"/>
      <c r="IA17" s="29"/>
      <c r="IB17" s="29"/>
      <c r="IC17" s="29"/>
      <c r="ID17" s="29"/>
      <c r="IE17" s="29"/>
      <c r="IF17" s="29"/>
      <c r="IG17" s="29"/>
      <c r="IH17" s="29"/>
      <c r="II17" s="29"/>
      <c r="IJ17" s="29"/>
      <c r="IK17" s="29"/>
      <c r="IL17" s="29"/>
      <c r="IM17" s="29"/>
      <c r="IN17" s="29"/>
      <c r="IO17" s="29"/>
      <c r="IP17" s="29"/>
      <c r="IQ17" s="29"/>
      <c r="IR17" s="29"/>
      <c r="IS17" s="29"/>
      <c r="IT17" s="29"/>
      <c r="IU17" s="29"/>
      <c r="IV17" s="29"/>
      <c r="IW17" s="29"/>
      <c r="IX17" s="29"/>
      <c r="IY17" s="29"/>
      <c r="IZ17" s="29"/>
      <c r="JA17" s="29"/>
      <c r="JB17" s="29"/>
      <c r="JC17" s="29"/>
      <c r="JD17" s="29"/>
      <c r="JE17" s="29"/>
      <c r="JF17" s="29"/>
      <c r="JG17" s="29"/>
      <c r="JH17" s="29"/>
      <c r="JI17" s="29"/>
      <c r="JJ17" s="29"/>
      <c r="JK17" s="29"/>
      <c r="JL17" s="29"/>
      <c r="JM17" s="29"/>
      <c r="JN17" s="29"/>
      <c r="JO17" s="29"/>
      <c r="JP17" s="29"/>
      <c r="JQ17" s="29"/>
      <c r="JR17" s="29"/>
    </row>
    <row r="18" spans="1:278" s="183" customFormat="1">
      <c r="A18" s="490"/>
      <c r="B18" s="491"/>
      <c r="C18" s="492"/>
      <c r="D18" s="493" t="s">
        <v>125</v>
      </c>
      <c r="E18" s="494"/>
      <c r="F18" s="495"/>
      <c r="G18" s="496"/>
      <c r="H18" s="497"/>
      <c r="I18" s="497"/>
      <c r="J18" s="498"/>
      <c r="K18" s="498"/>
      <c r="L18" s="499"/>
      <c r="M18" s="500"/>
      <c r="N18" s="501"/>
      <c r="O18" s="502"/>
      <c r="P18" s="503"/>
      <c r="Q18" s="504">
        <f>SUM(Q5:Q15)</f>
        <v>56000</v>
      </c>
      <c r="R18" s="505"/>
      <c r="S18" s="504">
        <f>SUM(S5:S15)</f>
        <v>8200</v>
      </c>
      <c r="T18" s="506"/>
      <c r="U18" s="504">
        <f>SUM(U5:U15)</f>
        <v>8200</v>
      </c>
      <c r="V18" s="507"/>
      <c r="W18" s="504">
        <f>SUM(W5:W15)</f>
        <v>8200</v>
      </c>
      <c r="X18" s="507"/>
      <c r="Y18" s="504">
        <f>SUM(Y5:Y15)</f>
        <v>8200</v>
      </c>
      <c r="Z18" s="507"/>
      <c r="AA18" s="504">
        <f>SUM(AA5:AA15)</f>
        <v>8200</v>
      </c>
      <c r="AB18" s="507"/>
      <c r="AC18" s="504">
        <f>SUM(AC5:AC15)</f>
        <v>8200</v>
      </c>
      <c r="AD18" s="507"/>
      <c r="AE18" s="504">
        <f>SUM(AE5:AE15)</f>
        <v>8200</v>
      </c>
      <c r="AF18" s="508"/>
      <c r="AG18" s="504">
        <f>SUM(AG5:AG15)</f>
        <v>6500</v>
      </c>
      <c r="AH18" s="508"/>
      <c r="AI18" s="504">
        <f>SUM(AI5:AI15)</f>
        <v>1700</v>
      </c>
      <c r="AJ18" s="508"/>
      <c r="AK18" s="504">
        <f>SUM(AK5:AK15)</f>
        <v>0</v>
      </c>
      <c r="AL18" s="508"/>
      <c r="AM18" s="504">
        <f>SUM(AM5:AM15)</f>
        <v>0</v>
      </c>
      <c r="AN18" s="508"/>
      <c r="AO18" s="504">
        <f>SUM(AO5:AO15)</f>
        <v>0</v>
      </c>
      <c r="AP18" s="509"/>
      <c r="AQ18" s="504">
        <f>SUM(AQ5:AQ15)</f>
        <v>0</v>
      </c>
      <c r="AR18" s="508"/>
      <c r="AS18" s="504">
        <f>SUM(AS5:AS15)</f>
        <v>0</v>
      </c>
      <c r="AT18" s="508"/>
      <c r="AU18" s="504">
        <f>SUM(AU5:AU15)</f>
        <v>0</v>
      </c>
      <c r="AV18" s="508"/>
      <c r="AW18" s="504">
        <f>SUM(AW5:AW15)</f>
        <v>0</v>
      </c>
      <c r="AX18" s="508"/>
      <c r="AY18" s="504">
        <f>SUM(AY5:AY15)</f>
        <v>0</v>
      </c>
      <c r="AZ18" s="508"/>
      <c r="BA18" s="504">
        <f>SUM(BA5:BA15)</f>
        <v>0</v>
      </c>
      <c r="BB18" s="508"/>
      <c r="BC18" s="504">
        <f>SUM(BC5:BC15)</f>
        <v>0</v>
      </c>
      <c r="BD18" s="508"/>
      <c r="BE18" s="504">
        <f>SUM(BE5:BE15)</f>
        <v>0</v>
      </c>
      <c r="BF18" s="508"/>
      <c r="BG18" s="504">
        <f>SUM(BG5:BG15)</f>
        <v>0</v>
      </c>
      <c r="BH18" s="508"/>
      <c r="BI18" s="504">
        <f>SUM(BI5:BI15)</f>
        <v>0</v>
      </c>
      <c r="BJ18" s="508"/>
      <c r="BK18" s="504">
        <f>SUM(BK5:BK15)</f>
        <v>0</v>
      </c>
      <c r="BL18" s="508"/>
      <c r="BM18" s="504">
        <f>SUM(BM5:BM15)</f>
        <v>0</v>
      </c>
      <c r="BN18" s="509"/>
      <c r="BO18" s="504">
        <f>SUM(BO5:BO15)</f>
        <v>0</v>
      </c>
      <c r="BP18" s="508"/>
      <c r="BQ18" s="504">
        <f>SUM(BQ5:BQ15)</f>
        <v>0</v>
      </c>
      <c r="BR18" s="508"/>
      <c r="BS18" s="504">
        <f>SUM(BS5:BS15)</f>
        <v>0</v>
      </c>
      <c r="BT18" s="508"/>
      <c r="BU18" s="504">
        <f>SUM(BU5:BU15)</f>
        <v>0</v>
      </c>
      <c r="BV18" s="508"/>
      <c r="BW18" s="504">
        <f>SUM(BW5:BW15)</f>
        <v>0</v>
      </c>
      <c r="BX18" s="508"/>
      <c r="BY18" s="504">
        <f>SUM(BY5:BY15)</f>
        <v>0</v>
      </c>
      <c r="BZ18" s="508"/>
      <c r="CA18" s="504">
        <f>SUM(CA5:CA15)</f>
        <v>0</v>
      </c>
      <c r="CB18" s="508"/>
      <c r="CC18" s="504">
        <f>SUM(CC5:CC15)</f>
        <v>0</v>
      </c>
      <c r="CD18" s="508"/>
      <c r="CE18" s="504">
        <f>SUM(CE5:CE15)</f>
        <v>0</v>
      </c>
      <c r="CF18" s="508"/>
      <c r="CG18" s="504">
        <f>SUM(CG5:CG15)</f>
        <v>0</v>
      </c>
      <c r="CH18" s="508"/>
      <c r="CI18" s="504">
        <f>SUM(CI5:CI15)</f>
        <v>0</v>
      </c>
      <c r="CJ18" s="508"/>
      <c r="CL18" s="510"/>
      <c r="CM18" s="504"/>
      <c r="CN18" s="497"/>
      <c r="CO18" s="511"/>
      <c r="CP18" s="512"/>
      <c r="CQ18" s="513"/>
      <c r="CR18" s="514"/>
      <c r="CS18" s="513"/>
      <c r="CT18" s="504">
        <f>SUM(CK5:CK15)</f>
        <v>0</v>
      </c>
      <c r="CU18" s="507"/>
      <c r="CV18" s="504">
        <f>SUM(CM5:CM15)</f>
        <v>0</v>
      </c>
      <c r="CW18" s="507"/>
      <c r="CX18" s="504">
        <f>SUM(CO5:CO15)</f>
        <v>0</v>
      </c>
      <c r="CY18" s="515"/>
      <c r="CZ18" s="504">
        <f>SUM(CQ5:CQ15)</f>
        <v>0</v>
      </c>
      <c r="DA18" s="516"/>
      <c r="DB18" s="504">
        <f>SUM(CS5:CS15)</f>
        <v>0</v>
      </c>
      <c r="DC18" s="507"/>
      <c r="DD18" s="504">
        <f>SUM(CU5:CU15)</f>
        <v>0</v>
      </c>
      <c r="DE18" s="507"/>
      <c r="DF18" s="504">
        <f>SUM(CW5:CW15)</f>
        <v>0</v>
      </c>
      <c r="DG18" s="507"/>
      <c r="DH18" s="504"/>
      <c r="DI18" s="504">
        <f>SUM(CZ5:CZ15)</f>
        <v>20800</v>
      </c>
      <c r="DJ18" s="517"/>
      <c r="DK18" s="504">
        <f>SUM(DB5:DB15)</f>
        <v>0</v>
      </c>
      <c r="DL18" s="517"/>
      <c r="DM18" s="504">
        <f>SUM(DD5:DD15)</f>
        <v>0</v>
      </c>
      <c r="DN18" s="517"/>
      <c r="DO18" s="504">
        <f>SUM(DF5:DF15)</f>
        <v>0</v>
      </c>
      <c r="DP18" s="517"/>
      <c r="DQ18" s="518"/>
      <c r="DR18" s="504">
        <f>SUM(DI5:DI15)</f>
        <v>0</v>
      </c>
      <c r="DS18" s="517"/>
      <c r="DT18" s="504">
        <f>SUM(DK5:DK15)</f>
        <v>0</v>
      </c>
      <c r="DU18" s="517"/>
      <c r="DV18" s="504">
        <f>SUM(DM5:DM15)</f>
        <v>0</v>
      </c>
      <c r="DW18" s="517"/>
      <c r="DX18" s="504">
        <f>SUM(DO5:DO15)</f>
        <v>0</v>
      </c>
      <c r="DY18" s="517"/>
      <c r="DZ18" s="519"/>
      <c r="EA18" s="500"/>
      <c r="EB18" s="497"/>
      <c r="EC18" s="520"/>
      <c r="ED18" s="497"/>
      <c r="EE18" s="512"/>
      <c r="EF18" s="498"/>
      <c r="EG18" s="498"/>
      <c r="EH18" s="498"/>
      <c r="EI18" s="498"/>
      <c r="EJ18" s="521"/>
      <c r="EK18" s="521"/>
      <c r="EL18" s="521"/>
      <c r="EM18" s="521"/>
      <c r="EN18" s="522"/>
      <c r="EO18" s="511"/>
      <c r="EP18" s="498"/>
      <c r="EQ18" s="498"/>
      <c r="ER18" s="498"/>
      <c r="ES18" s="521"/>
      <c r="ET18" s="498"/>
      <c r="EU18" s="498"/>
      <c r="EV18" s="521"/>
      <c r="EW18" s="523"/>
      <c r="EX18" s="507"/>
      <c r="EY18" s="507"/>
      <c r="EZ18" s="507"/>
      <c r="FA18" s="507"/>
      <c r="FB18" s="515"/>
      <c r="FC18" s="504">
        <f>SUM(ET5:ET15)</f>
        <v>0</v>
      </c>
      <c r="FD18" s="524"/>
      <c r="FE18" s="504">
        <f>SUM(EV5:EV15)</f>
        <v>0</v>
      </c>
      <c r="FF18" s="507"/>
      <c r="FG18" s="504">
        <f>SUM(EX5:EX15)</f>
        <v>0</v>
      </c>
      <c r="FH18" s="507"/>
      <c r="FI18" s="504">
        <f>SUM(EZ5:EZ15)</f>
        <v>0</v>
      </c>
      <c r="FJ18" s="507"/>
      <c r="FK18" s="504">
        <f>SUM(FB5:FB15)</f>
        <v>0</v>
      </c>
      <c r="FL18" s="507"/>
      <c r="FM18" s="504">
        <f>SUM(FD5:FD15)</f>
        <v>0</v>
      </c>
      <c r="FN18" s="508"/>
      <c r="FO18" s="504">
        <f>SUM(FF5:FF15)</f>
        <v>0</v>
      </c>
      <c r="FP18" s="508"/>
      <c r="FQ18" s="504">
        <f>SUM(FH5:FH15)</f>
        <v>0</v>
      </c>
      <c r="FR18" s="508"/>
      <c r="FS18" s="504">
        <f>SUM(FJ5:FJ15)</f>
        <v>0</v>
      </c>
      <c r="FT18" s="508"/>
      <c r="FU18" s="504">
        <f>SUM(FL5:FL15)</f>
        <v>0</v>
      </c>
      <c r="FV18" s="508"/>
      <c r="FW18" s="504">
        <f>SUM(FN5:FN15)</f>
        <v>0</v>
      </c>
      <c r="FX18" s="508"/>
      <c r="FY18" s="504">
        <f>SUM(FP5:FP15)</f>
        <v>0</v>
      </c>
      <c r="FZ18" s="509"/>
      <c r="GA18" s="525"/>
      <c r="GB18" s="526"/>
      <c r="GC18" s="526"/>
      <c r="GD18" s="526"/>
      <c r="GE18" s="526"/>
      <c r="GF18" s="526"/>
      <c r="GG18" s="526"/>
      <c r="GH18" s="526"/>
      <c r="GI18" s="526"/>
      <c r="GJ18" s="526"/>
      <c r="GK18" s="526"/>
      <c r="GL18" s="526"/>
      <c r="GM18" s="526"/>
      <c r="GN18" s="526"/>
      <c r="GO18" s="526"/>
      <c r="GP18" s="526"/>
      <c r="GQ18" s="526"/>
      <c r="GR18" s="526"/>
      <c r="GS18" s="526"/>
      <c r="GT18" s="526"/>
      <c r="GU18" s="526"/>
      <c r="GV18" s="526"/>
      <c r="GW18" s="526"/>
      <c r="GX18" s="527"/>
      <c r="GY18" s="525"/>
      <c r="GZ18" s="526"/>
      <c r="HA18" s="526"/>
      <c r="HB18" s="526"/>
      <c r="HC18" s="526"/>
      <c r="HD18" s="526"/>
      <c r="HE18" s="526"/>
      <c r="HF18" s="526"/>
      <c r="HG18" s="526"/>
      <c r="HH18" s="526"/>
      <c r="HI18" s="526"/>
      <c r="HJ18" s="526"/>
      <c r="HK18" s="526"/>
      <c r="HL18" s="526"/>
      <c r="HM18" s="526"/>
      <c r="HN18" s="526"/>
      <c r="HO18" s="526"/>
      <c r="HP18" s="526"/>
      <c r="HQ18" s="526"/>
      <c r="HR18" s="526"/>
      <c r="HS18" s="526"/>
      <c r="HT18" s="526"/>
      <c r="HU18" s="526"/>
      <c r="HV18" s="528"/>
      <c r="HW18" s="29"/>
      <c r="HX18" s="29"/>
      <c r="HY18" s="29"/>
      <c r="HZ18" s="29"/>
      <c r="IA18" s="29"/>
      <c r="IB18" s="29"/>
      <c r="IC18" s="29"/>
      <c r="ID18" s="29"/>
      <c r="IE18" s="29"/>
      <c r="IF18" s="29"/>
      <c r="IG18" s="29"/>
      <c r="IH18" s="29"/>
      <c r="II18" s="29"/>
      <c r="IJ18" s="29"/>
      <c r="IK18" s="29"/>
      <c r="IL18" s="29"/>
      <c r="IM18" s="29"/>
      <c r="IN18" s="29"/>
      <c r="IO18" s="29"/>
      <c r="IP18" s="29"/>
      <c r="IQ18" s="29"/>
      <c r="IR18" s="29"/>
      <c r="IS18" s="29"/>
      <c r="IT18" s="29"/>
      <c r="IU18" s="29"/>
      <c r="IV18" s="29"/>
      <c r="IW18" s="29"/>
      <c r="IX18" s="29"/>
      <c r="IY18" s="29"/>
      <c r="IZ18" s="29"/>
      <c r="JA18" s="29"/>
      <c r="JB18" s="29"/>
      <c r="JC18" s="29"/>
      <c r="JD18" s="29"/>
      <c r="JE18" s="29"/>
      <c r="JF18" s="29"/>
      <c r="JG18" s="29"/>
      <c r="JH18" s="29"/>
      <c r="JI18" s="29"/>
      <c r="JJ18" s="29"/>
      <c r="JK18" s="29"/>
      <c r="JL18" s="29"/>
      <c r="JM18" s="29"/>
      <c r="JN18" s="29"/>
      <c r="JO18" s="29"/>
      <c r="JP18" s="29"/>
      <c r="JQ18" s="29"/>
      <c r="JR18" s="29"/>
    </row>
    <row r="19" spans="1:278" ht="16.8" thickBot="1">
      <c r="A19" s="102"/>
      <c r="B19" s="103"/>
      <c r="C19" s="104"/>
      <c r="D19" s="171"/>
      <c r="E19" s="172"/>
      <c r="F19" s="173"/>
      <c r="G19" s="174"/>
      <c r="H19" s="105"/>
      <c r="I19" s="105"/>
      <c r="J19" s="175"/>
      <c r="K19" s="175"/>
      <c r="L19" s="176"/>
      <c r="M19" s="177"/>
      <c r="N19" s="106"/>
      <c r="O19" s="107"/>
      <c r="P19" s="108"/>
      <c r="Q19" s="109"/>
      <c r="R19" s="110"/>
      <c r="S19" s="178"/>
      <c r="T19" s="111"/>
      <c r="U19" s="112"/>
      <c r="V19" s="113"/>
      <c r="W19" s="112"/>
      <c r="X19" s="113"/>
      <c r="Y19" s="112"/>
      <c r="Z19" s="113"/>
      <c r="AA19" s="112"/>
      <c r="AB19" s="113"/>
      <c r="AC19" s="112"/>
      <c r="AD19" s="113"/>
      <c r="AE19" s="112"/>
      <c r="AF19" s="114"/>
      <c r="AG19" s="112"/>
      <c r="AH19" s="114"/>
      <c r="AI19" s="112"/>
      <c r="AJ19" s="114"/>
      <c r="AK19" s="112"/>
      <c r="AL19" s="114"/>
      <c r="AM19" s="112"/>
      <c r="AN19" s="114"/>
      <c r="AO19" s="112"/>
      <c r="AP19" s="148"/>
      <c r="AQ19" s="149"/>
      <c r="AR19" s="114"/>
      <c r="AS19" s="150"/>
      <c r="AT19" s="114"/>
      <c r="AU19" s="114"/>
      <c r="AV19" s="114"/>
      <c r="AW19" s="114"/>
      <c r="AX19" s="114"/>
      <c r="AY19" s="114"/>
      <c r="AZ19" s="114"/>
      <c r="BA19" s="114"/>
      <c r="BB19" s="114"/>
      <c r="BC19" s="114"/>
      <c r="BD19" s="114"/>
      <c r="BE19" s="114"/>
      <c r="BF19" s="114"/>
      <c r="BG19" s="114"/>
      <c r="BH19" s="114"/>
      <c r="BI19" s="114"/>
      <c r="BJ19" s="114"/>
      <c r="BK19" s="114"/>
      <c r="BL19" s="114"/>
      <c r="BM19" s="114"/>
      <c r="BN19" s="148"/>
      <c r="BO19" s="149"/>
      <c r="BP19" s="114"/>
      <c r="BQ19" s="114"/>
      <c r="BR19" s="114"/>
      <c r="BS19" s="114"/>
      <c r="BT19" s="114"/>
      <c r="BU19" s="114"/>
      <c r="BV19" s="114"/>
      <c r="BW19" s="114"/>
      <c r="BX19" s="114"/>
      <c r="BY19" s="114"/>
      <c r="BZ19" s="114"/>
      <c r="CA19" s="114"/>
      <c r="CB19" s="114"/>
      <c r="CC19" s="114"/>
      <c r="CD19" s="114"/>
      <c r="CE19" s="114"/>
      <c r="CF19" s="114"/>
      <c r="CG19" s="114"/>
      <c r="CH19" s="114"/>
      <c r="CI19" s="114"/>
      <c r="CJ19" s="114"/>
      <c r="CK19" s="114"/>
      <c r="CL19" s="151"/>
      <c r="CM19" s="115"/>
      <c r="CN19" s="152"/>
      <c r="CO19" s="179"/>
      <c r="CP19" s="180"/>
      <c r="CQ19" s="153"/>
      <c r="CR19" s="154"/>
      <c r="CS19" s="153"/>
      <c r="CT19" s="155"/>
      <c r="CU19" s="116"/>
      <c r="CV19" s="116"/>
      <c r="CW19" s="116"/>
      <c r="CX19" s="116"/>
      <c r="CY19" s="117"/>
      <c r="CZ19" s="118"/>
      <c r="DA19" s="119"/>
      <c r="DB19" s="120"/>
      <c r="DC19" s="116"/>
      <c r="DD19" s="120"/>
      <c r="DE19" s="116"/>
      <c r="DF19" s="120"/>
      <c r="DG19" s="116"/>
      <c r="DH19" s="121"/>
      <c r="DI19" s="122"/>
      <c r="DJ19" s="123"/>
      <c r="DK19" s="123"/>
      <c r="DL19" s="123"/>
      <c r="DM19" s="123"/>
      <c r="DN19" s="123"/>
      <c r="DO19" s="123"/>
      <c r="DP19" s="123"/>
      <c r="DQ19" s="124"/>
      <c r="DR19" s="122"/>
      <c r="DS19" s="123"/>
      <c r="DT19" s="123"/>
      <c r="DU19" s="123"/>
      <c r="DV19" s="123"/>
      <c r="DW19" s="123"/>
      <c r="DX19" s="123"/>
      <c r="DY19" s="123"/>
      <c r="DZ19" s="125"/>
      <c r="EA19" s="126"/>
      <c r="EB19" s="181"/>
      <c r="EC19" s="127"/>
      <c r="ED19" s="181"/>
      <c r="EE19" s="182"/>
      <c r="EF19" s="156"/>
      <c r="EG19" s="156"/>
      <c r="EH19" s="156"/>
      <c r="EI19" s="156"/>
      <c r="EJ19" s="128"/>
      <c r="EK19" s="128"/>
      <c r="EL19" s="128"/>
      <c r="EM19" s="128"/>
      <c r="EN19" s="157"/>
      <c r="EO19" s="158"/>
      <c r="EP19" s="156"/>
      <c r="EQ19" s="156"/>
      <c r="ER19" s="156"/>
      <c r="ES19" s="128"/>
      <c r="ET19" s="156"/>
      <c r="EU19" s="156"/>
      <c r="EV19" s="128"/>
      <c r="EW19" s="159"/>
      <c r="EX19" s="131"/>
      <c r="EY19" s="131"/>
      <c r="EZ19" s="131"/>
      <c r="FA19" s="131"/>
      <c r="FB19" s="160"/>
      <c r="FC19" s="130"/>
      <c r="FD19" s="129"/>
      <c r="FE19" s="132"/>
      <c r="FF19" s="131"/>
      <c r="FG19" s="132"/>
      <c r="FH19" s="131"/>
      <c r="FI19" s="132"/>
      <c r="FJ19" s="131"/>
      <c r="FK19" s="132"/>
      <c r="FL19" s="131"/>
      <c r="FM19" s="132"/>
      <c r="FN19" s="133"/>
      <c r="FO19" s="132"/>
      <c r="FP19" s="133"/>
      <c r="FQ19" s="132"/>
      <c r="FR19" s="133"/>
      <c r="FS19" s="132"/>
      <c r="FT19" s="133"/>
      <c r="FU19" s="132"/>
      <c r="FV19" s="133"/>
      <c r="FW19" s="132"/>
      <c r="FX19" s="133"/>
      <c r="FY19" s="132"/>
      <c r="FZ19" s="134"/>
      <c r="HW19" s="29"/>
      <c r="HX19" s="29"/>
      <c r="HY19" s="29"/>
      <c r="HZ19" s="29"/>
      <c r="IA19" s="29"/>
      <c r="IB19" s="29"/>
      <c r="IC19" s="29"/>
      <c r="ID19" s="29"/>
      <c r="IE19" s="29"/>
      <c r="IF19" s="29"/>
      <c r="IG19" s="29"/>
      <c r="IH19" s="29"/>
      <c r="II19" s="29"/>
      <c r="IJ19" s="29"/>
      <c r="IK19" s="29"/>
      <c r="IL19" s="29"/>
      <c r="IM19" s="29"/>
      <c r="IN19" s="29"/>
      <c r="IO19" s="29"/>
      <c r="IP19" s="29"/>
      <c r="IQ19" s="29"/>
      <c r="IR19" s="29"/>
      <c r="IS19" s="29"/>
      <c r="IT19" s="29"/>
      <c r="IU19" s="29"/>
      <c r="IV19" s="29"/>
      <c r="IW19" s="29"/>
      <c r="IX19" s="29"/>
      <c r="IY19" s="29"/>
      <c r="IZ19" s="29"/>
      <c r="JA19" s="29"/>
      <c r="JB19" s="29"/>
      <c r="JC19" s="29"/>
      <c r="JD19" s="29"/>
      <c r="JE19" s="29"/>
      <c r="JF19" s="29"/>
      <c r="JG19" s="29"/>
      <c r="JH19" s="29"/>
      <c r="JI19" s="29"/>
      <c r="JJ19" s="29"/>
      <c r="JK19" s="29"/>
      <c r="JL19" s="29"/>
      <c r="JM19" s="29"/>
      <c r="JN19" s="29"/>
      <c r="JO19" s="29"/>
      <c r="JP19" s="29"/>
      <c r="JQ19" s="29"/>
    </row>
    <row r="20" spans="1:278" ht="16.8" thickTop="1">
      <c r="HW20" s="29"/>
      <c r="HX20" s="29"/>
      <c r="HY20" s="29"/>
      <c r="HZ20" s="29"/>
      <c r="IA20" s="29"/>
      <c r="IB20" s="29"/>
      <c r="IC20" s="29"/>
      <c r="ID20" s="29"/>
      <c r="IE20" s="29"/>
      <c r="IF20" s="29"/>
      <c r="IG20" s="29"/>
      <c r="IH20" s="29"/>
      <c r="IT20" s="29"/>
      <c r="IU20" s="29"/>
      <c r="IV20" s="29"/>
      <c r="IW20" s="29"/>
      <c r="IX20" s="29"/>
      <c r="IY20" s="29"/>
      <c r="IZ20" s="29"/>
      <c r="JA20" s="29"/>
      <c r="JB20" s="29"/>
      <c r="JC20" s="29"/>
      <c r="JD20" s="29"/>
      <c r="JE20" s="29"/>
      <c r="JF20" s="29"/>
      <c r="JG20" s="29"/>
      <c r="JH20" s="29"/>
      <c r="JI20" s="29"/>
      <c r="JJ20" s="29"/>
      <c r="JK20" s="29"/>
      <c r="JL20" s="29"/>
      <c r="JM20" s="29"/>
      <c r="JN20" s="29"/>
      <c r="JO20" s="29"/>
      <c r="JP20" s="29"/>
      <c r="JQ20" s="29"/>
    </row>
    <row r="21" spans="1:278">
      <c r="HW21" s="29"/>
      <c r="HX21" s="29"/>
      <c r="HY21" s="29"/>
      <c r="HZ21" s="29"/>
      <c r="IA21" s="29"/>
      <c r="IB21" s="29"/>
      <c r="IC21" s="29"/>
      <c r="ID21" s="29"/>
      <c r="IE21" s="29"/>
      <c r="IF21" s="29"/>
      <c r="IG21" s="29"/>
      <c r="IH21" s="29"/>
      <c r="IT21" s="29"/>
      <c r="IU21" s="29"/>
      <c r="IV21" s="29"/>
      <c r="IW21" s="29"/>
      <c r="IX21" s="29"/>
      <c r="IY21" s="29"/>
      <c r="IZ21" s="29"/>
      <c r="JA21" s="29"/>
      <c r="JB21" s="29"/>
      <c r="JC21" s="29"/>
      <c r="JD21" s="29"/>
      <c r="JE21" s="29"/>
      <c r="JF21" s="29"/>
      <c r="JG21" s="29"/>
      <c r="JH21" s="29"/>
      <c r="JI21" s="29"/>
      <c r="JJ21" s="29"/>
      <c r="JK21" s="29"/>
      <c r="JL21" s="29"/>
      <c r="JM21" s="29"/>
      <c r="JN21" s="29"/>
      <c r="JO21" s="29"/>
      <c r="JP21" s="29"/>
      <c r="JQ21" s="29"/>
    </row>
    <row r="22" spans="1:278">
      <c r="HW22" s="29"/>
      <c r="HX22" s="29"/>
      <c r="HY22" s="29"/>
      <c r="HZ22" s="29"/>
      <c r="IA22" s="29"/>
      <c r="IB22" s="29"/>
      <c r="IC22" s="29"/>
      <c r="ID22" s="29"/>
      <c r="IE22" s="29"/>
      <c r="IF22" s="29"/>
      <c r="IG22" s="29"/>
      <c r="IH22" s="29"/>
      <c r="IT22" s="29"/>
      <c r="IU22" s="29"/>
      <c r="IV22" s="29"/>
      <c r="IW22" s="29"/>
      <c r="IX22" s="29"/>
      <c r="IY22" s="29"/>
      <c r="IZ22" s="29"/>
      <c r="JA22" s="29"/>
      <c r="JB22" s="29"/>
      <c r="JC22" s="29"/>
      <c r="JD22" s="29"/>
      <c r="JE22" s="29"/>
      <c r="JR22" s="29"/>
    </row>
    <row r="23" spans="1:278">
      <c r="HW23" s="29"/>
      <c r="HX23" s="29"/>
      <c r="HY23" s="29"/>
      <c r="HZ23" s="29"/>
      <c r="IA23" s="29"/>
      <c r="IB23" s="29"/>
      <c r="IC23" s="29"/>
      <c r="ID23" s="29"/>
      <c r="IE23" s="29"/>
      <c r="IF23" s="29"/>
      <c r="IG23" s="29"/>
      <c r="IH23" s="29"/>
      <c r="II23" s="29"/>
      <c r="IJ23" s="29"/>
      <c r="IK23" s="29"/>
      <c r="IL23" s="29"/>
      <c r="IM23" s="29"/>
      <c r="IN23" s="29"/>
      <c r="IO23" s="29"/>
      <c r="IP23" s="29"/>
      <c r="IQ23" s="29"/>
      <c r="IR23" s="29"/>
      <c r="IS23" s="29"/>
      <c r="IT23" s="29"/>
      <c r="IU23" s="29"/>
      <c r="IV23" s="29"/>
      <c r="IW23" s="29"/>
      <c r="IX23" s="29"/>
      <c r="IY23" s="29"/>
      <c r="IZ23" s="29"/>
      <c r="JA23" s="29"/>
      <c r="JB23" s="29"/>
      <c r="JC23" s="29"/>
      <c r="JD23" s="29"/>
      <c r="JE23" s="29"/>
      <c r="JR23" s="29"/>
    </row>
    <row r="24" spans="1:278">
      <c r="HW24" s="29"/>
      <c r="HX24" s="29"/>
      <c r="HY24" s="29"/>
      <c r="HZ24" s="29"/>
      <c r="IA24" s="29"/>
      <c r="IB24" s="29"/>
      <c r="IC24" s="29"/>
      <c r="ID24" s="29"/>
      <c r="IE24" s="29"/>
      <c r="IF24" s="29"/>
      <c r="IG24" s="29"/>
      <c r="IH24" s="29"/>
      <c r="II24" s="29"/>
      <c r="IJ24" s="29"/>
      <c r="IK24" s="29"/>
      <c r="IL24" s="29"/>
      <c r="IM24" s="29"/>
      <c r="IN24" s="29"/>
      <c r="IO24" s="29"/>
      <c r="IP24" s="29"/>
      <c r="IQ24" s="29"/>
      <c r="IR24" s="29"/>
      <c r="IS24" s="29"/>
      <c r="IT24" s="29"/>
      <c r="IU24" s="29"/>
      <c r="IV24" s="29"/>
      <c r="IW24" s="29"/>
      <c r="IX24" s="29"/>
      <c r="IY24" s="29"/>
      <c r="IZ24" s="29"/>
      <c r="JA24" s="29"/>
      <c r="JB24" s="29"/>
      <c r="JC24" s="29"/>
      <c r="JD24" s="29"/>
      <c r="JE24" s="29"/>
      <c r="JR24" s="29"/>
    </row>
    <row r="25" spans="1:278">
      <c r="II25" s="29"/>
      <c r="IJ25" s="29"/>
      <c r="IK25" s="29"/>
      <c r="IL25" s="29"/>
      <c r="IM25" s="29"/>
      <c r="IN25" s="29"/>
      <c r="IO25" s="29"/>
      <c r="IP25" s="29"/>
      <c r="IQ25" s="29"/>
      <c r="IR25" s="29"/>
      <c r="IS25" s="29"/>
      <c r="IT25" s="29"/>
      <c r="IU25" s="29"/>
      <c r="IV25" s="29"/>
      <c r="IW25" s="29"/>
      <c r="IX25" s="29"/>
      <c r="IY25" s="29"/>
      <c r="IZ25" s="29"/>
      <c r="JA25" s="29"/>
      <c r="JB25" s="29"/>
      <c r="JC25" s="29"/>
      <c r="JD25" s="29"/>
      <c r="JE25" s="29"/>
      <c r="JF25" s="29"/>
      <c r="JG25" s="29"/>
      <c r="JH25" s="29"/>
      <c r="JI25" s="29"/>
      <c r="JJ25" s="29"/>
      <c r="JK25" s="29"/>
      <c r="JL25" s="29"/>
      <c r="JM25" s="29"/>
      <c r="JN25" s="29"/>
      <c r="JO25" s="29"/>
      <c r="JP25" s="29"/>
      <c r="JQ25" s="29"/>
      <c r="JR25" s="29"/>
    </row>
    <row r="26" spans="1:278">
      <c r="II26" s="29"/>
      <c r="IJ26" s="29"/>
      <c r="IK26" s="29"/>
      <c r="IL26" s="29"/>
      <c r="IM26" s="29"/>
      <c r="IN26" s="29"/>
      <c r="IO26" s="29"/>
      <c r="IP26" s="29"/>
      <c r="IQ26" s="29"/>
      <c r="IR26" s="29"/>
      <c r="IS26" s="29"/>
      <c r="JF26" s="29"/>
      <c r="JG26" s="29"/>
      <c r="JH26" s="29"/>
      <c r="JI26" s="29"/>
      <c r="JJ26" s="29"/>
      <c r="JK26" s="29"/>
      <c r="JL26" s="29"/>
      <c r="JM26" s="29"/>
      <c r="JN26" s="29"/>
      <c r="JO26" s="29"/>
      <c r="JP26" s="29"/>
      <c r="JQ26" s="29"/>
    </row>
    <row r="27" spans="1:278">
      <c r="JF27" s="29"/>
      <c r="JG27" s="29"/>
      <c r="JH27" s="29"/>
      <c r="JI27" s="29"/>
      <c r="JJ27" s="29"/>
      <c r="JK27" s="29"/>
      <c r="JL27" s="29"/>
      <c r="JM27" s="29"/>
      <c r="JN27" s="29"/>
      <c r="JO27" s="29"/>
      <c r="JP27" s="29"/>
      <c r="JQ27" s="29"/>
    </row>
    <row r="28" spans="1:278">
      <c r="HW28" s="29"/>
      <c r="HX28" s="29"/>
      <c r="HY28" s="29"/>
      <c r="HZ28" s="29"/>
      <c r="IA28" s="29"/>
      <c r="IB28" s="29"/>
      <c r="IC28" s="29"/>
      <c r="ID28" s="29"/>
      <c r="IE28" s="29"/>
      <c r="IF28" s="29"/>
      <c r="IG28" s="29"/>
      <c r="IH28" s="29"/>
      <c r="JF28" s="29"/>
      <c r="JG28" s="29"/>
      <c r="JH28" s="29"/>
      <c r="JI28" s="29"/>
      <c r="JJ28" s="29"/>
      <c r="JK28" s="29"/>
      <c r="JL28" s="29"/>
      <c r="JM28" s="29"/>
      <c r="JN28" s="29"/>
      <c r="JO28" s="29"/>
      <c r="JP28" s="29"/>
      <c r="JQ28" s="29"/>
    </row>
    <row r="29" spans="1:278">
      <c r="HW29" s="29"/>
      <c r="HX29" s="29"/>
      <c r="HY29" s="29"/>
      <c r="HZ29" s="29"/>
      <c r="IA29" s="29"/>
      <c r="IB29" s="29"/>
      <c r="IC29" s="29"/>
      <c r="ID29" s="29"/>
      <c r="IE29" s="29"/>
      <c r="IF29" s="29"/>
      <c r="IG29" s="29"/>
      <c r="IH29" s="29"/>
      <c r="IT29" s="29"/>
      <c r="IU29" s="29"/>
      <c r="IV29" s="29"/>
      <c r="IW29" s="29"/>
      <c r="IX29" s="29"/>
      <c r="IY29" s="29"/>
      <c r="IZ29" s="29"/>
      <c r="JA29" s="29"/>
      <c r="JB29" s="29"/>
      <c r="JC29" s="29"/>
      <c r="JD29" s="29"/>
      <c r="JE29" s="29"/>
    </row>
    <row r="30" spans="1:278">
      <c r="HW30" s="29"/>
      <c r="HX30" s="29"/>
      <c r="HY30" s="29"/>
      <c r="HZ30" s="29"/>
      <c r="IA30" s="29"/>
      <c r="IB30" s="29"/>
      <c r="IC30" s="29"/>
      <c r="ID30" s="29"/>
      <c r="IE30" s="29"/>
      <c r="IF30" s="29"/>
      <c r="IG30" s="29"/>
      <c r="IH30" s="29"/>
      <c r="IT30" s="29"/>
      <c r="IU30" s="29"/>
      <c r="IV30" s="29"/>
      <c r="IW30" s="29"/>
      <c r="IX30" s="29"/>
      <c r="IY30" s="29"/>
      <c r="IZ30" s="29"/>
      <c r="JA30" s="29"/>
      <c r="JB30" s="29"/>
      <c r="JC30" s="29"/>
      <c r="JD30" s="29"/>
      <c r="JE30" s="29"/>
    </row>
    <row r="31" spans="1:278">
      <c r="HW31" s="29"/>
      <c r="HX31" s="29"/>
      <c r="HY31" s="29"/>
      <c r="HZ31" s="29"/>
      <c r="IA31" s="29"/>
      <c r="IB31" s="29"/>
      <c r="IC31" s="29"/>
      <c r="ID31" s="29"/>
      <c r="IE31" s="29"/>
      <c r="IF31" s="29"/>
      <c r="IG31" s="29"/>
      <c r="IH31" s="29"/>
      <c r="IT31" s="29"/>
      <c r="IU31" s="29"/>
      <c r="IV31" s="29"/>
      <c r="IW31" s="29"/>
      <c r="IX31" s="29"/>
      <c r="IY31" s="29"/>
      <c r="IZ31" s="29"/>
      <c r="JA31" s="29"/>
      <c r="JB31" s="29"/>
      <c r="JC31" s="29"/>
      <c r="JD31" s="29"/>
      <c r="JE31" s="29"/>
    </row>
    <row r="32" spans="1:278">
      <c r="IT32" s="29"/>
      <c r="IU32" s="29"/>
      <c r="IV32" s="29"/>
      <c r="IW32" s="29"/>
      <c r="IX32" s="29"/>
      <c r="IY32" s="29"/>
      <c r="IZ32" s="29"/>
      <c r="JA32" s="29"/>
      <c r="JB32" s="29"/>
      <c r="JC32" s="29"/>
      <c r="JD32" s="29"/>
      <c r="JE32" s="29"/>
    </row>
  </sheetData>
  <mergeCells count="162">
    <mergeCell ref="C1:C4"/>
    <mergeCell ref="D1:F1"/>
    <mergeCell ref="E2:E4"/>
    <mergeCell ref="F2:F4"/>
    <mergeCell ref="EA1:HV1"/>
    <mergeCell ref="GY2:HV2"/>
    <mergeCell ref="GY3:GZ3"/>
    <mergeCell ref="HA3:HB3"/>
    <mergeCell ref="HC3:HD3"/>
    <mergeCell ref="HE3:HF3"/>
    <mergeCell ref="HG3:HH3"/>
    <mergeCell ref="HI3:HJ3"/>
    <mergeCell ref="HK3:HL3"/>
    <mergeCell ref="HM3:HN3"/>
    <mergeCell ref="HO3:HP3"/>
    <mergeCell ref="HQ3:HR3"/>
    <mergeCell ref="HS3:HT3"/>
    <mergeCell ref="HU3:HV3"/>
    <mergeCell ref="EY2:EZ2"/>
    <mergeCell ref="EY3:EY4"/>
    <mergeCell ref="GA2:GX2"/>
    <mergeCell ref="GA3:GB3"/>
    <mergeCell ref="GC3:GD3"/>
    <mergeCell ref="GE3:GF3"/>
    <mergeCell ref="GG3:GH3"/>
    <mergeCell ref="GI3:GJ3"/>
    <mergeCell ref="GK3:GL3"/>
    <mergeCell ref="GM3:GN3"/>
    <mergeCell ref="GO3:GP3"/>
    <mergeCell ref="GQ3:GR3"/>
    <mergeCell ref="GS3:GT3"/>
    <mergeCell ref="GU3:GV3"/>
    <mergeCell ref="GW3:GX3"/>
    <mergeCell ref="DR3:DS3"/>
    <mergeCell ref="DT3:DU3"/>
    <mergeCell ref="DV3:DW3"/>
    <mergeCell ref="DX3:DY3"/>
    <mergeCell ref="DZ3:DZ4"/>
    <mergeCell ref="ES3:ES4"/>
    <mergeCell ref="EL3:EN3"/>
    <mergeCell ref="FA2:FB2"/>
    <mergeCell ref="FA3:FA4"/>
    <mergeCell ref="FB3:FB4"/>
    <mergeCell ref="EW2:EX2"/>
    <mergeCell ref="EW3:EW4"/>
    <mergeCell ref="EX3:EX4"/>
    <mergeCell ref="EZ3:EZ4"/>
    <mergeCell ref="EA2:EE2"/>
    <mergeCell ref="EA3:EA4"/>
    <mergeCell ref="EB3:EB4"/>
    <mergeCell ref="ET3:EV3"/>
    <mergeCell ref="ET2:EV2"/>
    <mergeCell ref="EC3:EC4"/>
    <mergeCell ref="ED3:ED4"/>
    <mergeCell ref="EE3:EE4"/>
    <mergeCell ref="EO2:ES2"/>
    <mergeCell ref="EO3:EO4"/>
    <mergeCell ref="FC2:FZ2"/>
    <mergeCell ref="FW3:FX3"/>
    <mergeCell ref="FY3:FZ3"/>
    <mergeCell ref="FE3:FF3"/>
    <mergeCell ref="FG3:FH3"/>
    <mergeCell ref="FI3:FJ3"/>
    <mergeCell ref="FK3:FL3"/>
    <mergeCell ref="FM3:FN3"/>
    <mergeCell ref="FQ3:FR3"/>
    <mergeCell ref="FS3:FT3"/>
    <mergeCell ref="FU3:FV3"/>
    <mergeCell ref="FO3:FP3"/>
    <mergeCell ref="FC3:FD3"/>
    <mergeCell ref="G1:P1"/>
    <mergeCell ref="CV2:CW2"/>
    <mergeCell ref="CV3:CV4"/>
    <mergeCell ref="CW3:CW4"/>
    <mergeCell ref="CX2:CY2"/>
    <mergeCell ref="CX3:CX4"/>
    <mergeCell ref="CY3:CY4"/>
    <mergeCell ref="CZ3:DA3"/>
    <mergeCell ref="CN2:CQ2"/>
    <mergeCell ref="CT2:CU2"/>
    <mergeCell ref="CP3:CP4"/>
    <mergeCell ref="CR2:CR4"/>
    <mergeCell ref="CS2:CS4"/>
    <mergeCell ref="AG3:AH3"/>
    <mergeCell ref="AI3:AJ3"/>
    <mergeCell ref="AK3:AL3"/>
    <mergeCell ref="AM3:AN3"/>
    <mergeCell ref="AO3:AP3"/>
    <mergeCell ref="BM3:BN3"/>
    <mergeCell ref="BO2:CL2"/>
    <mergeCell ref="BO3:BP3"/>
    <mergeCell ref="BQ3:BR3"/>
    <mergeCell ref="BC3:BD3"/>
    <mergeCell ref="J2:J4"/>
    <mergeCell ref="DQ3:DQ4"/>
    <mergeCell ref="CM2:CM4"/>
    <mergeCell ref="CO3:CO4"/>
    <mergeCell ref="DB3:DC3"/>
    <mergeCell ref="DD3:DE3"/>
    <mergeCell ref="DF3:DG3"/>
    <mergeCell ref="DH3:DH4"/>
    <mergeCell ref="DI3:DJ3"/>
    <mergeCell ref="DK3:DL3"/>
    <mergeCell ref="DM3:DN3"/>
    <mergeCell ref="DO3:DP3"/>
    <mergeCell ref="AU3:AV3"/>
    <mergeCell ref="AW3:AX3"/>
    <mergeCell ref="CE3:CF3"/>
    <mergeCell ref="CG3:CH3"/>
    <mergeCell ref="CI3:CJ3"/>
    <mergeCell ref="CK3:CL3"/>
    <mergeCell ref="CQ3:CQ4"/>
    <mergeCell ref="CT3:CT4"/>
    <mergeCell ref="CC3:CD3"/>
    <mergeCell ref="K2:K4"/>
    <mergeCell ref="EP3:EP4"/>
    <mergeCell ref="EQ3:EQ4"/>
    <mergeCell ref="ER3:ER4"/>
    <mergeCell ref="EF2:EN2"/>
    <mergeCell ref="EF3:EH3"/>
    <mergeCell ref="EI3:EK3"/>
    <mergeCell ref="M2:M4"/>
    <mergeCell ref="R3:R4"/>
    <mergeCell ref="S3:T3"/>
    <mergeCell ref="U3:V3"/>
    <mergeCell ref="W3:X3"/>
    <mergeCell ref="BS3:BT3"/>
    <mergeCell ref="BU3:BV3"/>
    <mergeCell ref="BW3:BX3"/>
    <mergeCell ref="BY3:BZ3"/>
    <mergeCell ref="AQ2:BN2"/>
    <mergeCell ref="AQ3:AR3"/>
    <mergeCell ref="BE3:BF3"/>
    <mergeCell ref="BG3:BH3"/>
    <mergeCell ref="BI3:BJ3"/>
    <mergeCell ref="BK3:BL3"/>
    <mergeCell ref="AS3:AT3"/>
    <mergeCell ref="CU3:CU4"/>
    <mergeCell ref="Q1:CL1"/>
    <mergeCell ref="AY3:AZ3"/>
    <mergeCell ref="BA3:BB3"/>
    <mergeCell ref="A1:A4"/>
    <mergeCell ref="B1:B4"/>
    <mergeCell ref="CM1:DZ1"/>
    <mergeCell ref="D2:D4"/>
    <mergeCell ref="N2:N4"/>
    <mergeCell ref="O2:O4"/>
    <mergeCell ref="P2:P4"/>
    <mergeCell ref="CZ2:DZ2"/>
    <mergeCell ref="Y3:Z3"/>
    <mergeCell ref="AA3:AB3"/>
    <mergeCell ref="AC3:AD3"/>
    <mergeCell ref="AE3:AF3"/>
    <mergeCell ref="Q2:R2"/>
    <mergeCell ref="S2:AP2"/>
    <mergeCell ref="Q3:Q4"/>
    <mergeCell ref="CN3:CN4"/>
    <mergeCell ref="G2:G4"/>
    <mergeCell ref="H2:H4"/>
    <mergeCell ref="L2:L4"/>
    <mergeCell ref="CA3:CB3"/>
    <mergeCell ref="I2:I4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L33"/>
  <sheetViews>
    <sheetView zoomScaleNormal="100" workbookViewId="0">
      <pane xSplit="4" ySplit="4" topLeftCell="AH5" activePane="bottomRight" state="frozen"/>
      <selection activeCell="BK26" sqref="BK26"/>
      <selection pane="topRight" activeCell="BK26" sqref="BK26"/>
      <selection pane="bottomLeft" activeCell="BK26" sqref="BK26"/>
      <selection pane="bottomRight" activeCell="AI14" sqref="AI14"/>
    </sheetView>
  </sheetViews>
  <sheetFormatPr defaultColWidth="8.88671875" defaultRowHeight="16.2" zeroHeight="1" outlineLevelCol="1"/>
  <cols>
    <col min="1" max="1" width="3.44140625" style="255" customWidth="1"/>
    <col min="2" max="2" width="11.44140625" style="196" hidden="1" customWidth="1"/>
    <col min="3" max="3" width="11.44140625" style="49" hidden="1" customWidth="1"/>
    <col min="4" max="4" width="22.6640625" style="50" bestFit="1" customWidth="1"/>
    <col min="5" max="5" width="17.109375" style="50" customWidth="1"/>
    <col min="6" max="6" width="17.109375" style="51" customWidth="1"/>
    <col min="7" max="7" width="42.21875" style="274" bestFit="1" customWidth="1"/>
    <col min="8" max="9" width="13.6640625" style="53" customWidth="1"/>
    <col min="10" max="10" width="46.44140625" style="53" customWidth="1"/>
    <col min="11" max="11" width="11.44140625" style="53" customWidth="1"/>
    <col min="12" max="12" width="13.6640625" style="53" customWidth="1"/>
    <col min="13" max="13" width="14.33203125" style="52" customWidth="1"/>
    <col min="14" max="14" width="13.88671875" style="71" customWidth="1"/>
    <col min="15" max="15" width="15.109375" style="71" customWidth="1"/>
    <col min="16" max="16" width="14.44140625" style="275" customWidth="1"/>
    <col min="17" max="17" width="15" style="275" customWidth="1"/>
    <col min="18" max="18" width="12" style="72" customWidth="1"/>
    <col min="19" max="19" width="11.88671875" style="170" bestFit="1" customWidth="1"/>
    <col min="20" max="20" width="11.88671875" style="56" customWidth="1"/>
    <col min="21" max="21" width="10.88671875" style="198" bestFit="1" customWidth="1"/>
    <col min="22" max="22" width="13" style="163" customWidth="1"/>
    <col min="23" max="23" width="11.44140625" style="199" hidden="1" customWidth="1" outlineLevel="1"/>
    <col min="24" max="24" width="11.44140625" style="56" hidden="1" customWidth="1" outlineLevel="1"/>
    <col min="25" max="26" width="11.44140625" style="57" hidden="1" customWidth="1" outlineLevel="1"/>
    <col min="27" max="27" width="12.21875" style="200" bestFit="1" customWidth="1" collapsed="1"/>
    <col min="28" max="28" width="12" style="58" customWidth="1"/>
    <col min="29" max="29" width="10" style="59" customWidth="1"/>
    <col min="30" max="30" width="14.44140625" style="58" customWidth="1"/>
    <col min="31" max="31" width="10.44140625" style="59" customWidth="1"/>
    <col min="32" max="32" width="12.109375" style="58" customWidth="1"/>
    <col min="33" max="33" width="10.6640625" style="59" bestFit="1" customWidth="1"/>
    <col min="34" max="34" width="14.109375" style="58" customWidth="1"/>
    <col min="35" max="35" width="9.44140625" style="59" bestFit="1" customWidth="1"/>
    <col min="36" max="36" width="13.44140625" style="73" customWidth="1"/>
    <col min="37" max="37" width="9.44140625" style="59" bestFit="1" customWidth="1"/>
    <col min="38" max="38" width="12.44140625" style="73" customWidth="1"/>
    <col min="39" max="39" width="9.44140625" style="59" bestFit="1" customWidth="1"/>
    <col min="40" max="40" width="13.88671875" style="73" customWidth="1"/>
    <col min="41" max="41" width="9.44140625" style="59" bestFit="1" customWidth="1"/>
    <col min="42" max="42" width="13" style="73" customWidth="1"/>
    <col min="43" max="43" width="9.33203125" style="59" bestFit="1" customWidth="1"/>
    <col min="44" max="44" width="13.109375" style="73" customWidth="1"/>
    <col min="45" max="45" width="9.109375" style="59" bestFit="1" customWidth="1"/>
    <col min="46" max="46" width="13.44140625" style="73" customWidth="1"/>
    <col min="47" max="47" width="9.109375" style="59" bestFit="1" customWidth="1"/>
    <col min="48" max="48" width="13.109375" style="73" customWidth="1"/>
    <col min="49" max="49" width="9.109375" style="59" bestFit="1" customWidth="1"/>
    <col min="50" max="50" width="14" style="141" customWidth="1"/>
    <col min="51" max="51" width="10.6640625" style="201" hidden="1" customWidth="1" outlineLevel="1"/>
    <col min="52" max="52" width="10.6640625" style="141" hidden="1" customWidth="1" outlineLevel="1"/>
    <col min="53" max="72" width="10.6640625" style="73" hidden="1" customWidth="1" outlineLevel="1"/>
    <col min="73" max="74" width="10.6640625" style="141" hidden="1" customWidth="1" outlineLevel="1"/>
    <col min="75" max="75" width="10.6640625" style="202" hidden="1" customWidth="1" outlineLevel="1"/>
    <col min="76" max="96" width="10.6640625" style="73" hidden="1" customWidth="1" outlineLevel="1"/>
    <col min="97" max="97" width="10.6640625" style="141" hidden="1" customWidth="1" outlineLevel="1"/>
    <col min="98" max="98" width="10.6640625" style="203" hidden="1" customWidth="1" outlineLevel="1"/>
    <col min="99" max="99" width="10.88671875" style="74" customWidth="1" collapsed="1"/>
    <col min="100" max="100" width="12.6640625" style="75" customWidth="1"/>
    <col min="101" max="101" width="13" style="204" customWidth="1"/>
    <col min="102" max="102" width="17.88671875" style="166" customWidth="1"/>
    <col min="103" max="103" width="38.33203125" style="60" bestFit="1" customWidth="1"/>
    <col min="104" max="104" width="11.44140625" style="60" customWidth="1"/>
    <col min="105" max="105" width="12.109375" style="276" customWidth="1"/>
    <col min="106" max="106" width="10.44140625" style="224" customWidth="1"/>
    <col min="107" max="107" width="14.6640625" style="225" bestFit="1" customWidth="1"/>
    <col min="108" max="108" width="8.88671875" style="206" customWidth="1"/>
    <col min="109" max="109" width="14.6640625" style="207" bestFit="1" customWidth="1"/>
    <col min="110" max="110" width="9" style="206" customWidth="1"/>
    <col min="111" max="111" width="14.6640625" style="207" bestFit="1" customWidth="1"/>
    <col min="112" max="112" width="9" style="77" customWidth="1"/>
    <col min="113" max="113" width="14.6640625" style="208" bestFit="1" customWidth="1"/>
    <col min="114" max="114" width="9.88671875" style="228" customWidth="1"/>
    <col min="115" max="115" width="11.44140625" style="139" customWidth="1"/>
    <col min="116" max="116" width="14.44140625" style="76" customWidth="1"/>
    <col min="117" max="117" width="12.88671875" style="209" hidden="1" customWidth="1" outlineLevel="1"/>
    <col min="118" max="124" width="12.88671875" style="63" hidden="1" customWidth="1" outlineLevel="1"/>
    <col min="125" max="125" width="12.88671875" style="64" hidden="1" customWidth="1" outlineLevel="1"/>
    <col min="126" max="127" width="12.88671875" style="76" hidden="1" customWidth="1" outlineLevel="1"/>
    <col min="128" max="128" width="12.88671875" style="209" hidden="1" customWidth="1" outlineLevel="1"/>
    <col min="129" max="135" width="12.88671875" style="63" hidden="1" customWidth="1" outlineLevel="1"/>
    <col min="136" max="136" width="12.88671875" style="64" hidden="1" customWidth="1" outlineLevel="1"/>
    <col min="137" max="138" width="12.88671875" style="76" hidden="1" customWidth="1" outlineLevel="1"/>
    <col min="139" max="139" width="10.44140625" style="210" customWidth="1" collapsed="1"/>
    <col min="140" max="140" width="9.109375" style="167" customWidth="1"/>
    <col min="141" max="141" width="12.88671875" style="67" customWidth="1"/>
    <col min="142" max="142" width="13.44140625" style="67" customWidth="1"/>
    <col min="143" max="143" width="16.109375" style="79" customWidth="1"/>
    <col min="144" max="151" width="16.109375" style="78" customWidth="1"/>
    <col min="152" max="152" width="16.109375" style="80" customWidth="1"/>
    <col min="153" max="153" width="16.109375" style="81" customWidth="1"/>
    <col min="154" max="156" width="16.109375" style="78" customWidth="1"/>
    <col min="157" max="157" width="16.109375" style="79" customWidth="1"/>
    <col min="158" max="159" width="16.109375" style="78" customWidth="1"/>
    <col min="160" max="160" width="16.109375" style="80" customWidth="1"/>
    <col min="161" max="161" width="10.33203125" style="216" customWidth="1"/>
    <col min="162" max="162" width="11.88671875" style="69" customWidth="1"/>
    <col min="163" max="163" width="11.88671875" style="213" customWidth="1"/>
    <col min="164" max="164" width="11.88671875" style="214" customWidth="1"/>
    <col min="165" max="165" width="11.88671875" style="215" customWidth="1"/>
    <col min="166" max="166" width="11.88671875" style="212" customWidth="1"/>
    <col min="167" max="167" width="11.44140625" style="216" hidden="1" customWidth="1"/>
    <col min="168" max="168" width="11.88671875" style="217" hidden="1" customWidth="1"/>
    <col min="169" max="169" width="12" style="83" hidden="1" customWidth="1"/>
    <col min="170" max="170" width="11.88671875" style="219" hidden="1" customWidth="1"/>
    <col min="171" max="171" width="12.33203125" style="83" hidden="1" customWidth="1"/>
    <col min="172" max="172" width="12.33203125" style="219" hidden="1" customWidth="1"/>
    <col min="173" max="173" width="11.109375" style="218" hidden="1" customWidth="1"/>
    <col min="174" max="174" width="12.88671875" style="219" hidden="1" customWidth="1"/>
    <col min="175" max="175" width="12.109375" style="218" hidden="1" customWidth="1"/>
    <col min="176" max="176" width="12.109375" style="219" hidden="1" customWidth="1"/>
    <col min="177" max="177" width="11.88671875" style="218" hidden="1" customWidth="1"/>
    <col min="178" max="178" width="11.88671875" style="219" hidden="1" customWidth="1"/>
    <col min="179" max="179" width="12.109375" style="218" hidden="1" customWidth="1"/>
    <col min="180" max="180" width="12.109375" style="219" hidden="1" customWidth="1"/>
    <col min="181" max="181" width="11.88671875" style="218" hidden="1" customWidth="1"/>
    <col min="182" max="182" width="11.88671875" style="219" hidden="1" customWidth="1"/>
    <col min="183" max="183" width="12.88671875" style="218" hidden="1" customWidth="1"/>
    <col min="184" max="184" width="12.88671875" style="219" hidden="1" customWidth="1"/>
    <col min="185" max="185" width="11.44140625" style="218" hidden="1" customWidth="1"/>
    <col min="186" max="186" width="13.44140625" style="219" hidden="1" customWidth="1"/>
    <col min="187" max="187" width="11.44140625" style="218" hidden="1" customWidth="1"/>
    <col min="188" max="188" width="14" style="219" hidden="1" customWidth="1"/>
    <col min="189" max="189" width="11.88671875" style="218" hidden="1" customWidth="1"/>
    <col min="190" max="190" width="11.88671875" style="220" hidden="1" customWidth="1"/>
    <col min="191" max="191" width="11.88671875" style="229" hidden="1" customWidth="1"/>
    <col min="192" max="213" width="11.88671875" style="230" hidden="1" customWidth="1"/>
    <col min="214" max="214" width="11.88671875" style="231" hidden="1" customWidth="1"/>
    <col min="215" max="215" width="11.88671875" style="232" hidden="1" customWidth="1"/>
    <col min="216" max="237" width="11.88671875" style="230" hidden="1" customWidth="1"/>
    <col min="238" max="238" width="11.88671875" style="233" hidden="1" customWidth="1"/>
    <col min="239" max="16384" width="8.88671875" style="46"/>
  </cols>
  <sheetData>
    <row r="1" spans="1:324" s="29" customFormat="1" ht="20.399999999999999" thickTop="1">
      <c r="A1" s="707" t="s">
        <v>39</v>
      </c>
      <c r="B1" s="710" t="s">
        <v>40</v>
      </c>
      <c r="C1" s="691" t="s">
        <v>151</v>
      </c>
      <c r="D1" s="777" t="s">
        <v>5</v>
      </c>
      <c r="E1" s="777"/>
      <c r="F1" s="778"/>
      <c r="G1" s="713" t="s">
        <v>76</v>
      </c>
      <c r="H1" s="633"/>
      <c r="I1" s="633"/>
      <c r="J1" s="633"/>
      <c r="K1" s="633"/>
      <c r="L1" s="633"/>
      <c r="M1" s="633"/>
      <c r="N1" s="633"/>
      <c r="O1" s="633"/>
      <c r="P1" s="633"/>
      <c r="Q1" s="633"/>
      <c r="R1" s="634"/>
      <c r="S1" s="726" t="s">
        <v>40</v>
      </c>
      <c r="T1" s="727"/>
      <c r="U1" s="727"/>
      <c r="V1" s="727"/>
      <c r="W1" s="727"/>
      <c r="X1" s="727"/>
      <c r="Y1" s="727"/>
      <c r="Z1" s="727"/>
      <c r="AA1" s="727"/>
      <c r="AB1" s="727"/>
      <c r="AC1" s="727"/>
      <c r="AD1" s="727"/>
      <c r="AE1" s="727"/>
      <c r="AF1" s="727"/>
      <c r="AG1" s="727"/>
      <c r="AH1" s="727"/>
      <c r="AI1" s="727"/>
      <c r="AJ1" s="727"/>
      <c r="AK1" s="727"/>
      <c r="AL1" s="727"/>
      <c r="AM1" s="727"/>
      <c r="AN1" s="727"/>
      <c r="AO1" s="727"/>
      <c r="AP1" s="727"/>
      <c r="AQ1" s="727"/>
      <c r="AR1" s="727"/>
      <c r="AS1" s="727"/>
      <c r="AT1" s="727"/>
      <c r="AU1" s="727"/>
      <c r="AV1" s="727"/>
      <c r="AW1" s="727"/>
      <c r="AX1" s="727"/>
      <c r="AY1" s="727"/>
      <c r="AZ1" s="727"/>
      <c r="BA1" s="727"/>
      <c r="BB1" s="727"/>
      <c r="BC1" s="727"/>
      <c r="BD1" s="727"/>
      <c r="BE1" s="727"/>
      <c r="BF1" s="727"/>
      <c r="BG1" s="727"/>
      <c r="BH1" s="727"/>
      <c r="BI1" s="727"/>
      <c r="BJ1" s="727"/>
      <c r="BK1" s="727"/>
      <c r="BL1" s="727"/>
      <c r="BM1" s="727"/>
      <c r="BN1" s="727"/>
      <c r="BO1" s="727"/>
      <c r="BP1" s="727"/>
      <c r="BQ1" s="727"/>
      <c r="BR1" s="727"/>
      <c r="BS1" s="727"/>
      <c r="BT1" s="727"/>
      <c r="BU1" s="727"/>
      <c r="BV1" s="727"/>
      <c r="BW1" s="727"/>
      <c r="BX1" s="727"/>
      <c r="BY1" s="727"/>
      <c r="BZ1" s="727"/>
      <c r="CA1" s="727"/>
      <c r="CB1" s="727"/>
      <c r="CC1" s="727"/>
      <c r="CD1" s="727"/>
      <c r="CE1" s="727"/>
      <c r="CF1" s="727"/>
      <c r="CG1" s="727"/>
      <c r="CH1" s="727"/>
      <c r="CI1" s="727"/>
      <c r="CJ1" s="727"/>
      <c r="CK1" s="727"/>
      <c r="CL1" s="727"/>
      <c r="CM1" s="727"/>
      <c r="CN1" s="727"/>
      <c r="CO1" s="727"/>
      <c r="CP1" s="727"/>
      <c r="CQ1" s="727"/>
      <c r="CR1" s="727"/>
      <c r="CS1" s="727"/>
      <c r="CT1" s="727"/>
      <c r="CU1" s="779" t="s">
        <v>41</v>
      </c>
      <c r="CV1" s="780"/>
      <c r="CW1" s="780"/>
      <c r="CX1" s="780"/>
      <c r="CY1" s="780"/>
      <c r="CZ1" s="780"/>
      <c r="DA1" s="780"/>
      <c r="DB1" s="780"/>
      <c r="DC1" s="780"/>
      <c r="DD1" s="780"/>
      <c r="DE1" s="780"/>
      <c r="DF1" s="780"/>
      <c r="DG1" s="780"/>
      <c r="DH1" s="780"/>
      <c r="DI1" s="780"/>
      <c r="DJ1" s="780"/>
      <c r="DK1" s="780"/>
      <c r="DL1" s="780"/>
      <c r="DM1" s="780"/>
      <c r="DN1" s="780"/>
      <c r="DO1" s="780"/>
      <c r="DP1" s="780"/>
      <c r="DQ1" s="780"/>
      <c r="DR1" s="780"/>
      <c r="DS1" s="780"/>
      <c r="DT1" s="780"/>
      <c r="DU1" s="780"/>
      <c r="DV1" s="780"/>
      <c r="DW1" s="780"/>
      <c r="DX1" s="780"/>
      <c r="DY1" s="780"/>
      <c r="DZ1" s="780"/>
      <c r="EA1" s="780"/>
      <c r="EB1" s="780"/>
      <c r="EC1" s="780"/>
      <c r="ED1" s="780"/>
      <c r="EE1" s="780"/>
      <c r="EF1" s="780"/>
      <c r="EG1" s="780"/>
      <c r="EH1" s="781"/>
      <c r="EI1" s="701" t="s">
        <v>42</v>
      </c>
      <c r="EJ1" s="702"/>
      <c r="EK1" s="702"/>
      <c r="EL1" s="702"/>
      <c r="EM1" s="702"/>
      <c r="EN1" s="702"/>
      <c r="EO1" s="702"/>
      <c r="EP1" s="702"/>
      <c r="EQ1" s="702"/>
      <c r="ER1" s="702"/>
      <c r="ES1" s="702"/>
      <c r="ET1" s="702"/>
      <c r="EU1" s="702"/>
      <c r="EV1" s="702"/>
      <c r="EW1" s="702"/>
      <c r="EX1" s="702"/>
      <c r="EY1" s="702"/>
      <c r="EZ1" s="702"/>
      <c r="FA1" s="702"/>
      <c r="FB1" s="702"/>
      <c r="FC1" s="702"/>
      <c r="FD1" s="702"/>
      <c r="FE1" s="702"/>
      <c r="FF1" s="702"/>
      <c r="FG1" s="702"/>
      <c r="FH1" s="702"/>
      <c r="FI1" s="702"/>
      <c r="FJ1" s="702"/>
      <c r="FK1" s="702"/>
      <c r="FL1" s="702"/>
      <c r="FM1" s="702"/>
      <c r="FN1" s="702"/>
      <c r="FO1" s="702"/>
      <c r="FP1" s="702"/>
      <c r="FQ1" s="702"/>
      <c r="FR1" s="702"/>
      <c r="FS1" s="702"/>
      <c r="FT1" s="702"/>
      <c r="FU1" s="702"/>
      <c r="FV1" s="702"/>
      <c r="FW1" s="702"/>
      <c r="FX1" s="702"/>
      <c r="FY1" s="702"/>
      <c r="FZ1" s="702"/>
      <c r="GA1" s="702"/>
      <c r="GB1" s="702"/>
      <c r="GC1" s="702"/>
      <c r="GD1" s="702"/>
      <c r="GE1" s="702"/>
      <c r="GF1" s="702"/>
      <c r="GG1" s="702"/>
      <c r="GH1" s="702"/>
      <c r="GI1" s="702"/>
      <c r="GJ1" s="702"/>
      <c r="GK1" s="702"/>
      <c r="GL1" s="702"/>
      <c r="GM1" s="702"/>
      <c r="GN1" s="702"/>
      <c r="GO1" s="702"/>
      <c r="GP1" s="702"/>
      <c r="GQ1" s="702"/>
      <c r="GR1" s="702"/>
      <c r="GS1" s="702"/>
      <c r="GT1" s="702"/>
      <c r="GU1" s="702"/>
      <c r="GV1" s="702"/>
      <c r="GW1" s="702"/>
      <c r="GX1" s="702"/>
      <c r="GY1" s="702"/>
      <c r="GZ1" s="702"/>
      <c r="HA1" s="702"/>
      <c r="HB1" s="702"/>
      <c r="HC1" s="702"/>
      <c r="HD1" s="702"/>
      <c r="HE1" s="702"/>
      <c r="HF1" s="702"/>
      <c r="HG1" s="702"/>
      <c r="HH1" s="702"/>
      <c r="HI1" s="702"/>
      <c r="HJ1" s="702"/>
      <c r="HK1" s="702"/>
      <c r="HL1" s="702"/>
      <c r="HM1" s="702"/>
      <c r="HN1" s="702"/>
      <c r="HO1" s="702"/>
      <c r="HP1" s="702"/>
      <c r="HQ1" s="702"/>
      <c r="HR1" s="702"/>
      <c r="HS1" s="702"/>
      <c r="HT1" s="702"/>
      <c r="HU1" s="702"/>
      <c r="HV1" s="702"/>
      <c r="HW1" s="702"/>
      <c r="HX1" s="702"/>
      <c r="HY1" s="702"/>
      <c r="HZ1" s="702"/>
      <c r="IA1" s="702"/>
      <c r="IB1" s="702"/>
      <c r="IC1" s="702"/>
      <c r="ID1" s="703"/>
    </row>
    <row r="2" spans="1:324" s="29" customFormat="1" ht="23.4" customHeight="1">
      <c r="A2" s="708"/>
      <c r="B2" s="711"/>
      <c r="C2" s="692"/>
      <c r="D2" s="697" t="s">
        <v>1</v>
      </c>
      <c r="E2" s="697" t="s">
        <v>203</v>
      </c>
      <c r="F2" s="698" t="s">
        <v>152</v>
      </c>
      <c r="G2" s="730" t="s">
        <v>72</v>
      </c>
      <c r="H2" s="595" t="s">
        <v>73</v>
      </c>
      <c r="I2" s="595" t="s">
        <v>74</v>
      </c>
      <c r="J2" s="595" t="s">
        <v>140</v>
      </c>
      <c r="K2" s="595" t="s">
        <v>139</v>
      </c>
      <c r="L2" s="595" t="s">
        <v>75</v>
      </c>
      <c r="M2" s="595" t="s">
        <v>71</v>
      </c>
      <c r="N2" s="576" t="s">
        <v>128</v>
      </c>
      <c r="O2" s="576" t="s">
        <v>129</v>
      </c>
      <c r="P2" s="576" t="s">
        <v>149</v>
      </c>
      <c r="Q2" s="576" t="s">
        <v>150</v>
      </c>
      <c r="R2" s="724" t="s">
        <v>43</v>
      </c>
      <c r="S2" s="734" t="s">
        <v>44</v>
      </c>
      <c r="T2" s="728"/>
      <c r="U2" s="714" t="s">
        <v>92</v>
      </c>
      <c r="V2" s="715"/>
      <c r="W2" s="714" t="s">
        <v>93</v>
      </c>
      <c r="X2" s="715"/>
      <c r="Y2" s="714" t="s">
        <v>94</v>
      </c>
      <c r="Z2" s="715"/>
      <c r="AA2" s="714" t="s">
        <v>106</v>
      </c>
      <c r="AB2" s="728"/>
      <c r="AC2" s="728"/>
      <c r="AD2" s="728"/>
      <c r="AE2" s="728"/>
      <c r="AF2" s="728"/>
      <c r="AG2" s="728"/>
      <c r="AH2" s="728"/>
      <c r="AI2" s="728"/>
      <c r="AJ2" s="728"/>
      <c r="AK2" s="728"/>
      <c r="AL2" s="728"/>
      <c r="AM2" s="728"/>
      <c r="AN2" s="728"/>
      <c r="AO2" s="728"/>
      <c r="AP2" s="728"/>
      <c r="AQ2" s="728"/>
      <c r="AR2" s="728"/>
      <c r="AS2" s="728"/>
      <c r="AT2" s="728"/>
      <c r="AU2" s="728"/>
      <c r="AV2" s="728"/>
      <c r="AW2" s="728"/>
      <c r="AX2" s="728"/>
      <c r="AY2" s="714" t="s">
        <v>107</v>
      </c>
      <c r="AZ2" s="728"/>
      <c r="BA2" s="728"/>
      <c r="BB2" s="728"/>
      <c r="BC2" s="728"/>
      <c r="BD2" s="728"/>
      <c r="BE2" s="728"/>
      <c r="BF2" s="728"/>
      <c r="BG2" s="728"/>
      <c r="BH2" s="728"/>
      <c r="BI2" s="728"/>
      <c r="BJ2" s="728"/>
      <c r="BK2" s="728"/>
      <c r="BL2" s="728"/>
      <c r="BM2" s="728"/>
      <c r="BN2" s="728"/>
      <c r="BO2" s="728"/>
      <c r="BP2" s="728"/>
      <c r="BQ2" s="728"/>
      <c r="BR2" s="728"/>
      <c r="BS2" s="728"/>
      <c r="BT2" s="728"/>
      <c r="BU2" s="728"/>
      <c r="BV2" s="728"/>
      <c r="BW2" s="714" t="s">
        <v>108</v>
      </c>
      <c r="BX2" s="728"/>
      <c r="BY2" s="728"/>
      <c r="BZ2" s="728"/>
      <c r="CA2" s="728"/>
      <c r="CB2" s="728"/>
      <c r="CC2" s="728"/>
      <c r="CD2" s="728"/>
      <c r="CE2" s="728"/>
      <c r="CF2" s="728"/>
      <c r="CG2" s="728"/>
      <c r="CH2" s="728"/>
      <c r="CI2" s="728"/>
      <c r="CJ2" s="728"/>
      <c r="CK2" s="728"/>
      <c r="CL2" s="728"/>
      <c r="CM2" s="728"/>
      <c r="CN2" s="728"/>
      <c r="CO2" s="728"/>
      <c r="CP2" s="728"/>
      <c r="CQ2" s="728"/>
      <c r="CR2" s="728"/>
      <c r="CS2" s="728"/>
      <c r="CT2" s="729"/>
      <c r="CU2" s="623" t="s">
        <v>131</v>
      </c>
      <c r="CV2" s="642" t="s">
        <v>38</v>
      </c>
      <c r="CW2" s="643"/>
      <c r="CX2" s="643"/>
      <c r="CY2" s="762"/>
      <c r="CZ2" s="754" t="s">
        <v>136</v>
      </c>
      <c r="DA2" s="758" t="s">
        <v>137</v>
      </c>
      <c r="DB2" s="641" t="s">
        <v>47</v>
      </c>
      <c r="DC2" s="583"/>
      <c r="DD2" s="583"/>
      <c r="DE2" s="583"/>
      <c r="DF2" s="583"/>
      <c r="DG2" s="583"/>
      <c r="DH2" s="583"/>
      <c r="DI2" s="761"/>
      <c r="DJ2" s="747" t="s">
        <v>48</v>
      </c>
      <c r="DK2" s="641" t="s">
        <v>89</v>
      </c>
      <c r="DL2" s="583"/>
      <c r="DM2" s="631" t="s">
        <v>15</v>
      </c>
      <c r="DN2" s="628"/>
      <c r="DO2" s="628"/>
      <c r="DP2" s="628"/>
      <c r="DQ2" s="628"/>
      <c r="DR2" s="628"/>
      <c r="DS2" s="628"/>
      <c r="DT2" s="628"/>
      <c r="DU2" s="739" t="s">
        <v>17</v>
      </c>
      <c r="DV2" s="583" t="s">
        <v>109</v>
      </c>
      <c r="DW2" s="742"/>
      <c r="DX2" s="631" t="s">
        <v>15</v>
      </c>
      <c r="DY2" s="628"/>
      <c r="DZ2" s="628"/>
      <c r="EA2" s="628"/>
      <c r="EB2" s="628"/>
      <c r="EC2" s="628"/>
      <c r="ED2" s="628"/>
      <c r="EE2" s="628"/>
      <c r="EF2" s="739" t="s">
        <v>17</v>
      </c>
      <c r="EG2" s="583" t="s">
        <v>110</v>
      </c>
      <c r="EH2" s="742"/>
      <c r="EI2" s="679" t="s">
        <v>133</v>
      </c>
      <c r="EJ2" s="680"/>
      <c r="EK2" s="680"/>
      <c r="EL2" s="680"/>
      <c r="EM2" s="680"/>
      <c r="EN2" s="672" t="s">
        <v>142</v>
      </c>
      <c r="EO2" s="672"/>
      <c r="EP2" s="672"/>
      <c r="EQ2" s="672"/>
      <c r="ER2" s="672"/>
      <c r="ES2" s="672"/>
      <c r="ET2" s="672"/>
      <c r="EU2" s="672"/>
      <c r="EV2" s="684"/>
      <c r="EW2" s="671" t="s">
        <v>138</v>
      </c>
      <c r="EX2" s="672"/>
      <c r="EY2" s="672"/>
      <c r="EZ2" s="672"/>
      <c r="FA2" s="672"/>
      <c r="FB2" s="609" t="s">
        <v>148</v>
      </c>
      <c r="FC2" s="672"/>
      <c r="FD2" s="684"/>
      <c r="FE2" s="654" t="s">
        <v>92</v>
      </c>
      <c r="FF2" s="704"/>
      <c r="FG2" s="654" t="s">
        <v>93</v>
      </c>
      <c r="FH2" s="704"/>
      <c r="FI2" s="654" t="s">
        <v>94</v>
      </c>
      <c r="FJ2" s="704"/>
      <c r="FK2" s="656" t="s">
        <v>103</v>
      </c>
      <c r="FL2" s="656"/>
      <c r="FM2" s="656"/>
      <c r="FN2" s="656"/>
      <c r="FO2" s="656"/>
      <c r="FP2" s="656"/>
      <c r="FQ2" s="656"/>
      <c r="FR2" s="656"/>
      <c r="FS2" s="656"/>
      <c r="FT2" s="656"/>
      <c r="FU2" s="656"/>
      <c r="FV2" s="656"/>
      <c r="FW2" s="656"/>
      <c r="FX2" s="656"/>
      <c r="FY2" s="656"/>
      <c r="FZ2" s="656"/>
      <c r="GA2" s="656"/>
      <c r="GB2" s="656"/>
      <c r="GC2" s="656"/>
      <c r="GD2" s="656"/>
      <c r="GE2" s="656"/>
      <c r="GF2" s="656"/>
      <c r="GG2" s="656"/>
      <c r="GH2" s="657"/>
      <c r="GI2" s="782" t="s">
        <v>104</v>
      </c>
      <c r="GJ2" s="658"/>
      <c r="GK2" s="658"/>
      <c r="GL2" s="658"/>
      <c r="GM2" s="658"/>
      <c r="GN2" s="658"/>
      <c r="GO2" s="658"/>
      <c r="GP2" s="658"/>
      <c r="GQ2" s="658"/>
      <c r="GR2" s="658"/>
      <c r="GS2" s="658"/>
      <c r="GT2" s="658"/>
      <c r="GU2" s="658"/>
      <c r="GV2" s="658"/>
      <c r="GW2" s="658"/>
      <c r="GX2" s="658"/>
      <c r="GY2" s="658"/>
      <c r="GZ2" s="658"/>
      <c r="HA2" s="658"/>
      <c r="HB2" s="658"/>
      <c r="HC2" s="658"/>
      <c r="HD2" s="658"/>
      <c r="HE2" s="658"/>
      <c r="HF2" s="659"/>
      <c r="HG2" s="656" t="s">
        <v>105</v>
      </c>
      <c r="HH2" s="656"/>
      <c r="HI2" s="656"/>
      <c r="HJ2" s="656"/>
      <c r="HK2" s="656"/>
      <c r="HL2" s="656"/>
      <c r="HM2" s="656"/>
      <c r="HN2" s="656"/>
      <c r="HO2" s="656"/>
      <c r="HP2" s="656"/>
      <c r="HQ2" s="656"/>
      <c r="HR2" s="656"/>
      <c r="HS2" s="656"/>
      <c r="HT2" s="656"/>
      <c r="HU2" s="656"/>
      <c r="HV2" s="656"/>
      <c r="HW2" s="656"/>
      <c r="HX2" s="656"/>
      <c r="HY2" s="656"/>
      <c r="HZ2" s="656"/>
      <c r="IA2" s="656"/>
      <c r="IB2" s="656"/>
      <c r="IC2" s="656"/>
      <c r="ID2" s="657"/>
    </row>
    <row r="3" spans="1:324" s="29" customFormat="1" ht="16.350000000000001" customHeight="1">
      <c r="A3" s="708"/>
      <c r="B3" s="711"/>
      <c r="C3" s="692"/>
      <c r="D3" s="692"/>
      <c r="E3" s="692"/>
      <c r="F3" s="699"/>
      <c r="G3" s="730"/>
      <c r="H3" s="595"/>
      <c r="I3" s="595"/>
      <c r="J3" s="595"/>
      <c r="K3" s="595"/>
      <c r="L3" s="595"/>
      <c r="M3" s="595"/>
      <c r="N3" s="577"/>
      <c r="O3" s="577"/>
      <c r="P3" s="577"/>
      <c r="Q3" s="577"/>
      <c r="R3" s="725"/>
      <c r="S3" s="735" t="s">
        <v>44</v>
      </c>
      <c r="T3" s="737" t="s">
        <v>127</v>
      </c>
      <c r="U3" s="720" t="s">
        <v>45</v>
      </c>
      <c r="V3" s="732" t="s">
        <v>127</v>
      </c>
      <c r="W3" s="716" t="s">
        <v>4</v>
      </c>
      <c r="X3" s="718" t="s">
        <v>13</v>
      </c>
      <c r="Y3" s="720" t="s">
        <v>4</v>
      </c>
      <c r="Z3" s="722" t="s">
        <v>13</v>
      </c>
      <c r="AA3" s="653" t="s">
        <v>50</v>
      </c>
      <c r="AB3" s="560"/>
      <c r="AC3" s="560" t="s">
        <v>51</v>
      </c>
      <c r="AD3" s="560"/>
      <c r="AE3" s="560" t="s">
        <v>52</v>
      </c>
      <c r="AF3" s="560"/>
      <c r="AG3" s="560" t="s">
        <v>53</v>
      </c>
      <c r="AH3" s="560"/>
      <c r="AI3" s="560" t="s">
        <v>54</v>
      </c>
      <c r="AJ3" s="560"/>
      <c r="AK3" s="560" t="s">
        <v>55</v>
      </c>
      <c r="AL3" s="560"/>
      <c r="AM3" s="560" t="s">
        <v>56</v>
      </c>
      <c r="AN3" s="560"/>
      <c r="AO3" s="560" t="s">
        <v>57</v>
      </c>
      <c r="AP3" s="560"/>
      <c r="AQ3" s="560" t="s">
        <v>58</v>
      </c>
      <c r="AR3" s="560"/>
      <c r="AS3" s="560" t="s">
        <v>59</v>
      </c>
      <c r="AT3" s="560"/>
      <c r="AU3" s="560" t="s">
        <v>60</v>
      </c>
      <c r="AV3" s="560"/>
      <c r="AW3" s="612" t="s">
        <v>61</v>
      </c>
      <c r="AX3" s="652"/>
      <c r="AY3" s="612" t="s">
        <v>154</v>
      </c>
      <c r="AZ3" s="585"/>
      <c r="BA3" s="560" t="s">
        <v>156</v>
      </c>
      <c r="BB3" s="560"/>
      <c r="BC3" s="560" t="s">
        <v>158</v>
      </c>
      <c r="BD3" s="560"/>
      <c r="BE3" s="560" t="s">
        <v>160</v>
      </c>
      <c r="BF3" s="560"/>
      <c r="BG3" s="560" t="s">
        <v>162</v>
      </c>
      <c r="BH3" s="560"/>
      <c r="BI3" s="560" t="s">
        <v>164</v>
      </c>
      <c r="BJ3" s="560"/>
      <c r="BK3" s="560" t="s">
        <v>166</v>
      </c>
      <c r="BL3" s="560"/>
      <c r="BM3" s="560" t="s">
        <v>168</v>
      </c>
      <c r="BN3" s="560"/>
      <c r="BO3" s="560" t="s">
        <v>170</v>
      </c>
      <c r="BP3" s="560"/>
      <c r="BQ3" s="560" t="s">
        <v>172</v>
      </c>
      <c r="BR3" s="560"/>
      <c r="BS3" s="560" t="s">
        <v>174</v>
      </c>
      <c r="BT3" s="560"/>
      <c r="BU3" s="612" t="s">
        <v>176</v>
      </c>
      <c r="BV3" s="652"/>
      <c r="BW3" s="653" t="s">
        <v>178</v>
      </c>
      <c r="BX3" s="560"/>
      <c r="BY3" s="560" t="s">
        <v>180</v>
      </c>
      <c r="BZ3" s="560"/>
      <c r="CA3" s="560" t="s">
        <v>182</v>
      </c>
      <c r="CB3" s="560"/>
      <c r="CC3" s="560" t="s">
        <v>184</v>
      </c>
      <c r="CD3" s="560"/>
      <c r="CE3" s="560" t="s">
        <v>186</v>
      </c>
      <c r="CF3" s="560"/>
      <c r="CG3" s="560" t="s">
        <v>188</v>
      </c>
      <c r="CH3" s="560"/>
      <c r="CI3" s="560" t="s">
        <v>190</v>
      </c>
      <c r="CJ3" s="560"/>
      <c r="CK3" s="560" t="s">
        <v>192</v>
      </c>
      <c r="CL3" s="560"/>
      <c r="CM3" s="560" t="s">
        <v>194</v>
      </c>
      <c r="CN3" s="560"/>
      <c r="CO3" s="560" t="s">
        <v>196</v>
      </c>
      <c r="CP3" s="560"/>
      <c r="CQ3" s="560" t="s">
        <v>198</v>
      </c>
      <c r="CR3" s="560"/>
      <c r="CS3" s="652" t="s">
        <v>200</v>
      </c>
      <c r="CT3" s="757"/>
      <c r="CU3" s="624"/>
      <c r="CV3" s="591" t="s">
        <v>132</v>
      </c>
      <c r="CW3" s="626" t="s">
        <v>36</v>
      </c>
      <c r="CX3" s="645" t="s">
        <v>35</v>
      </c>
      <c r="CY3" s="750" t="s">
        <v>37</v>
      </c>
      <c r="CZ3" s="755"/>
      <c r="DA3" s="759"/>
      <c r="DB3" s="583" t="s">
        <v>62</v>
      </c>
      <c r="DC3" s="583"/>
      <c r="DD3" s="628" t="s">
        <v>63</v>
      </c>
      <c r="DE3" s="628"/>
      <c r="DF3" s="628" t="s">
        <v>64</v>
      </c>
      <c r="DG3" s="628"/>
      <c r="DH3" s="628" t="s">
        <v>65</v>
      </c>
      <c r="DI3" s="628"/>
      <c r="DJ3" s="748"/>
      <c r="DK3" s="752" t="s">
        <v>66</v>
      </c>
      <c r="DL3" s="745" t="s">
        <v>239</v>
      </c>
      <c r="DM3" s="631" t="s">
        <v>95</v>
      </c>
      <c r="DN3" s="628"/>
      <c r="DO3" s="628" t="s">
        <v>96</v>
      </c>
      <c r="DP3" s="628"/>
      <c r="DQ3" s="628" t="s">
        <v>97</v>
      </c>
      <c r="DR3" s="628"/>
      <c r="DS3" s="628" t="s">
        <v>98</v>
      </c>
      <c r="DT3" s="628"/>
      <c r="DU3" s="740"/>
      <c r="DV3" s="743" t="s">
        <v>10</v>
      </c>
      <c r="DW3" s="745" t="s">
        <v>13</v>
      </c>
      <c r="DX3" s="631" t="s">
        <v>99</v>
      </c>
      <c r="DY3" s="628"/>
      <c r="DZ3" s="628" t="s">
        <v>100</v>
      </c>
      <c r="EA3" s="628"/>
      <c r="EB3" s="628" t="s">
        <v>101</v>
      </c>
      <c r="EC3" s="628"/>
      <c r="ED3" s="628" t="s">
        <v>102</v>
      </c>
      <c r="EE3" s="628"/>
      <c r="EF3" s="740"/>
      <c r="EG3" s="743" t="s">
        <v>10</v>
      </c>
      <c r="EH3" s="745" t="s">
        <v>13</v>
      </c>
      <c r="EI3" s="763" t="s">
        <v>134</v>
      </c>
      <c r="EJ3" s="600" t="s">
        <v>9</v>
      </c>
      <c r="EK3" s="685" t="s">
        <v>135</v>
      </c>
      <c r="EL3" s="604" t="s">
        <v>36</v>
      </c>
      <c r="EM3" s="680" t="s">
        <v>35</v>
      </c>
      <c r="EN3" s="672" t="s">
        <v>143</v>
      </c>
      <c r="EO3" s="672"/>
      <c r="EP3" s="672"/>
      <c r="EQ3" s="672" t="s">
        <v>144</v>
      </c>
      <c r="ER3" s="672"/>
      <c r="ES3" s="672"/>
      <c r="ET3" s="672" t="s">
        <v>147</v>
      </c>
      <c r="EU3" s="672"/>
      <c r="EV3" s="684"/>
      <c r="EW3" s="681" t="s">
        <v>134</v>
      </c>
      <c r="EX3" s="600" t="s">
        <v>9</v>
      </c>
      <c r="EY3" s="602" t="s">
        <v>135</v>
      </c>
      <c r="EZ3" s="604" t="s">
        <v>36</v>
      </c>
      <c r="FA3" s="663" t="s">
        <v>35</v>
      </c>
      <c r="FB3" s="672" t="s">
        <v>141</v>
      </c>
      <c r="FC3" s="672"/>
      <c r="FD3" s="684"/>
      <c r="FE3" s="765" t="s">
        <v>45</v>
      </c>
      <c r="FF3" s="767" t="s">
        <v>127</v>
      </c>
      <c r="FG3" s="765" t="s">
        <v>4</v>
      </c>
      <c r="FH3" s="770" t="s">
        <v>13</v>
      </c>
      <c r="FI3" s="772" t="s">
        <v>4</v>
      </c>
      <c r="FJ3" s="774" t="s">
        <v>13</v>
      </c>
      <c r="FK3" s="654" t="s">
        <v>50</v>
      </c>
      <c r="FL3" s="769"/>
      <c r="FM3" s="769" t="s">
        <v>51</v>
      </c>
      <c r="FN3" s="658"/>
      <c r="FO3" s="658" t="s">
        <v>52</v>
      </c>
      <c r="FP3" s="658"/>
      <c r="FQ3" s="658" t="s">
        <v>53</v>
      </c>
      <c r="FR3" s="658"/>
      <c r="FS3" s="658" t="s">
        <v>54</v>
      </c>
      <c r="FT3" s="658"/>
      <c r="FU3" s="658" t="s">
        <v>55</v>
      </c>
      <c r="FV3" s="658"/>
      <c r="FW3" s="658" t="s">
        <v>56</v>
      </c>
      <c r="FX3" s="658"/>
      <c r="FY3" s="658" t="s">
        <v>57</v>
      </c>
      <c r="FZ3" s="658"/>
      <c r="GA3" s="658" t="s">
        <v>58</v>
      </c>
      <c r="GB3" s="658"/>
      <c r="GC3" s="658" t="s">
        <v>59</v>
      </c>
      <c r="GD3" s="658"/>
      <c r="GE3" s="658" t="s">
        <v>60</v>
      </c>
      <c r="GF3" s="658"/>
      <c r="GG3" s="656" t="s">
        <v>61</v>
      </c>
      <c r="GH3" s="657"/>
      <c r="GI3" s="782" t="s">
        <v>153</v>
      </c>
      <c r="GJ3" s="658"/>
      <c r="GK3" s="658" t="s">
        <v>155</v>
      </c>
      <c r="GL3" s="658"/>
      <c r="GM3" s="658" t="s">
        <v>157</v>
      </c>
      <c r="GN3" s="658"/>
      <c r="GO3" s="658" t="s">
        <v>159</v>
      </c>
      <c r="GP3" s="658"/>
      <c r="GQ3" s="658" t="s">
        <v>161</v>
      </c>
      <c r="GR3" s="658"/>
      <c r="GS3" s="658" t="s">
        <v>163</v>
      </c>
      <c r="GT3" s="658"/>
      <c r="GU3" s="658" t="s">
        <v>165</v>
      </c>
      <c r="GV3" s="658"/>
      <c r="GW3" s="658" t="s">
        <v>167</v>
      </c>
      <c r="GX3" s="658"/>
      <c r="GY3" s="658" t="s">
        <v>169</v>
      </c>
      <c r="GZ3" s="658"/>
      <c r="HA3" s="658" t="s">
        <v>171</v>
      </c>
      <c r="HB3" s="658"/>
      <c r="HC3" s="658" t="s">
        <v>173</v>
      </c>
      <c r="HD3" s="658"/>
      <c r="HE3" s="658" t="s">
        <v>175</v>
      </c>
      <c r="HF3" s="659"/>
      <c r="HG3" s="654" t="s">
        <v>177</v>
      </c>
      <c r="HH3" s="704"/>
      <c r="HI3" s="658" t="s">
        <v>179</v>
      </c>
      <c r="HJ3" s="658"/>
      <c r="HK3" s="658" t="s">
        <v>181</v>
      </c>
      <c r="HL3" s="658"/>
      <c r="HM3" s="658" t="s">
        <v>183</v>
      </c>
      <c r="HN3" s="658"/>
      <c r="HO3" s="658" t="s">
        <v>185</v>
      </c>
      <c r="HP3" s="658"/>
      <c r="HQ3" s="658" t="s">
        <v>187</v>
      </c>
      <c r="HR3" s="658"/>
      <c r="HS3" s="658" t="s">
        <v>189</v>
      </c>
      <c r="HT3" s="658"/>
      <c r="HU3" s="658" t="s">
        <v>191</v>
      </c>
      <c r="HV3" s="658"/>
      <c r="HW3" s="658" t="s">
        <v>193</v>
      </c>
      <c r="HX3" s="658"/>
      <c r="HY3" s="658" t="s">
        <v>195</v>
      </c>
      <c r="HZ3" s="658"/>
      <c r="IA3" s="658" t="s">
        <v>201</v>
      </c>
      <c r="IB3" s="658"/>
      <c r="IC3" s="658" t="s">
        <v>202</v>
      </c>
      <c r="ID3" s="705"/>
    </row>
    <row r="4" spans="1:324" s="194" customFormat="1" ht="40.35" customHeight="1" thickBot="1">
      <c r="A4" s="709"/>
      <c r="B4" s="712"/>
      <c r="C4" s="693"/>
      <c r="D4" s="693"/>
      <c r="E4" s="693"/>
      <c r="F4" s="700"/>
      <c r="G4" s="731"/>
      <c r="H4" s="599"/>
      <c r="I4" s="599"/>
      <c r="J4" s="599"/>
      <c r="K4" s="599"/>
      <c r="L4" s="599"/>
      <c r="M4" s="596"/>
      <c r="N4" s="578"/>
      <c r="O4" s="578"/>
      <c r="P4" s="578"/>
      <c r="Q4" s="578"/>
      <c r="R4" s="581"/>
      <c r="S4" s="736"/>
      <c r="T4" s="738"/>
      <c r="U4" s="721"/>
      <c r="V4" s="733"/>
      <c r="W4" s="717"/>
      <c r="X4" s="719"/>
      <c r="Y4" s="721"/>
      <c r="Z4" s="723"/>
      <c r="AA4" s="186" t="s">
        <v>46</v>
      </c>
      <c r="AB4" s="32" t="s">
        <v>127</v>
      </c>
      <c r="AC4" s="31" t="s">
        <v>46</v>
      </c>
      <c r="AD4" s="32" t="s">
        <v>127</v>
      </c>
      <c r="AE4" s="31" t="s">
        <v>46</v>
      </c>
      <c r="AF4" s="32" t="s">
        <v>127</v>
      </c>
      <c r="AG4" s="31" t="s">
        <v>46</v>
      </c>
      <c r="AH4" s="32" t="s">
        <v>127</v>
      </c>
      <c r="AI4" s="31" t="s">
        <v>46</v>
      </c>
      <c r="AJ4" s="32" t="s">
        <v>127</v>
      </c>
      <c r="AK4" s="31" t="s">
        <v>46</v>
      </c>
      <c r="AL4" s="32" t="s">
        <v>127</v>
      </c>
      <c r="AM4" s="31" t="s">
        <v>46</v>
      </c>
      <c r="AN4" s="32" t="s">
        <v>127</v>
      </c>
      <c r="AO4" s="31" t="s">
        <v>46</v>
      </c>
      <c r="AP4" s="32" t="s">
        <v>127</v>
      </c>
      <c r="AQ4" s="31" t="s">
        <v>46</v>
      </c>
      <c r="AR4" s="32" t="s">
        <v>127</v>
      </c>
      <c r="AS4" s="31" t="s">
        <v>46</v>
      </c>
      <c r="AT4" s="32" t="s">
        <v>127</v>
      </c>
      <c r="AU4" s="31" t="s">
        <v>46</v>
      </c>
      <c r="AV4" s="32" t="s">
        <v>127</v>
      </c>
      <c r="AW4" s="31" t="s">
        <v>46</v>
      </c>
      <c r="AX4" s="187" t="s">
        <v>127</v>
      </c>
      <c r="AY4" s="186" t="s">
        <v>18</v>
      </c>
      <c r="AZ4" s="188" t="s">
        <v>13</v>
      </c>
      <c r="BA4" s="31" t="s">
        <v>18</v>
      </c>
      <c r="BB4" s="189" t="s">
        <v>13</v>
      </c>
      <c r="BC4" s="31" t="s">
        <v>18</v>
      </c>
      <c r="BD4" s="189" t="s">
        <v>13</v>
      </c>
      <c r="BE4" s="31" t="s">
        <v>18</v>
      </c>
      <c r="BF4" s="189" t="s">
        <v>13</v>
      </c>
      <c r="BG4" s="31" t="s">
        <v>18</v>
      </c>
      <c r="BH4" s="189" t="s">
        <v>13</v>
      </c>
      <c r="BI4" s="31" t="s">
        <v>18</v>
      </c>
      <c r="BJ4" s="189" t="s">
        <v>13</v>
      </c>
      <c r="BK4" s="31" t="s">
        <v>18</v>
      </c>
      <c r="BL4" s="189" t="s">
        <v>13</v>
      </c>
      <c r="BM4" s="31" t="s">
        <v>18</v>
      </c>
      <c r="BN4" s="189" t="s">
        <v>13</v>
      </c>
      <c r="BO4" s="31" t="s">
        <v>18</v>
      </c>
      <c r="BP4" s="189" t="s">
        <v>13</v>
      </c>
      <c r="BQ4" s="31" t="s">
        <v>18</v>
      </c>
      <c r="BR4" s="189" t="s">
        <v>13</v>
      </c>
      <c r="BS4" s="31" t="s">
        <v>18</v>
      </c>
      <c r="BT4" s="189" t="s">
        <v>13</v>
      </c>
      <c r="BU4" s="30" t="s">
        <v>18</v>
      </c>
      <c r="BV4" s="188" t="s">
        <v>13</v>
      </c>
      <c r="BW4" s="186" t="s">
        <v>18</v>
      </c>
      <c r="BX4" s="189" t="s">
        <v>13</v>
      </c>
      <c r="BY4" s="31" t="s">
        <v>18</v>
      </c>
      <c r="BZ4" s="189" t="s">
        <v>13</v>
      </c>
      <c r="CA4" s="31" t="s">
        <v>18</v>
      </c>
      <c r="CB4" s="189" t="s">
        <v>13</v>
      </c>
      <c r="CC4" s="31" t="s">
        <v>18</v>
      </c>
      <c r="CD4" s="189" t="s">
        <v>13</v>
      </c>
      <c r="CE4" s="31" t="s">
        <v>18</v>
      </c>
      <c r="CF4" s="189" t="s">
        <v>13</v>
      </c>
      <c r="CG4" s="31" t="s">
        <v>18</v>
      </c>
      <c r="CH4" s="189" t="s">
        <v>13</v>
      </c>
      <c r="CI4" s="31" t="s">
        <v>18</v>
      </c>
      <c r="CJ4" s="189" t="s">
        <v>13</v>
      </c>
      <c r="CK4" s="31" t="s">
        <v>18</v>
      </c>
      <c r="CL4" s="189" t="s">
        <v>13</v>
      </c>
      <c r="CM4" s="31" t="s">
        <v>18</v>
      </c>
      <c r="CN4" s="189" t="s">
        <v>13</v>
      </c>
      <c r="CO4" s="31" t="s">
        <v>18</v>
      </c>
      <c r="CP4" s="189" t="s">
        <v>13</v>
      </c>
      <c r="CQ4" s="31" t="s">
        <v>18</v>
      </c>
      <c r="CR4" s="189" t="s">
        <v>13</v>
      </c>
      <c r="CS4" s="30" t="s">
        <v>18</v>
      </c>
      <c r="CT4" s="190" t="s">
        <v>13</v>
      </c>
      <c r="CU4" s="625"/>
      <c r="CV4" s="592"/>
      <c r="CW4" s="627"/>
      <c r="CX4" s="646"/>
      <c r="CY4" s="751"/>
      <c r="CZ4" s="756"/>
      <c r="DA4" s="760"/>
      <c r="DB4" s="33" t="s">
        <v>47</v>
      </c>
      <c r="DC4" s="34" t="s">
        <v>127</v>
      </c>
      <c r="DD4" s="35" t="s">
        <v>47</v>
      </c>
      <c r="DE4" s="34" t="s">
        <v>127</v>
      </c>
      <c r="DF4" s="35" t="s">
        <v>47</v>
      </c>
      <c r="DG4" s="34" t="s">
        <v>127</v>
      </c>
      <c r="DH4" s="35" t="s">
        <v>47</v>
      </c>
      <c r="DI4" s="34" t="s">
        <v>127</v>
      </c>
      <c r="DJ4" s="749"/>
      <c r="DK4" s="753"/>
      <c r="DL4" s="746"/>
      <c r="DM4" s="37" t="s">
        <v>15</v>
      </c>
      <c r="DN4" s="36" t="s">
        <v>13</v>
      </c>
      <c r="DO4" s="35" t="s">
        <v>15</v>
      </c>
      <c r="DP4" s="36" t="s">
        <v>13</v>
      </c>
      <c r="DQ4" s="35" t="s">
        <v>15</v>
      </c>
      <c r="DR4" s="36" t="s">
        <v>13</v>
      </c>
      <c r="DS4" s="35" t="s">
        <v>15</v>
      </c>
      <c r="DT4" s="36" t="s">
        <v>13</v>
      </c>
      <c r="DU4" s="741"/>
      <c r="DV4" s="744"/>
      <c r="DW4" s="746"/>
      <c r="DX4" s="37" t="s">
        <v>15</v>
      </c>
      <c r="DY4" s="36" t="s">
        <v>13</v>
      </c>
      <c r="DZ4" s="35" t="s">
        <v>15</v>
      </c>
      <c r="EA4" s="36" t="s">
        <v>13</v>
      </c>
      <c r="EB4" s="35" t="s">
        <v>15</v>
      </c>
      <c r="EC4" s="36" t="s">
        <v>13</v>
      </c>
      <c r="ED4" s="35" t="s">
        <v>15</v>
      </c>
      <c r="EE4" s="36" t="s">
        <v>13</v>
      </c>
      <c r="EF4" s="741"/>
      <c r="EG4" s="744"/>
      <c r="EH4" s="746"/>
      <c r="EI4" s="764"/>
      <c r="EJ4" s="683"/>
      <c r="EK4" s="686"/>
      <c r="EL4" s="687"/>
      <c r="EM4" s="776"/>
      <c r="EN4" s="38" t="s">
        <v>146</v>
      </c>
      <c r="EO4" s="38" t="s">
        <v>135</v>
      </c>
      <c r="EP4" s="39" t="s">
        <v>145</v>
      </c>
      <c r="EQ4" s="38" t="s">
        <v>146</v>
      </c>
      <c r="ER4" s="38" t="s">
        <v>135</v>
      </c>
      <c r="ES4" s="39" t="s">
        <v>145</v>
      </c>
      <c r="ET4" s="38" t="s">
        <v>146</v>
      </c>
      <c r="EU4" s="38" t="s">
        <v>135</v>
      </c>
      <c r="EV4" s="40" t="s">
        <v>145</v>
      </c>
      <c r="EW4" s="690"/>
      <c r="EX4" s="601"/>
      <c r="EY4" s="603"/>
      <c r="EZ4" s="605"/>
      <c r="FA4" s="664"/>
      <c r="FB4" s="38" t="s">
        <v>146</v>
      </c>
      <c r="FC4" s="38" t="s">
        <v>135</v>
      </c>
      <c r="FD4" s="40" t="s">
        <v>145</v>
      </c>
      <c r="FE4" s="766"/>
      <c r="FF4" s="768"/>
      <c r="FG4" s="766"/>
      <c r="FH4" s="771"/>
      <c r="FI4" s="773"/>
      <c r="FJ4" s="775"/>
      <c r="FK4" s="191" t="s">
        <v>49</v>
      </c>
      <c r="FL4" s="192" t="s">
        <v>127</v>
      </c>
      <c r="FM4" s="43" t="s">
        <v>49</v>
      </c>
      <c r="FN4" s="42" t="s">
        <v>127</v>
      </c>
      <c r="FO4" s="43" t="s">
        <v>49</v>
      </c>
      <c r="FP4" s="42" t="s">
        <v>127</v>
      </c>
      <c r="FQ4" s="43" t="s">
        <v>49</v>
      </c>
      <c r="FR4" s="42" t="s">
        <v>127</v>
      </c>
      <c r="FS4" s="43" t="s">
        <v>49</v>
      </c>
      <c r="FT4" s="42" t="s">
        <v>127</v>
      </c>
      <c r="FU4" s="43" t="s">
        <v>49</v>
      </c>
      <c r="FV4" s="42" t="s">
        <v>127</v>
      </c>
      <c r="FW4" s="43" t="s">
        <v>49</v>
      </c>
      <c r="FX4" s="42" t="s">
        <v>127</v>
      </c>
      <c r="FY4" s="43" t="s">
        <v>49</v>
      </c>
      <c r="FZ4" s="42" t="s">
        <v>127</v>
      </c>
      <c r="GA4" s="43" t="s">
        <v>49</v>
      </c>
      <c r="GB4" s="42" t="s">
        <v>127</v>
      </c>
      <c r="GC4" s="43" t="s">
        <v>49</v>
      </c>
      <c r="GD4" s="42" t="s">
        <v>127</v>
      </c>
      <c r="GE4" s="43" t="s">
        <v>49</v>
      </c>
      <c r="GF4" s="42" t="s">
        <v>127</v>
      </c>
      <c r="GG4" s="43" t="s">
        <v>49</v>
      </c>
      <c r="GH4" s="192" t="s">
        <v>127</v>
      </c>
      <c r="GI4" s="193" t="s">
        <v>16</v>
      </c>
      <c r="GJ4" s="42" t="s">
        <v>13</v>
      </c>
      <c r="GK4" s="43" t="s">
        <v>16</v>
      </c>
      <c r="GL4" s="42" t="s">
        <v>13</v>
      </c>
      <c r="GM4" s="43" t="s">
        <v>16</v>
      </c>
      <c r="GN4" s="42" t="s">
        <v>13</v>
      </c>
      <c r="GO4" s="43" t="s">
        <v>16</v>
      </c>
      <c r="GP4" s="42" t="s">
        <v>13</v>
      </c>
      <c r="GQ4" s="43" t="s">
        <v>16</v>
      </c>
      <c r="GR4" s="42" t="s">
        <v>13</v>
      </c>
      <c r="GS4" s="43" t="s">
        <v>16</v>
      </c>
      <c r="GT4" s="42" t="s">
        <v>13</v>
      </c>
      <c r="GU4" s="43" t="s">
        <v>16</v>
      </c>
      <c r="GV4" s="42" t="s">
        <v>13</v>
      </c>
      <c r="GW4" s="43" t="s">
        <v>16</v>
      </c>
      <c r="GX4" s="42" t="s">
        <v>13</v>
      </c>
      <c r="GY4" s="43" t="s">
        <v>16</v>
      </c>
      <c r="GZ4" s="42" t="s">
        <v>13</v>
      </c>
      <c r="HA4" s="43" t="s">
        <v>16</v>
      </c>
      <c r="HB4" s="42" t="s">
        <v>13</v>
      </c>
      <c r="HC4" s="43" t="s">
        <v>16</v>
      </c>
      <c r="HD4" s="42" t="s">
        <v>13</v>
      </c>
      <c r="HE4" s="43" t="s">
        <v>16</v>
      </c>
      <c r="HF4" s="44" t="s">
        <v>13</v>
      </c>
      <c r="HG4" s="41" t="s">
        <v>16</v>
      </c>
      <c r="HH4" s="42" t="s">
        <v>13</v>
      </c>
      <c r="HI4" s="43" t="s">
        <v>16</v>
      </c>
      <c r="HJ4" s="42" t="s">
        <v>13</v>
      </c>
      <c r="HK4" s="43" t="s">
        <v>16</v>
      </c>
      <c r="HL4" s="42" t="s">
        <v>13</v>
      </c>
      <c r="HM4" s="43" t="s">
        <v>16</v>
      </c>
      <c r="HN4" s="42" t="s">
        <v>13</v>
      </c>
      <c r="HO4" s="43" t="s">
        <v>16</v>
      </c>
      <c r="HP4" s="42" t="s">
        <v>13</v>
      </c>
      <c r="HQ4" s="43" t="s">
        <v>16</v>
      </c>
      <c r="HR4" s="42" t="s">
        <v>13</v>
      </c>
      <c r="HS4" s="43" t="s">
        <v>16</v>
      </c>
      <c r="HT4" s="42" t="s">
        <v>13</v>
      </c>
      <c r="HU4" s="43" t="s">
        <v>16</v>
      </c>
      <c r="HV4" s="42" t="s">
        <v>13</v>
      </c>
      <c r="HW4" s="43" t="s">
        <v>16</v>
      </c>
      <c r="HX4" s="42" t="s">
        <v>13</v>
      </c>
      <c r="HY4" s="43" t="s">
        <v>16</v>
      </c>
      <c r="HZ4" s="42" t="s">
        <v>13</v>
      </c>
      <c r="IA4" s="43" t="s">
        <v>16</v>
      </c>
      <c r="IB4" s="42" t="s">
        <v>13</v>
      </c>
      <c r="IC4" s="43" t="s">
        <v>16</v>
      </c>
      <c r="ID4" s="45" t="s">
        <v>13</v>
      </c>
      <c r="IE4" s="29"/>
      <c r="IF4" s="29"/>
      <c r="IG4" s="29"/>
      <c r="IH4" s="29"/>
      <c r="II4" s="29"/>
      <c r="IJ4" s="29"/>
      <c r="IK4" s="29"/>
      <c r="IL4" s="29"/>
      <c r="IM4" s="29"/>
      <c r="IN4" s="29"/>
      <c r="IO4" s="29"/>
      <c r="IP4" s="29"/>
      <c r="IQ4" s="29"/>
      <c r="IR4" s="29"/>
      <c r="IS4" s="29"/>
      <c r="IT4" s="29"/>
      <c r="IU4" s="29"/>
      <c r="IV4" s="29"/>
      <c r="IW4" s="29"/>
      <c r="IX4" s="29"/>
      <c r="IY4" s="29"/>
      <c r="IZ4" s="29"/>
      <c r="JA4" s="29"/>
      <c r="JB4" s="29"/>
      <c r="JC4" s="29"/>
      <c r="JD4" s="29"/>
      <c r="JE4" s="29"/>
      <c r="JF4" s="29"/>
      <c r="JG4" s="29"/>
      <c r="JH4" s="29"/>
      <c r="JI4" s="29"/>
      <c r="JJ4" s="29"/>
      <c r="JK4" s="29"/>
      <c r="JL4" s="29"/>
      <c r="JM4" s="29"/>
      <c r="JN4" s="29"/>
      <c r="JO4" s="29"/>
      <c r="JP4" s="29"/>
      <c r="JQ4" s="29"/>
      <c r="JR4" s="29"/>
      <c r="JS4" s="29"/>
      <c r="JT4" s="29"/>
      <c r="JU4" s="29"/>
      <c r="JV4" s="29"/>
      <c r="JW4" s="29"/>
      <c r="JX4" s="29"/>
      <c r="JY4" s="29"/>
      <c r="JZ4" s="29"/>
      <c r="KA4" s="29"/>
      <c r="KB4" s="29"/>
      <c r="KC4" s="29"/>
      <c r="KD4" s="29"/>
      <c r="KE4" s="29"/>
      <c r="KF4" s="29"/>
      <c r="KG4" s="29"/>
      <c r="KH4" s="29"/>
      <c r="KI4" s="29"/>
      <c r="KJ4" s="29"/>
      <c r="KK4" s="29"/>
      <c r="KL4" s="29"/>
      <c r="KM4" s="29"/>
      <c r="KN4" s="29"/>
      <c r="KO4" s="29"/>
      <c r="KP4" s="29"/>
      <c r="KQ4" s="29"/>
      <c r="KR4" s="29"/>
      <c r="KS4" s="29"/>
      <c r="KT4" s="29"/>
      <c r="KU4" s="29"/>
      <c r="KV4" s="29"/>
      <c r="KW4" s="29"/>
      <c r="KX4" s="29"/>
      <c r="KY4" s="29"/>
      <c r="KZ4" s="29"/>
      <c r="LA4" s="29"/>
      <c r="LB4" s="29"/>
      <c r="LC4" s="29"/>
      <c r="LD4" s="29"/>
      <c r="LE4" s="29"/>
      <c r="LF4" s="29"/>
      <c r="LG4" s="29"/>
      <c r="LH4" s="29"/>
      <c r="LI4" s="29"/>
      <c r="LJ4" s="29"/>
      <c r="LK4" s="29"/>
      <c r="LL4" s="29"/>
    </row>
    <row r="5" spans="1:324" s="339" customFormat="1" ht="16.8" thickTop="1">
      <c r="A5" s="280">
        <f>ROW()-4</f>
        <v>1</v>
      </c>
      <c r="B5" s="281"/>
      <c r="C5" s="282"/>
      <c r="D5" s="283" t="s">
        <v>226</v>
      </c>
      <c r="E5" s="283"/>
      <c r="F5" s="284"/>
      <c r="G5" s="285" t="s">
        <v>227</v>
      </c>
      <c r="H5" s="53" t="str">
        <f>MID(G5,4,3)</f>
        <v>中山區</v>
      </c>
      <c r="I5" s="286" t="s">
        <v>228</v>
      </c>
      <c r="J5" s="286" t="s">
        <v>240</v>
      </c>
      <c r="K5" s="286" t="s">
        <v>229</v>
      </c>
      <c r="L5" s="286">
        <v>31.76</v>
      </c>
      <c r="M5" s="287" t="str">
        <f>IF(G5&gt;0,"全部","")</f>
        <v>全部</v>
      </c>
      <c r="N5" s="288">
        <v>45955</v>
      </c>
      <c r="O5" s="288">
        <f>N5+364</f>
        <v>46319</v>
      </c>
      <c r="P5" s="288">
        <v>45955</v>
      </c>
      <c r="Q5" s="288">
        <f>P5+365+365+365</f>
        <v>47050</v>
      </c>
      <c r="R5" s="289">
        <v>18000</v>
      </c>
      <c r="S5" s="290">
        <v>21000</v>
      </c>
      <c r="T5" s="279">
        <v>46011</v>
      </c>
      <c r="U5" s="291">
        <v>3200</v>
      </c>
      <c r="V5" s="279">
        <v>46011</v>
      </c>
      <c r="W5" s="292"/>
      <c r="X5" s="279"/>
      <c r="Y5" s="293"/>
      <c r="Z5" s="279"/>
      <c r="AA5" s="294">
        <f>IF($EJ5=0,3000,4000)</f>
        <v>3000</v>
      </c>
      <c r="AB5" s="279">
        <v>46011</v>
      </c>
      <c r="AC5" s="294">
        <f>IF($EJ5=0,3000,4000)</f>
        <v>3000</v>
      </c>
      <c r="AD5" s="279" t="s">
        <v>283</v>
      </c>
      <c r="AE5" s="59">
        <f>AC5</f>
        <v>3000</v>
      </c>
      <c r="AF5" s="279" t="s">
        <v>298</v>
      </c>
      <c r="AG5" s="59">
        <f>AE5</f>
        <v>3000</v>
      </c>
      <c r="AH5" s="279">
        <v>46101</v>
      </c>
      <c r="AI5" s="533">
        <v>3000</v>
      </c>
      <c r="AJ5" s="279" t="s">
        <v>299</v>
      </c>
      <c r="AK5" s="533">
        <f>AI5</f>
        <v>3000</v>
      </c>
      <c r="AL5" s="279">
        <v>46162</v>
      </c>
      <c r="AM5" s="532">
        <v>3000</v>
      </c>
      <c r="AN5" s="279">
        <v>46195</v>
      </c>
      <c r="AO5" s="296">
        <v>3000</v>
      </c>
      <c r="AP5" s="279">
        <v>46223</v>
      </c>
      <c r="AQ5" s="531">
        <v>3000</v>
      </c>
      <c r="AR5" s="529">
        <v>46254</v>
      </c>
      <c r="AS5" s="295"/>
      <c r="AT5" s="279"/>
      <c r="AU5" s="295"/>
      <c r="AV5" s="279"/>
      <c r="AW5" s="295"/>
      <c r="AX5" s="279"/>
      <c r="AY5" s="297"/>
      <c r="AZ5" s="279"/>
      <c r="BA5" s="298"/>
      <c r="BB5" s="279"/>
      <c r="BC5" s="298"/>
      <c r="BD5" s="279"/>
      <c r="BE5" s="298"/>
      <c r="BF5" s="279"/>
      <c r="BG5" s="298"/>
      <c r="BH5" s="279"/>
      <c r="BI5" s="298"/>
      <c r="BJ5" s="279"/>
      <c r="BK5" s="298"/>
      <c r="BL5" s="279"/>
      <c r="BM5" s="298"/>
      <c r="BN5" s="279"/>
      <c r="BO5" s="298"/>
      <c r="BP5" s="279"/>
      <c r="BQ5" s="298"/>
      <c r="BR5" s="279"/>
      <c r="BS5" s="298"/>
      <c r="BT5" s="279"/>
      <c r="BU5" s="299"/>
      <c r="BV5" s="279"/>
      <c r="BW5" s="300"/>
      <c r="BX5" s="279"/>
      <c r="BY5" s="298"/>
      <c r="BZ5" s="279"/>
      <c r="CA5" s="298"/>
      <c r="CB5" s="279"/>
      <c r="CC5" s="298"/>
      <c r="CD5" s="279"/>
      <c r="CE5" s="298"/>
      <c r="CF5" s="279"/>
      <c r="CG5" s="298"/>
      <c r="CH5" s="279"/>
      <c r="CI5" s="298"/>
      <c r="CJ5" s="279"/>
      <c r="CK5" s="298"/>
      <c r="CL5" s="279"/>
      <c r="CM5" s="298"/>
      <c r="CN5" s="279"/>
      <c r="CO5" s="298"/>
      <c r="CP5" s="279"/>
      <c r="CQ5" s="298"/>
      <c r="CR5" s="279"/>
      <c r="CS5" s="299"/>
      <c r="CT5" s="279"/>
      <c r="CU5" s="301" t="s">
        <v>232</v>
      </c>
      <c r="CV5" s="302" t="s">
        <v>233</v>
      </c>
      <c r="CW5" s="423" t="s">
        <v>234</v>
      </c>
      <c r="CX5" s="303" t="s">
        <v>235</v>
      </c>
      <c r="CY5" s="424" t="s">
        <v>236</v>
      </c>
      <c r="CZ5" s="304"/>
      <c r="DA5" s="305"/>
      <c r="DB5" s="306">
        <v>850</v>
      </c>
      <c r="DC5" s="307">
        <v>46011</v>
      </c>
      <c r="DD5" s="428">
        <v>9150</v>
      </c>
      <c r="DE5" s="308" t="s">
        <v>283</v>
      </c>
      <c r="DF5" s="309"/>
      <c r="DG5" s="308"/>
      <c r="DH5" s="310"/>
      <c r="DI5" s="311"/>
      <c r="DJ5" s="426">
        <f>IF($EJ5=0,10000,15000)-DB5-DD5-DF5-DH5</f>
        <v>0</v>
      </c>
      <c r="DK5" s="313"/>
      <c r="DL5" s="314"/>
      <c r="DM5" s="315"/>
      <c r="DN5" s="316"/>
      <c r="DO5" s="316"/>
      <c r="DP5" s="316"/>
      <c r="DQ5" s="316"/>
      <c r="DR5" s="316"/>
      <c r="DS5" s="316"/>
      <c r="DT5" s="316"/>
      <c r="DU5" s="312">
        <f>IF($EJ5=0,10000,15000)-DM5-DO5-DQ5-DS5</f>
        <v>10000</v>
      </c>
      <c r="DV5" s="314"/>
      <c r="DW5" s="314"/>
      <c r="DX5" s="315"/>
      <c r="DY5" s="316"/>
      <c r="DZ5" s="316"/>
      <c r="EA5" s="316"/>
      <c r="EB5" s="316"/>
      <c r="EC5" s="316"/>
      <c r="ED5" s="316"/>
      <c r="EE5" s="316"/>
      <c r="EF5" s="312">
        <f>IF($EJ5=0,10000,15000)-DX5-DZ5-EB5-ED5</f>
        <v>10000</v>
      </c>
      <c r="EG5" s="314"/>
      <c r="EH5" s="314"/>
      <c r="EI5" s="317" t="s">
        <v>230</v>
      </c>
      <c r="EJ5" s="318">
        <v>0</v>
      </c>
      <c r="EK5" s="319" t="s">
        <v>231</v>
      </c>
      <c r="EL5" s="320" t="s">
        <v>237</v>
      </c>
      <c r="EM5" s="321" t="s">
        <v>238</v>
      </c>
      <c r="EN5" s="322"/>
      <c r="EO5" s="322"/>
      <c r="EP5" s="322"/>
      <c r="EQ5" s="322"/>
      <c r="ER5" s="322"/>
      <c r="ES5" s="322"/>
      <c r="ET5" s="322"/>
      <c r="EU5" s="322"/>
      <c r="EV5" s="323"/>
      <c r="EW5" s="324"/>
      <c r="EX5" s="322"/>
      <c r="EY5" s="322"/>
      <c r="EZ5" s="322"/>
      <c r="FA5" s="319"/>
      <c r="FB5" s="322"/>
      <c r="FC5" s="322"/>
      <c r="FD5" s="323"/>
      <c r="FE5" s="325"/>
      <c r="FF5" s="326"/>
      <c r="FG5" s="327"/>
      <c r="FH5" s="328"/>
      <c r="FI5" s="329"/>
      <c r="FJ5" s="330"/>
      <c r="FK5" s="325"/>
      <c r="FL5" s="331"/>
      <c r="FM5" s="332"/>
      <c r="FN5" s="333"/>
      <c r="FO5" s="332"/>
      <c r="FP5" s="333"/>
      <c r="FQ5" s="334"/>
      <c r="FR5" s="333"/>
      <c r="FS5" s="334"/>
      <c r="FT5" s="333"/>
      <c r="FU5" s="334"/>
      <c r="FV5" s="333"/>
      <c r="FW5" s="334"/>
      <c r="FX5" s="333"/>
      <c r="FY5" s="334"/>
      <c r="FZ5" s="333"/>
      <c r="GA5" s="334"/>
      <c r="GB5" s="333"/>
      <c r="GC5" s="334"/>
      <c r="GD5" s="333"/>
      <c r="GE5" s="334"/>
      <c r="GF5" s="333"/>
      <c r="GG5" s="334"/>
      <c r="GH5" s="335"/>
      <c r="GI5" s="336"/>
      <c r="GJ5" s="333"/>
      <c r="GK5" s="333"/>
      <c r="GL5" s="333"/>
      <c r="GM5" s="333"/>
      <c r="GN5" s="333"/>
      <c r="GO5" s="333"/>
      <c r="GP5" s="333"/>
      <c r="GQ5" s="333"/>
      <c r="GR5" s="333"/>
      <c r="GS5" s="333"/>
      <c r="GT5" s="333"/>
      <c r="GU5" s="333"/>
      <c r="GV5" s="333"/>
      <c r="GW5" s="333"/>
      <c r="GX5" s="333"/>
      <c r="GY5" s="333"/>
      <c r="GZ5" s="333"/>
      <c r="HA5" s="333"/>
      <c r="HB5" s="333"/>
      <c r="HC5" s="333"/>
      <c r="HD5" s="333"/>
      <c r="HE5" s="333"/>
      <c r="HF5" s="337"/>
      <c r="HG5" s="335"/>
      <c r="HH5" s="333"/>
      <c r="HI5" s="333"/>
      <c r="HJ5" s="333"/>
      <c r="HK5" s="333"/>
      <c r="HL5" s="333"/>
      <c r="HM5" s="333"/>
      <c r="HN5" s="333"/>
      <c r="HO5" s="333"/>
      <c r="HP5" s="333"/>
      <c r="HQ5" s="333"/>
      <c r="HR5" s="333"/>
      <c r="HS5" s="333"/>
      <c r="HT5" s="333"/>
      <c r="HU5" s="333"/>
      <c r="HV5" s="333"/>
      <c r="HW5" s="333"/>
      <c r="HX5" s="333"/>
      <c r="HY5" s="333"/>
      <c r="HZ5" s="333"/>
      <c r="IA5" s="333"/>
      <c r="IB5" s="333"/>
      <c r="IC5" s="333"/>
      <c r="ID5" s="338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</row>
    <row r="6" spans="1:324" s="70" customFormat="1">
      <c r="A6" s="195">
        <f>ROW()-4</f>
        <v>2</v>
      </c>
      <c r="B6" s="196"/>
      <c r="C6" s="49"/>
      <c r="D6" s="50" t="s">
        <v>266</v>
      </c>
      <c r="E6" s="50"/>
      <c r="F6" s="51"/>
      <c r="G6" s="197" t="s">
        <v>267</v>
      </c>
      <c r="H6" s="53" t="str">
        <f t="shared" ref="H6:H29" si="0">MID(G6,4,3)</f>
        <v>士林區</v>
      </c>
      <c r="I6" s="53" t="s">
        <v>268</v>
      </c>
      <c r="J6" s="429" t="s">
        <v>270</v>
      </c>
      <c r="K6" s="53" t="s">
        <v>269</v>
      </c>
      <c r="L6" s="53">
        <v>56.51</v>
      </c>
      <c r="M6" s="340" t="str">
        <f>IF(G6&gt;0,"全部","")</f>
        <v>全部</v>
      </c>
      <c r="N6" s="278">
        <v>45964</v>
      </c>
      <c r="O6" s="278">
        <f>N6+365+364+366</f>
        <v>47059</v>
      </c>
      <c r="P6" s="278">
        <v>45964</v>
      </c>
      <c r="Q6" s="278">
        <f>P6+365+364+366</f>
        <v>47059</v>
      </c>
      <c r="R6" s="72">
        <v>19500</v>
      </c>
      <c r="S6" s="170">
        <v>19000</v>
      </c>
      <c r="T6" s="279" t="s">
        <v>283</v>
      </c>
      <c r="U6" s="198">
        <v>4800</v>
      </c>
      <c r="V6" s="279" t="s">
        <v>283</v>
      </c>
      <c r="W6" s="199"/>
      <c r="X6" s="279"/>
      <c r="Y6" s="57"/>
      <c r="Z6" s="279"/>
      <c r="AA6" s="294">
        <f>IF($EJ6=0,3000,4000)</f>
        <v>3000</v>
      </c>
      <c r="AB6" s="279" t="s">
        <v>283</v>
      </c>
      <c r="AC6" s="59">
        <f>AA6</f>
        <v>3000</v>
      </c>
      <c r="AD6" s="279" t="s">
        <v>298</v>
      </c>
      <c r="AE6" s="59">
        <f>AC6</f>
        <v>3000</v>
      </c>
      <c r="AF6" s="279">
        <v>46101</v>
      </c>
      <c r="AG6" s="59">
        <f>AE6</f>
        <v>3000</v>
      </c>
      <c r="AH6" s="279" t="s">
        <v>300</v>
      </c>
      <c r="AI6" s="200">
        <f>AG6</f>
        <v>3000</v>
      </c>
      <c r="AJ6" s="279">
        <v>46162</v>
      </c>
      <c r="AK6" s="534">
        <v>3000</v>
      </c>
      <c r="AL6" s="279">
        <v>46195</v>
      </c>
      <c r="AM6" s="534">
        <v>3000</v>
      </c>
      <c r="AN6" s="279">
        <v>46223</v>
      </c>
      <c r="AO6" s="530">
        <v>3000</v>
      </c>
      <c r="AP6" s="529">
        <v>46254</v>
      </c>
      <c r="AQ6" s="530"/>
      <c r="AR6" s="529"/>
      <c r="AS6" s="59"/>
      <c r="AT6" s="279"/>
      <c r="AU6" s="59"/>
      <c r="AV6" s="279"/>
      <c r="AW6" s="59"/>
      <c r="AX6" s="279"/>
      <c r="AY6" s="201"/>
      <c r="AZ6" s="279"/>
      <c r="BA6" s="73"/>
      <c r="BB6" s="279"/>
      <c r="BC6" s="73"/>
      <c r="BD6" s="279"/>
      <c r="BE6" s="73"/>
      <c r="BF6" s="279"/>
      <c r="BG6" s="73"/>
      <c r="BH6" s="279"/>
      <c r="BI6" s="73"/>
      <c r="BJ6" s="279"/>
      <c r="BK6" s="73"/>
      <c r="BL6" s="279"/>
      <c r="BM6" s="73"/>
      <c r="BN6" s="279"/>
      <c r="BO6" s="73"/>
      <c r="BP6" s="279"/>
      <c r="BQ6" s="73"/>
      <c r="BR6" s="279"/>
      <c r="BS6" s="73"/>
      <c r="BT6" s="279"/>
      <c r="BU6" s="141"/>
      <c r="BV6" s="279"/>
      <c r="BW6" s="202"/>
      <c r="BX6" s="279"/>
      <c r="BY6" s="73"/>
      <c r="BZ6" s="279"/>
      <c r="CA6" s="73"/>
      <c r="CB6" s="279"/>
      <c r="CC6" s="73"/>
      <c r="CD6" s="279"/>
      <c r="CE6" s="73"/>
      <c r="CF6" s="279"/>
      <c r="CG6" s="73"/>
      <c r="CH6" s="279"/>
      <c r="CI6" s="73"/>
      <c r="CJ6" s="279"/>
      <c r="CK6" s="73"/>
      <c r="CL6" s="279"/>
      <c r="CM6" s="73"/>
      <c r="CN6" s="279"/>
      <c r="CO6" s="73"/>
      <c r="CP6" s="279"/>
      <c r="CQ6" s="73"/>
      <c r="CR6" s="279"/>
      <c r="CS6" s="141"/>
      <c r="CT6" s="279"/>
      <c r="CU6" s="74" t="s">
        <v>271</v>
      </c>
      <c r="CV6" s="75" t="s">
        <v>272</v>
      </c>
      <c r="CW6" s="164" t="s">
        <v>274</v>
      </c>
      <c r="CX6" s="166" t="s">
        <v>273</v>
      </c>
      <c r="CY6" s="425" t="s">
        <v>267</v>
      </c>
      <c r="CZ6" s="60"/>
      <c r="DA6" s="205"/>
      <c r="DB6" s="61"/>
      <c r="DC6" s="254"/>
      <c r="DD6" s="60"/>
      <c r="DE6" s="254"/>
      <c r="DF6" s="75"/>
      <c r="DG6" s="254"/>
      <c r="DH6" s="77"/>
      <c r="DI6" s="266"/>
      <c r="DJ6" s="427">
        <f>IF($EJ6=0,10000,15000)-DB6-DD6-DF6-DH6</f>
        <v>10000</v>
      </c>
      <c r="DK6" s="87">
        <v>1919</v>
      </c>
      <c r="DL6" s="76" t="s">
        <v>298</v>
      </c>
      <c r="DM6" s="209"/>
      <c r="DN6" s="63"/>
      <c r="DO6" s="63"/>
      <c r="DP6" s="63"/>
      <c r="DQ6" s="63"/>
      <c r="DR6" s="63"/>
      <c r="DS6" s="63"/>
      <c r="DT6" s="63"/>
      <c r="DU6" s="64"/>
      <c r="DV6" s="76"/>
      <c r="DW6" s="76"/>
      <c r="DX6" s="209"/>
      <c r="DY6" s="63"/>
      <c r="DZ6" s="63"/>
      <c r="EA6" s="63"/>
      <c r="EB6" s="63"/>
      <c r="EC6" s="63"/>
      <c r="ED6" s="63"/>
      <c r="EE6" s="63"/>
      <c r="EF6" s="64"/>
      <c r="EG6" s="76"/>
      <c r="EH6" s="76"/>
      <c r="EI6" s="210" t="s">
        <v>276</v>
      </c>
      <c r="EJ6" s="167">
        <v>0</v>
      </c>
      <c r="EK6" s="67" t="s">
        <v>277</v>
      </c>
      <c r="EL6" s="67">
        <v>7000021</v>
      </c>
      <c r="EM6" s="79" t="s">
        <v>275</v>
      </c>
      <c r="EN6" s="78" t="s">
        <v>278</v>
      </c>
      <c r="EO6" s="78" t="s">
        <v>279</v>
      </c>
      <c r="EP6" s="78" t="s">
        <v>280</v>
      </c>
      <c r="EQ6" s="78"/>
      <c r="ER6" s="78"/>
      <c r="ES6" s="78"/>
      <c r="ET6" s="78"/>
      <c r="EU6" s="78"/>
      <c r="EV6" s="80"/>
      <c r="EW6" s="81"/>
      <c r="EX6" s="78"/>
      <c r="EY6" s="78"/>
      <c r="EZ6" s="78"/>
      <c r="FA6" s="79"/>
      <c r="FB6" s="78"/>
      <c r="FC6" s="78"/>
      <c r="FD6" s="80"/>
      <c r="FE6" s="211"/>
      <c r="FF6" s="69"/>
      <c r="FG6" s="213"/>
      <c r="FH6" s="214"/>
      <c r="FI6" s="215"/>
      <c r="FJ6" s="212"/>
      <c r="FK6" s="211"/>
      <c r="FL6" s="217"/>
      <c r="FM6" s="83"/>
      <c r="FN6" s="219"/>
      <c r="FO6" s="83"/>
      <c r="FP6" s="219"/>
      <c r="FQ6" s="218"/>
      <c r="FR6" s="219"/>
      <c r="FS6" s="218"/>
      <c r="FT6" s="219"/>
      <c r="FU6" s="218"/>
      <c r="FV6" s="219"/>
      <c r="FW6" s="218"/>
      <c r="FX6" s="219"/>
      <c r="FY6" s="218"/>
      <c r="FZ6" s="219"/>
      <c r="GA6" s="218"/>
      <c r="GB6" s="219"/>
      <c r="GC6" s="218"/>
      <c r="GD6" s="219"/>
      <c r="GE6" s="218"/>
      <c r="GF6" s="219"/>
      <c r="GG6" s="218"/>
      <c r="GH6" s="220"/>
      <c r="GI6" s="221"/>
      <c r="GJ6" s="219"/>
      <c r="GK6" s="219"/>
      <c r="GL6" s="219"/>
      <c r="GM6" s="219"/>
      <c r="GN6" s="219"/>
      <c r="GO6" s="219"/>
      <c r="GP6" s="219"/>
      <c r="GQ6" s="219"/>
      <c r="GR6" s="219"/>
      <c r="GS6" s="219"/>
      <c r="GT6" s="219"/>
      <c r="GU6" s="219"/>
      <c r="GV6" s="219"/>
      <c r="GW6" s="219"/>
      <c r="GX6" s="219"/>
      <c r="GY6" s="219"/>
      <c r="GZ6" s="219"/>
      <c r="HA6" s="219"/>
      <c r="HB6" s="219"/>
      <c r="HC6" s="219"/>
      <c r="HD6" s="219"/>
      <c r="HE6" s="219"/>
      <c r="HF6" s="222"/>
      <c r="HG6" s="220"/>
      <c r="HH6" s="219"/>
      <c r="HI6" s="219"/>
      <c r="HJ6" s="219"/>
      <c r="HK6" s="219"/>
      <c r="HL6" s="219"/>
      <c r="HM6" s="219"/>
      <c r="HN6" s="219"/>
      <c r="HO6" s="219"/>
      <c r="HP6" s="219"/>
      <c r="HQ6" s="219"/>
      <c r="HR6" s="219"/>
      <c r="HS6" s="219"/>
      <c r="HT6" s="219"/>
      <c r="HU6" s="219"/>
      <c r="HV6" s="219"/>
      <c r="HW6" s="219"/>
      <c r="HX6" s="219"/>
      <c r="HY6" s="219"/>
      <c r="HZ6" s="219"/>
      <c r="IA6" s="219"/>
      <c r="IB6" s="219"/>
      <c r="IC6" s="219"/>
      <c r="ID6" s="223"/>
      <c r="IE6" s="29"/>
      <c r="IF6" s="29"/>
      <c r="IG6" s="29"/>
      <c r="IH6" s="29"/>
      <c r="II6" s="29"/>
      <c r="IJ6" s="29"/>
      <c r="IK6" s="29"/>
      <c r="IL6" s="29"/>
      <c r="IM6" s="29"/>
      <c r="IN6" s="29"/>
      <c r="IO6" s="29"/>
      <c r="IP6" s="29"/>
      <c r="IQ6" s="29"/>
      <c r="IR6" s="29"/>
      <c r="IS6" s="29"/>
      <c r="IT6" s="29"/>
      <c r="IU6" s="29"/>
      <c r="IV6" s="29"/>
      <c r="IW6" s="29"/>
      <c r="IX6" s="29"/>
      <c r="IY6" s="29"/>
      <c r="IZ6" s="29"/>
      <c r="JA6" s="29"/>
      <c r="JB6" s="29"/>
      <c r="JC6" s="29"/>
      <c r="JD6" s="29"/>
      <c r="JE6" s="29"/>
      <c r="JF6" s="29"/>
      <c r="JG6" s="29"/>
      <c r="JH6" s="29"/>
      <c r="JI6" s="29"/>
      <c r="JJ6" s="29"/>
      <c r="JK6" s="29"/>
      <c r="JL6" s="29"/>
      <c r="JM6" s="29"/>
      <c r="JN6" s="29"/>
      <c r="JO6" s="29"/>
      <c r="JP6" s="29"/>
      <c r="JQ6" s="29"/>
      <c r="JR6" s="29"/>
      <c r="JS6" s="29"/>
      <c r="JT6" s="29"/>
      <c r="JU6" s="29"/>
      <c r="JV6" s="29"/>
      <c r="JW6" s="29"/>
      <c r="JX6" s="29"/>
      <c r="JY6" s="29"/>
      <c r="JZ6" s="29"/>
      <c r="KA6" s="29"/>
      <c r="KB6" s="29"/>
      <c r="KC6" s="29"/>
      <c r="KD6" s="29"/>
      <c r="KE6" s="29"/>
      <c r="KF6" s="29"/>
      <c r="KG6" s="29"/>
      <c r="KH6" s="29"/>
      <c r="KI6" s="29"/>
      <c r="KJ6" s="29"/>
      <c r="KK6" s="29"/>
      <c r="KL6" s="29"/>
      <c r="KM6" s="29"/>
      <c r="KN6" s="29"/>
      <c r="KO6" s="29"/>
      <c r="KP6" s="29"/>
      <c r="KQ6" s="29"/>
      <c r="KR6" s="29"/>
      <c r="KS6" s="29"/>
      <c r="KT6" s="29"/>
      <c r="KU6" s="29"/>
      <c r="KV6" s="29"/>
      <c r="KW6" s="29"/>
      <c r="KX6" s="29"/>
      <c r="KY6" s="29"/>
      <c r="KZ6" s="29"/>
      <c r="LA6" s="29"/>
      <c r="LB6" s="29"/>
      <c r="LC6" s="29"/>
      <c r="LD6" s="29"/>
      <c r="LE6" s="29"/>
      <c r="LF6" s="29"/>
      <c r="LG6" s="29"/>
      <c r="LH6" s="29"/>
      <c r="LI6" s="29"/>
      <c r="LJ6" s="29"/>
      <c r="LK6" s="29"/>
    </row>
    <row r="7" spans="1:324" s="70" customFormat="1">
      <c r="A7" s="195">
        <f t="shared" ref="A7:A13" si="1">ROW()-4</f>
        <v>3</v>
      </c>
      <c r="B7" s="196"/>
      <c r="C7" s="49"/>
      <c r="D7" s="50"/>
      <c r="E7" s="50"/>
      <c r="F7" s="51"/>
      <c r="G7" s="197"/>
      <c r="H7" s="53" t="str">
        <f t="shared" si="0"/>
        <v/>
      </c>
      <c r="I7" s="53"/>
      <c r="J7" s="53"/>
      <c r="K7" s="53"/>
      <c r="L7" s="53"/>
      <c r="M7" s="340" t="str">
        <f t="shared" ref="M7:M29" si="2">IF(G7&gt;0,"全部","")</f>
        <v/>
      </c>
      <c r="N7" s="278"/>
      <c r="O7" s="278"/>
      <c r="P7" s="278"/>
      <c r="Q7" s="278"/>
      <c r="R7" s="72"/>
      <c r="S7" s="170"/>
      <c r="T7" s="279"/>
      <c r="U7" s="198"/>
      <c r="V7" s="279"/>
      <c r="W7" s="199"/>
      <c r="X7" s="279"/>
      <c r="Y7" s="57"/>
      <c r="Z7" s="279"/>
      <c r="AA7" s="200"/>
      <c r="AB7" s="279"/>
      <c r="AC7" s="59"/>
      <c r="AD7" s="279"/>
      <c r="AE7" s="59"/>
      <c r="AF7" s="279"/>
      <c r="AG7" s="59"/>
      <c r="AH7" s="279"/>
      <c r="AI7" s="265"/>
      <c r="AJ7" s="279"/>
      <c r="AK7" s="59"/>
      <c r="AL7" s="279"/>
      <c r="AM7" s="59"/>
      <c r="AN7" s="279"/>
      <c r="AO7" s="59"/>
      <c r="AP7" s="279"/>
      <c r="AQ7" s="59"/>
      <c r="AR7" s="279"/>
      <c r="AS7" s="59"/>
      <c r="AT7" s="279"/>
      <c r="AU7" s="59"/>
      <c r="AV7" s="279"/>
      <c r="AW7" s="59"/>
      <c r="AX7" s="279"/>
      <c r="AY7" s="201"/>
      <c r="AZ7" s="279"/>
      <c r="BA7" s="73"/>
      <c r="BB7" s="279"/>
      <c r="BC7" s="73"/>
      <c r="BD7" s="279"/>
      <c r="BE7" s="73"/>
      <c r="BF7" s="279"/>
      <c r="BG7" s="73"/>
      <c r="BH7" s="279"/>
      <c r="BI7" s="73"/>
      <c r="BJ7" s="279"/>
      <c r="BK7" s="73"/>
      <c r="BL7" s="279"/>
      <c r="BM7" s="73"/>
      <c r="BN7" s="279"/>
      <c r="BO7" s="73"/>
      <c r="BP7" s="279"/>
      <c r="BQ7" s="73"/>
      <c r="BR7" s="279"/>
      <c r="BS7" s="73"/>
      <c r="BT7" s="279"/>
      <c r="BU7" s="141"/>
      <c r="BV7" s="279"/>
      <c r="BW7" s="202"/>
      <c r="BX7" s="279"/>
      <c r="BY7" s="73"/>
      <c r="BZ7" s="279"/>
      <c r="CA7" s="73"/>
      <c r="CB7" s="279"/>
      <c r="CC7" s="73"/>
      <c r="CD7" s="279"/>
      <c r="CE7" s="73"/>
      <c r="CF7" s="279"/>
      <c r="CG7" s="73"/>
      <c r="CH7" s="279"/>
      <c r="CI7" s="73"/>
      <c r="CJ7" s="279"/>
      <c r="CK7" s="73"/>
      <c r="CL7" s="279"/>
      <c r="CM7" s="73"/>
      <c r="CN7" s="279"/>
      <c r="CO7" s="73"/>
      <c r="CP7" s="279"/>
      <c r="CQ7" s="73"/>
      <c r="CR7" s="279"/>
      <c r="CS7" s="141"/>
      <c r="CT7" s="279"/>
      <c r="CU7" s="74"/>
      <c r="CV7" s="75"/>
      <c r="CW7" s="164"/>
      <c r="CX7" s="166"/>
      <c r="CY7" s="425"/>
      <c r="CZ7" s="60"/>
      <c r="DA7" s="205"/>
      <c r="DB7" s="61"/>
      <c r="DC7" s="254"/>
      <c r="DD7" s="60"/>
      <c r="DE7" s="254"/>
      <c r="DF7" s="75"/>
      <c r="DG7" s="254"/>
      <c r="DH7" s="77"/>
      <c r="DI7" s="266"/>
      <c r="DJ7" s="427">
        <f t="shared" ref="DJ7:DJ29" si="3">IF($EJ7=0,10000,15000)-DB7-DD7-DF7-DH7</f>
        <v>10000</v>
      </c>
      <c r="DK7" s="139"/>
      <c r="DL7" s="76"/>
      <c r="DM7" s="209"/>
      <c r="DN7" s="63"/>
      <c r="DO7" s="63"/>
      <c r="DP7" s="63"/>
      <c r="DQ7" s="63"/>
      <c r="DR7" s="63"/>
      <c r="DS7" s="63"/>
      <c r="DT7" s="63"/>
      <c r="DU7" s="64"/>
      <c r="DV7" s="76"/>
      <c r="DW7" s="76"/>
      <c r="DX7" s="209"/>
      <c r="DY7" s="63"/>
      <c r="DZ7" s="63"/>
      <c r="EA7" s="63"/>
      <c r="EB7" s="63"/>
      <c r="EC7" s="63"/>
      <c r="ED7" s="63"/>
      <c r="EE7" s="63"/>
      <c r="EF7" s="64"/>
      <c r="EG7" s="76"/>
      <c r="EH7" s="76"/>
      <c r="EI7" s="210"/>
      <c r="EJ7" s="167"/>
      <c r="EK7" s="67"/>
      <c r="EL7" s="67"/>
      <c r="EM7" s="79"/>
      <c r="EN7" s="78"/>
      <c r="EO7" s="78"/>
      <c r="EP7" s="78"/>
      <c r="EQ7" s="78"/>
      <c r="ER7" s="78"/>
      <c r="ES7" s="78"/>
      <c r="ET7" s="78"/>
      <c r="EU7" s="78"/>
      <c r="EV7" s="80"/>
      <c r="EW7" s="81"/>
      <c r="EX7" s="78"/>
      <c r="EY7" s="78"/>
      <c r="EZ7" s="78"/>
      <c r="FA7" s="79"/>
      <c r="FB7" s="78"/>
      <c r="FC7" s="78"/>
      <c r="FD7" s="80"/>
      <c r="FE7" s="211"/>
      <c r="FF7" s="69"/>
      <c r="FG7" s="213"/>
      <c r="FH7" s="214"/>
      <c r="FI7" s="215"/>
      <c r="FJ7" s="212"/>
      <c r="FK7" s="211"/>
      <c r="FL7" s="217"/>
      <c r="FM7" s="83"/>
      <c r="FN7" s="219"/>
      <c r="FO7" s="83"/>
      <c r="FP7" s="219"/>
      <c r="FQ7" s="218"/>
      <c r="FR7" s="219"/>
      <c r="FS7" s="218"/>
      <c r="FT7" s="219"/>
      <c r="FU7" s="218"/>
      <c r="FV7" s="219"/>
      <c r="FW7" s="218"/>
      <c r="FX7" s="219"/>
      <c r="FY7" s="218"/>
      <c r="FZ7" s="219"/>
      <c r="GA7" s="218"/>
      <c r="GB7" s="219"/>
      <c r="GC7" s="218"/>
      <c r="GD7" s="219"/>
      <c r="GE7" s="218"/>
      <c r="GF7" s="219"/>
      <c r="GG7" s="218"/>
      <c r="GH7" s="220"/>
      <c r="GI7" s="221"/>
      <c r="GJ7" s="219"/>
      <c r="GK7" s="219"/>
      <c r="GL7" s="219"/>
      <c r="GM7" s="219"/>
      <c r="GN7" s="219"/>
      <c r="GO7" s="219"/>
      <c r="GP7" s="219"/>
      <c r="GQ7" s="219"/>
      <c r="GR7" s="219"/>
      <c r="GS7" s="219"/>
      <c r="GT7" s="219"/>
      <c r="GU7" s="219"/>
      <c r="GV7" s="219"/>
      <c r="GW7" s="219"/>
      <c r="GX7" s="219"/>
      <c r="GY7" s="219"/>
      <c r="GZ7" s="219"/>
      <c r="HA7" s="219"/>
      <c r="HB7" s="219"/>
      <c r="HC7" s="219"/>
      <c r="HD7" s="219"/>
      <c r="HE7" s="219"/>
      <c r="HF7" s="222"/>
      <c r="HG7" s="220"/>
      <c r="HH7" s="219"/>
      <c r="HI7" s="219"/>
      <c r="HJ7" s="219"/>
      <c r="HK7" s="219"/>
      <c r="HL7" s="219"/>
      <c r="HM7" s="219"/>
      <c r="HN7" s="219"/>
      <c r="HO7" s="219"/>
      <c r="HP7" s="219"/>
      <c r="HQ7" s="219"/>
      <c r="HR7" s="219"/>
      <c r="HS7" s="219"/>
      <c r="HT7" s="219"/>
      <c r="HU7" s="219"/>
      <c r="HV7" s="219"/>
      <c r="HW7" s="219"/>
      <c r="HX7" s="219"/>
      <c r="HY7" s="219"/>
      <c r="HZ7" s="219"/>
      <c r="IA7" s="219"/>
      <c r="IB7" s="219"/>
      <c r="IC7" s="219"/>
      <c r="ID7" s="223"/>
      <c r="IE7" s="29"/>
      <c r="IF7" s="29"/>
      <c r="IG7" s="29"/>
      <c r="IH7" s="29"/>
      <c r="II7" s="29"/>
      <c r="IJ7" s="29"/>
      <c r="IK7" s="29"/>
      <c r="IL7" s="29"/>
      <c r="IM7" s="29"/>
      <c r="IN7" s="29"/>
      <c r="IO7" s="29"/>
      <c r="IP7" s="29"/>
      <c r="IQ7" s="29"/>
      <c r="IR7" s="29"/>
      <c r="IS7" s="29"/>
      <c r="IT7" s="29"/>
      <c r="IU7" s="29"/>
      <c r="IV7" s="29"/>
      <c r="IW7" s="29"/>
      <c r="IX7" s="29"/>
      <c r="IY7" s="29"/>
      <c r="IZ7" s="29"/>
      <c r="JA7" s="29"/>
      <c r="JB7" s="29"/>
      <c r="JC7" s="29"/>
      <c r="JD7" s="29"/>
      <c r="JE7" s="29"/>
      <c r="JF7" s="29"/>
      <c r="JG7" s="29"/>
      <c r="JH7" s="29"/>
      <c r="JI7" s="29"/>
      <c r="JJ7" s="29"/>
      <c r="JK7" s="29"/>
      <c r="JL7" s="29"/>
      <c r="JM7" s="29"/>
      <c r="JN7" s="29"/>
      <c r="JO7" s="29"/>
      <c r="JP7" s="29"/>
      <c r="JQ7" s="29"/>
      <c r="JR7" s="29"/>
      <c r="JS7" s="29"/>
      <c r="JT7" s="29"/>
      <c r="JU7" s="29"/>
      <c r="JV7" s="29"/>
      <c r="JW7" s="29"/>
      <c r="JX7" s="29"/>
      <c r="JY7" s="29"/>
      <c r="JZ7" s="29"/>
      <c r="KA7" s="29"/>
      <c r="KB7" s="29"/>
      <c r="KC7" s="29"/>
      <c r="KD7" s="29"/>
      <c r="KE7" s="29"/>
      <c r="KF7" s="29"/>
      <c r="KG7" s="29"/>
      <c r="KH7" s="29"/>
      <c r="KI7" s="29"/>
      <c r="KJ7" s="29"/>
      <c r="KK7" s="29"/>
      <c r="KL7" s="29"/>
      <c r="KM7" s="29"/>
      <c r="KN7" s="29"/>
      <c r="KO7" s="29"/>
      <c r="KP7" s="29"/>
      <c r="KQ7" s="29"/>
      <c r="KR7" s="29"/>
      <c r="KS7" s="29"/>
      <c r="KT7" s="29"/>
      <c r="KU7" s="29"/>
      <c r="KV7" s="29"/>
      <c r="KW7" s="29"/>
      <c r="KX7" s="29"/>
      <c r="KY7" s="29"/>
      <c r="KZ7" s="29"/>
      <c r="LA7" s="29"/>
      <c r="LB7" s="29"/>
      <c r="LC7" s="29"/>
      <c r="LD7" s="29"/>
      <c r="LE7" s="29"/>
      <c r="LF7" s="29"/>
      <c r="LG7" s="29"/>
      <c r="LH7" s="29"/>
      <c r="LI7" s="29"/>
      <c r="LJ7" s="29"/>
      <c r="LK7" s="29"/>
    </row>
    <row r="8" spans="1:324" s="70" customFormat="1">
      <c r="A8" s="195">
        <f t="shared" si="1"/>
        <v>4</v>
      </c>
      <c r="B8" s="196"/>
      <c r="C8" s="49"/>
      <c r="D8" s="50"/>
      <c r="E8" s="50"/>
      <c r="F8" s="51"/>
      <c r="G8" s="197"/>
      <c r="H8" s="53" t="str">
        <f t="shared" si="0"/>
        <v/>
      </c>
      <c r="I8" s="53"/>
      <c r="J8" s="53"/>
      <c r="K8" s="53"/>
      <c r="L8" s="53"/>
      <c r="M8" s="340" t="str">
        <f t="shared" si="2"/>
        <v/>
      </c>
      <c r="N8" s="278"/>
      <c r="O8" s="278"/>
      <c r="P8" s="278"/>
      <c r="Q8" s="278"/>
      <c r="R8" s="72"/>
      <c r="S8" s="170"/>
      <c r="T8" s="279"/>
      <c r="U8" s="198"/>
      <c r="V8" s="279"/>
      <c r="W8" s="199"/>
      <c r="X8" s="279"/>
      <c r="Y8" s="57"/>
      <c r="Z8" s="279"/>
      <c r="AA8" s="200"/>
      <c r="AB8" s="279"/>
      <c r="AC8" s="59"/>
      <c r="AD8" s="279"/>
      <c r="AE8" s="59"/>
      <c r="AF8" s="279"/>
      <c r="AG8" s="59"/>
      <c r="AH8" s="279"/>
      <c r="AI8" s="265"/>
      <c r="AJ8" s="279"/>
      <c r="AK8" s="59"/>
      <c r="AL8" s="279"/>
      <c r="AM8" s="59"/>
      <c r="AN8" s="279"/>
      <c r="AO8" s="59"/>
      <c r="AP8" s="279"/>
      <c r="AQ8" s="59"/>
      <c r="AR8" s="279"/>
      <c r="AS8" s="59"/>
      <c r="AT8" s="279"/>
      <c r="AU8" s="59"/>
      <c r="AV8" s="279"/>
      <c r="AW8" s="59"/>
      <c r="AX8" s="279"/>
      <c r="AY8" s="201"/>
      <c r="AZ8" s="279"/>
      <c r="BA8" s="73"/>
      <c r="BB8" s="279"/>
      <c r="BC8" s="73"/>
      <c r="BD8" s="279"/>
      <c r="BE8" s="73"/>
      <c r="BF8" s="279"/>
      <c r="BG8" s="73"/>
      <c r="BH8" s="279"/>
      <c r="BI8" s="73"/>
      <c r="BJ8" s="279"/>
      <c r="BK8" s="73"/>
      <c r="BL8" s="279"/>
      <c r="BM8" s="73"/>
      <c r="BN8" s="279"/>
      <c r="BO8" s="73"/>
      <c r="BP8" s="279"/>
      <c r="BQ8" s="73"/>
      <c r="BR8" s="279"/>
      <c r="BS8" s="73"/>
      <c r="BT8" s="279"/>
      <c r="BU8" s="141"/>
      <c r="BV8" s="279"/>
      <c r="BW8" s="202"/>
      <c r="BX8" s="279"/>
      <c r="BY8" s="73"/>
      <c r="BZ8" s="279"/>
      <c r="CA8" s="73"/>
      <c r="CB8" s="279"/>
      <c r="CC8" s="73"/>
      <c r="CD8" s="279"/>
      <c r="CE8" s="73"/>
      <c r="CF8" s="279"/>
      <c r="CG8" s="73"/>
      <c r="CH8" s="279"/>
      <c r="CI8" s="73"/>
      <c r="CJ8" s="279"/>
      <c r="CK8" s="73"/>
      <c r="CL8" s="279"/>
      <c r="CM8" s="73"/>
      <c r="CN8" s="279"/>
      <c r="CO8" s="73"/>
      <c r="CP8" s="279"/>
      <c r="CQ8" s="73"/>
      <c r="CR8" s="279"/>
      <c r="CS8" s="141"/>
      <c r="CT8" s="279"/>
      <c r="CU8" s="74"/>
      <c r="CV8" s="75"/>
      <c r="CW8" s="164"/>
      <c r="CX8" s="166"/>
      <c r="CY8" s="425"/>
      <c r="CZ8" s="60"/>
      <c r="DA8" s="205"/>
      <c r="DB8" s="61"/>
      <c r="DC8" s="254"/>
      <c r="DD8" s="60"/>
      <c r="DE8" s="254"/>
      <c r="DF8" s="75"/>
      <c r="DG8" s="254"/>
      <c r="DH8" s="77"/>
      <c r="DI8" s="266"/>
      <c r="DJ8" s="427">
        <f t="shared" si="3"/>
        <v>10000</v>
      </c>
      <c r="DK8" s="139"/>
      <c r="DL8" s="76"/>
      <c r="DM8" s="209"/>
      <c r="DN8" s="63"/>
      <c r="DO8" s="63"/>
      <c r="DP8" s="63"/>
      <c r="DQ8" s="63"/>
      <c r="DR8" s="63"/>
      <c r="DS8" s="63"/>
      <c r="DT8" s="63"/>
      <c r="DU8" s="64"/>
      <c r="DV8" s="76"/>
      <c r="DW8" s="76"/>
      <c r="DX8" s="209"/>
      <c r="DY8" s="63"/>
      <c r="DZ8" s="63"/>
      <c r="EA8" s="63"/>
      <c r="EB8" s="63"/>
      <c r="EC8" s="63"/>
      <c r="ED8" s="63"/>
      <c r="EE8" s="63"/>
      <c r="EF8" s="64"/>
      <c r="EG8" s="76"/>
      <c r="EH8" s="76"/>
      <c r="EI8" s="210"/>
      <c r="EJ8" s="167"/>
      <c r="EK8" s="67"/>
      <c r="EL8" s="67"/>
      <c r="EM8" s="79"/>
      <c r="EN8" s="78"/>
      <c r="EO8" s="78"/>
      <c r="EP8" s="78"/>
      <c r="EQ8" s="78"/>
      <c r="ER8" s="78"/>
      <c r="ES8" s="78"/>
      <c r="ET8" s="78"/>
      <c r="EU8" s="78"/>
      <c r="EV8" s="80"/>
      <c r="EW8" s="81"/>
      <c r="EX8" s="78"/>
      <c r="EY8" s="78"/>
      <c r="EZ8" s="78"/>
      <c r="FA8" s="79"/>
      <c r="FB8" s="78"/>
      <c r="FC8" s="78"/>
      <c r="FD8" s="80"/>
      <c r="FE8" s="211"/>
      <c r="FF8" s="69"/>
      <c r="FG8" s="213"/>
      <c r="FH8" s="214"/>
      <c r="FI8" s="215"/>
      <c r="FJ8" s="212"/>
      <c r="FK8" s="211"/>
      <c r="FL8" s="217"/>
      <c r="FM8" s="83"/>
      <c r="FN8" s="219"/>
      <c r="FO8" s="83"/>
      <c r="FP8" s="219"/>
      <c r="FQ8" s="218"/>
      <c r="FR8" s="219"/>
      <c r="FS8" s="218"/>
      <c r="FT8" s="219"/>
      <c r="FU8" s="218"/>
      <c r="FV8" s="219"/>
      <c r="FW8" s="218"/>
      <c r="FX8" s="219"/>
      <c r="FY8" s="218"/>
      <c r="FZ8" s="219"/>
      <c r="GA8" s="218"/>
      <c r="GB8" s="219"/>
      <c r="GC8" s="218"/>
      <c r="GD8" s="219"/>
      <c r="GE8" s="218"/>
      <c r="GF8" s="219"/>
      <c r="GG8" s="218"/>
      <c r="GH8" s="220"/>
      <c r="GI8" s="221"/>
      <c r="GJ8" s="219"/>
      <c r="GK8" s="219"/>
      <c r="GL8" s="219"/>
      <c r="GM8" s="219"/>
      <c r="GN8" s="219"/>
      <c r="GO8" s="219"/>
      <c r="GP8" s="219"/>
      <c r="GQ8" s="219"/>
      <c r="GR8" s="219"/>
      <c r="GS8" s="219"/>
      <c r="GT8" s="219"/>
      <c r="GU8" s="219"/>
      <c r="GV8" s="219"/>
      <c r="GW8" s="219"/>
      <c r="GX8" s="219"/>
      <c r="GY8" s="219"/>
      <c r="GZ8" s="219"/>
      <c r="HA8" s="219"/>
      <c r="HB8" s="219"/>
      <c r="HC8" s="219"/>
      <c r="HD8" s="219"/>
      <c r="HE8" s="219"/>
      <c r="HF8" s="222"/>
      <c r="HG8" s="220"/>
      <c r="HH8" s="219"/>
      <c r="HI8" s="219"/>
      <c r="HJ8" s="219"/>
      <c r="HK8" s="219"/>
      <c r="HL8" s="219"/>
      <c r="HM8" s="219"/>
      <c r="HN8" s="219"/>
      <c r="HO8" s="219"/>
      <c r="HP8" s="219"/>
      <c r="HQ8" s="219"/>
      <c r="HR8" s="219"/>
      <c r="HS8" s="219"/>
      <c r="HT8" s="219"/>
      <c r="HU8" s="219"/>
      <c r="HV8" s="219"/>
      <c r="HW8" s="219"/>
      <c r="HX8" s="219"/>
      <c r="HY8" s="219"/>
      <c r="HZ8" s="219"/>
      <c r="IA8" s="219"/>
      <c r="IB8" s="219"/>
      <c r="IC8" s="219"/>
      <c r="ID8" s="223"/>
      <c r="IE8" s="29"/>
      <c r="IF8" s="29"/>
      <c r="IG8" s="29"/>
      <c r="IH8" s="29"/>
      <c r="II8" s="29"/>
      <c r="IJ8" s="29"/>
      <c r="IK8" s="29"/>
      <c r="IL8" s="29"/>
      <c r="IM8" s="29"/>
      <c r="IN8" s="29"/>
      <c r="IO8" s="29"/>
      <c r="IP8" s="29"/>
      <c r="IQ8" s="29"/>
      <c r="IR8" s="29"/>
      <c r="IS8" s="29"/>
      <c r="IT8" s="29"/>
      <c r="IU8" s="29"/>
      <c r="IV8" s="29"/>
      <c r="IW8" s="29"/>
      <c r="IX8" s="29"/>
      <c r="IY8" s="29"/>
      <c r="IZ8" s="29"/>
      <c r="JA8" s="29"/>
      <c r="JB8" s="29"/>
      <c r="JC8" s="29"/>
      <c r="JD8" s="29"/>
      <c r="JE8" s="29"/>
      <c r="JF8" s="29"/>
      <c r="JG8" s="29"/>
      <c r="JH8" s="29"/>
      <c r="JI8" s="29"/>
      <c r="JJ8" s="29"/>
      <c r="JK8" s="29"/>
      <c r="JL8" s="29"/>
      <c r="JM8" s="29"/>
      <c r="JN8" s="29"/>
      <c r="JO8" s="29"/>
      <c r="JP8" s="29"/>
      <c r="JQ8" s="29"/>
      <c r="JR8" s="29"/>
      <c r="JS8" s="29"/>
      <c r="JT8" s="29"/>
      <c r="JU8" s="29"/>
      <c r="JV8" s="29"/>
      <c r="JW8" s="29"/>
      <c r="JX8" s="29"/>
      <c r="JY8" s="29"/>
      <c r="JZ8" s="29"/>
      <c r="KA8" s="29"/>
      <c r="KB8" s="29"/>
      <c r="KC8" s="29"/>
      <c r="KD8" s="29"/>
      <c r="KE8" s="29"/>
      <c r="KF8" s="29"/>
      <c r="KG8" s="29"/>
      <c r="KH8" s="29"/>
      <c r="KI8" s="29"/>
      <c r="KJ8" s="29"/>
      <c r="KK8" s="29"/>
      <c r="KL8" s="29"/>
      <c r="KM8" s="29"/>
      <c r="KN8" s="29"/>
      <c r="KO8" s="29"/>
      <c r="KP8" s="29"/>
      <c r="KQ8" s="29"/>
      <c r="KR8" s="29"/>
      <c r="KS8" s="29"/>
      <c r="KT8" s="29"/>
      <c r="KU8" s="29"/>
      <c r="KV8" s="29"/>
      <c r="KW8" s="29"/>
      <c r="KX8" s="29"/>
      <c r="KY8" s="29"/>
      <c r="KZ8" s="29"/>
      <c r="LA8" s="29"/>
      <c r="LB8" s="29"/>
      <c r="LC8" s="29"/>
      <c r="LD8" s="29"/>
      <c r="LE8" s="29"/>
      <c r="LF8" s="29"/>
      <c r="LG8" s="29"/>
      <c r="LH8" s="29"/>
      <c r="LI8" s="29"/>
      <c r="LJ8" s="29"/>
      <c r="LK8" s="29"/>
    </row>
    <row r="9" spans="1:324" s="70" customFormat="1">
      <c r="A9" s="195">
        <f t="shared" si="1"/>
        <v>5</v>
      </c>
      <c r="B9" s="196"/>
      <c r="C9" s="49"/>
      <c r="D9" s="50"/>
      <c r="E9" s="50"/>
      <c r="F9" s="51"/>
      <c r="G9" s="197"/>
      <c r="H9" s="53" t="str">
        <f t="shared" si="0"/>
        <v/>
      </c>
      <c r="I9" s="53"/>
      <c r="J9" s="53"/>
      <c r="K9" s="53"/>
      <c r="L9" s="53"/>
      <c r="M9" s="340" t="str">
        <f t="shared" si="2"/>
        <v/>
      </c>
      <c r="N9" s="278"/>
      <c r="O9" s="278"/>
      <c r="P9" s="278"/>
      <c r="Q9" s="278"/>
      <c r="R9" s="72"/>
      <c r="S9" s="170"/>
      <c r="T9" s="279"/>
      <c r="U9" s="198"/>
      <c r="V9" s="279"/>
      <c r="W9" s="199"/>
      <c r="X9" s="279"/>
      <c r="Y9" s="57"/>
      <c r="Z9" s="279"/>
      <c r="AA9" s="200"/>
      <c r="AB9" s="279"/>
      <c r="AC9" s="59"/>
      <c r="AD9" s="279"/>
      <c r="AE9" s="59"/>
      <c r="AF9" s="279"/>
      <c r="AG9" s="59"/>
      <c r="AH9" s="279"/>
      <c r="AI9" s="265"/>
      <c r="AJ9" s="279"/>
      <c r="AK9" s="59"/>
      <c r="AL9" s="279"/>
      <c r="AM9" s="59"/>
      <c r="AN9" s="279"/>
      <c r="AO9" s="59"/>
      <c r="AP9" s="279"/>
      <c r="AQ9" s="59"/>
      <c r="AR9" s="279"/>
      <c r="AS9" s="59"/>
      <c r="AT9" s="279"/>
      <c r="AU9" s="59"/>
      <c r="AV9" s="279"/>
      <c r="AW9" s="59"/>
      <c r="AX9" s="279"/>
      <c r="AY9" s="201"/>
      <c r="AZ9" s="279"/>
      <c r="BA9" s="73"/>
      <c r="BB9" s="279"/>
      <c r="BC9" s="73"/>
      <c r="BD9" s="279"/>
      <c r="BE9" s="73"/>
      <c r="BF9" s="279"/>
      <c r="BG9" s="73"/>
      <c r="BH9" s="279"/>
      <c r="BI9" s="73"/>
      <c r="BJ9" s="279"/>
      <c r="BK9" s="73"/>
      <c r="BL9" s="279"/>
      <c r="BM9" s="73"/>
      <c r="BN9" s="279"/>
      <c r="BO9" s="73"/>
      <c r="BP9" s="279"/>
      <c r="BQ9" s="73"/>
      <c r="BR9" s="279"/>
      <c r="BS9" s="73"/>
      <c r="BT9" s="279"/>
      <c r="BU9" s="141"/>
      <c r="BV9" s="279"/>
      <c r="BW9" s="202"/>
      <c r="BX9" s="279"/>
      <c r="BY9" s="73"/>
      <c r="BZ9" s="279"/>
      <c r="CA9" s="73"/>
      <c r="CB9" s="279"/>
      <c r="CC9" s="73"/>
      <c r="CD9" s="279"/>
      <c r="CE9" s="73"/>
      <c r="CF9" s="279"/>
      <c r="CG9" s="73"/>
      <c r="CH9" s="279"/>
      <c r="CI9" s="73"/>
      <c r="CJ9" s="279"/>
      <c r="CK9" s="73"/>
      <c r="CL9" s="279"/>
      <c r="CM9" s="73"/>
      <c r="CN9" s="279"/>
      <c r="CO9" s="73"/>
      <c r="CP9" s="279"/>
      <c r="CQ9" s="73"/>
      <c r="CR9" s="279"/>
      <c r="CS9" s="141"/>
      <c r="CT9" s="279"/>
      <c r="CU9" s="74"/>
      <c r="CV9" s="75"/>
      <c r="CW9" s="164"/>
      <c r="CX9" s="166"/>
      <c r="CY9" s="425"/>
      <c r="CZ9" s="60"/>
      <c r="DA9" s="205"/>
      <c r="DB9" s="61"/>
      <c r="DC9" s="254"/>
      <c r="DD9" s="60"/>
      <c r="DE9" s="254"/>
      <c r="DF9" s="75"/>
      <c r="DG9" s="254"/>
      <c r="DH9" s="77"/>
      <c r="DI9" s="266"/>
      <c r="DJ9" s="427">
        <f t="shared" si="3"/>
        <v>10000</v>
      </c>
      <c r="DK9" s="139"/>
      <c r="DL9" s="76"/>
      <c r="DM9" s="209"/>
      <c r="DN9" s="63"/>
      <c r="DO9" s="63"/>
      <c r="DP9" s="63"/>
      <c r="DQ9" s="63"/>
      <c r="DR9" s="63"/>
      <c r="DS9" s="63"/>
      <c r="DT9" s="63"/>
      <c r="DU9" s="64"/>
      <c r="DV9" s="76"/>
      <c r="DW9" s="76"/>
      <c r="DX9" s="209"/>
      <c r="DY9" s="63"/>
      <c r="DZ9" s="63"/>
      <c r="EA9" s="63"/>
      <c r="EB9" s="63"/>
      <c r="EC9" s="63"/>
      <c r="ED9" s="63"/>
      <c r="EE9" s="63"/>
      <c r="EF9" s="64"/>
      <c r="EG9" s="76"/>
      <c r="EH9" s="76"/>
      <c r="EI9" s="210"/>
      <c r="EJ9" s="167"/>
      <c r="EK9" s="67"/>
      <c r="EL9" s="67"/>
      <c r="EM9" s="79"/>
      <c r="EN9" s="78"/>
      <c r="EO9" s="78"/>
      <c r="EP9" s="78"/>
      <c r="EQ9" s="78"/>
      <c r="ER9" s="78"/>
      <c r="ES9" s="78"/>
      <c r="ET9" s="78"/>
      <c r="EU9" s="78"/>
      <c r="EV9" s="80"/>
      <c r="EW9" s="81"/>
      <c r="EX9" s="78"/>
      <c r="EY9" s="78"/>
      <c r="EZ9" s="78"/>
      <c r="FA9" s="79"/>
      <c r="FB9" s="78"/>
      <c r="FC9" s="78"/>
      <c r="FD9" s="80"/>
      <c r="FE9" s="211"/>
      <c r="FF9" s="69"/>
      <c r="FG9" s="213"/>
      <c r="FH9" s="214"/>
      <c r="FI9" s="215"/>
      <c r="FJ9" s="212"/>
      <c r="FK9" s="211"/>
      <c r="FL9" s="217"/>
      <c r="FM9" s="83"/>
      <c r="FN9" s="219"/>
      <c r="FO9" s="83"/>
      <c r="FP9" s="219"/>
      <c r="FQ9" s="218"/>
      <c r="FR9" s="219"/>
      <c r="FS9" s="218"/>
      <c r="FT9" s="219"/>
      <c r="FU9" s="218"/>
      <c r="FV9" s="219"/>
      <c r="FW9" s="218"/>
      <c r="FX9" s="219"/>
      <c r="FY9" s="218"/>
      <c r="FZ9" s="219"/>
      <c r="GA9" s="218"/>
      <c r="GB9" s="219"/>
      <c r="GC9" s="218"/>
      <c r="GD9" s="219"/>
      <c r="GE9" s="218"/>
      <c r="GF9" s="219"/>
      <c r="GG9" s="218"/>
      <c r="GH9" s="220"/>
      <c r="GI9" s="221"/>
      <c r="GJ9" s="219"/>
      <c r="GK9" s="219"/>
      <c r="GL9" s="219"/>
      <c r="GM9" s="219"/>
      <c r="GN9" s="219"/>
      <c r="GO9" s="219"/>
      <c r="GP9" s="219"/>
      <c r="GQ9" s="219"/>
      <c r="GR9" s="219"/>
      <c r="GS9" s="219"/>
      <c r="GT9" s="219"/>
      <c r="GU9" s="219"/>
      <c r="GV9" s="219"/>
      <c r="GW9" s="219"/>
      <c r="GX9" s="219"/>
      <c r="GY9" s="219"/>
      <c r="GZ9" s="219"/>
      <c r="HA9" s="219"/>
      <c r="HB9" s="219"/>
      <c r="HC9" s="219"/>
      <c r="HD9" s="219"/>
      <c r="HE9" s="219"/>
      <c r="HF9" s="222"/>
      <c r="HG9" s="220"/>
      <c r="HH9" s="219"/>
      <c r="HI9" s="219"/>
      <c r="HJ9" s="219"/>
      <c r="HK9" s="219"/>
      <c r="HL9" s="219"/>
      <c r="HM9" s="219"/>
      <c r="HN9" s="219"/>
      <c r="HO9" s="219"/>
      <c r="HP9" s="219"/>
      <c r="HQ9" s="219"/>
      <c r="HR9" s="219"/>
      <c r="HS9" s="219"/>
      <c r="HT9" s="219"/>
      <c r="HU9" s="219"/>
      <c r="HV9" s="219"/>
      <c r="HW9" s="219"/>
      <c r="HX9" s="219"/>
      <c r="HY9" s="219"/>
      <c r="HZ9" s="219"/>
      <c r="IA9" s="219"/>
      <c r="IB9" s="219"/>
      <c r="IC9" s="219"/>
      <c r="ID9" s="223"/>
      <c r="IE9" s="29"/>
      <c r="IF9" s="29"/>
      <c r="IG9" s="29"/>
      <c r="IH9" s="29"/>
      <c r="II9" s="29"/>
      <c r="IJ9" s="29"/>
      <c r="IK9" s="29"/>
      <c r="IL9" s="29"/>
      <c r="IM9" s="29"/>
      <c r="IN9" s="29"/>
      <c r="IO9" s="29"/>
      <c r="IP9" s="29"/>
      <c r="IQ9" s="29"/>
      <c r="IR9" s="29"/>
      <c r="IS9" s="29"/>
      <c r="IT9" s="29"/>
      <c r="IU9" s="29"/>
      <c r="IV9" s="29"/>
      <c r="IW9" s="29"/>
      <c r="IX9" s="29"/>
      <c r="IY9" s="29"/>
      <c r="IZ9" s="29"/>
      <c r="JA9" s="29"/>
      <c r="JB9" s="29"/>
      <c r="JC9" s="29"/>
      <c r="JD9" s="29"/>
      <c r="JE9" s="29"/>
      <c r="JF9" s="29"/>
      <c r="JG9" s="29"/>
      <c r="JH9" s="29"/>
      <c r="JI9" s="29"/>
      <c r="JJ9" s="29"/>
      <c r="JK9" s="29"/>
      <c r="JL9" s="29"/>
      <c r="JM9" s="29"/>
      <c r="JN9" s="29"/>
      <c r="JO9" s="29"/>
      <c r="JP9" s="29"/>
      <c r="JQ9" s="29"/>
      <c r="JR9" s="29"/>
      <c r="JS9" s="29"/>
      <c r="JT9" s="29"/>
      <c r="JU9" s="29"/>
      <c r="JV9" s="29"/>
      <c r="JW9" s="29"/>
      <c r="JX9" s="29"/>
      <c r="JY9" s="29"/>
      <c r="JZ9" s="29"/>
      <c r="KA9" s="29"/>
      <c r="KB9" s="29"/>
      <c r="KC9" s="29"/>
      <c r="KD9" s="29"/>
      <c r="KE9" s="29"/>
      <c r="KF9" s="29"/>
      <c r="KG9" s="29"/>
      <c r="KH9" s="29"/>
      <c r="KI9" s="29"/>
      <c r="KJ9" s="29"/>
      <c r="KK9" s="29"/>
      <c r="KL9" s="29"/>
      <c r="KM9" s="29"/>
      <c r="KN9" s="29"/>
      <c r="KO9" s="29"/>
      <c r="KP9" s="29"/>
      <c r="KQ9" s="29"/>
      <c r="KR9" s="29"/>
      <c r="KS9" s="29"/>
      <c r="KT9" s="29"/>
      <c r="KU9" s="29"/>
      <c r="KV9" s="29"/>
      <c r="KW9" s="29"/>
      <c r="KX9" s="29"/>
      <c r="KY9" s="29"/>
      <c r="KZ9" s="29"/>
      <c r="LA9" s="29"/>
      <c r="LB9" s="29"/>
      <c r="LC9" s="29"/>
      <c r="LD9" s="29"/>
      <c r="LE9" s="29"/>
      <c r="LF9" s="29"/>
      <c r="LG9" s="29"/>
      <c r="LH9" s="29"/>
      <c r="LI9" s="29"/>
      <c r="LJ9" s="29"/>
      <c r="LK9" s="29"/>
    </row>
    <row r="10" spans="1:324" s="70" customFormat="1">
      <c r="A10" s="195">
        <f t="shared" si="1"/>
        <v>6</v>
      </c>
      <c r="B10" s="196"/>
      <c r="C10" s="49"/>
      <c r="D10" s="50"/>
      <c r="E10" s="50"/>
      <c r="F10" s="51"/>
      <c r="G10" s="197"/>
      <c r="H10" s="53" t="str">
        <f t="shared" si="0"/>
        <v/>
      </c>
      <c r="I10" s="53"/>
      <c r="J10" s="53"/>
      <c r="K10" s="53"/>
      <c r="L10" s="53"/>
      <c r="M10" s="340" t="str">
        <f t="shared" si="2"/>
        <v/>
      </c>
      <c r="N10" s="278"/>
      <c r="O10" s="278"/>
      <c r="P10" s="278"/>
      <c r="Q10" s="278"/>
      <c r="R10" s="72"/>
      <c r="S10" s="170"/>
      <c r="T10" s="279"/>
      <c r="U10" s="198"/>
      <c r="V10" s="279"/>
      <c r="W10" s="199"/>
      <c r="X10" s="279"/>
      <c r="Y10" s="57"/>
      <c r="Z10" s="279"/>
      <c r="AA10" s="200"/>
      <c r="AB10" s="279"/>
      <c r="AC10" s="59"/>
      <c r="AD10" s="279"/>
      <c r="AE10" s="59"/>
      <c r="AF10" s="279"/>
      <c r="AG10" s="59"/>
      <c r="AH10" s="279"/>
      <c r="AI10" s="265"/>
      <c r="AJ10" s="279"/>
      <c r="AK10" s="59"/>
      <c r="AL10" s="279"/>
      <c r="AM10" s="59"/>
      <c r="AN10" s="279"/>
      <c r="AO10" s="59"/>
      <c r="AP10" s="279"/>
      <c r="AQ10" s="59"/>
      <c r="AR10" s="279"/>
      <c r="AS10" s="59"/>
      <c r="AT10" s="279"/>
      <c r="AU10" s="59"/>
      <c r="AV10" s="279"/>
      <c r="AW10" s="59"/>
      <c r="AX10" s="279"/>
      <c r="AY10" s="201"/>
      <c r="AZ10" s="279"/>
      <c r="BA10" s="73"/>
      <c r="BB10" s="279"/>
      <c r="BC10" s="73"/>
      <c r="BD10" s="279"/>
      <c r="BE10" s="73"/>
      <c r="BF10" s="279"/>
      <c r="BG10" s="73"/>
      <c r="BH10" s="279"/>
      <c r="BI10" s="73"/>
      <c r="BJ10" s="279"/>
      <c r="BK10" s="73"/>
      <c r="BL10" s="279"/>
      <c r="BM10" s="73"/>
      <c r="BN10" s="279"/>
      <c r="BO10" s="73"/>
      <c r="BP10" s="279"/>
      <c r="BQ10" s="73"/>
      <c r="BR10" s="279"/>
      <c r="BS10" s="73"/>
      <c r="BT10" s="279"/>
      <c r="BU10" s="141"/>
      <c r="BV10" s="279"/>
      <c r="BW10" s="202"/>
      <c r="BX10" s="279"/>
      <c r="BY10" s="73"/>
      <c r="BZ10" s="279"/>
      <c r="CA10" s="73"/>
      <c r="CB10" s="279"/>
      <c r="CC10" s="73"/>
      <c r="CD10" s="279"/>
      <c r="CE10" s="73"/>
      <c r="CF10" s="279"/>
      <c r="CG10" s="73"/>
      <c r="CH10" s="279"/>
      <c r="CI10" s="73"/>
      <c r="CJ10" s="279"/>
      <c r="CK10" s="73"/>
      <c r="CL10" s="279"/>
      <c r="CM10" s="73"/>
      <c r="CN10" s="279"/>
      <c r="CO10" s="73"/>
      <c r="CP10" s="279"/>
      <c r="CQ10" s="73"/>
      <c r="CR10" s="279"/>
      <c r="CS10" s="141"/>
      <c r="CT10" s="279"/>
      <c r="CU10" s="74"/>
      <c r="CV10" s="75"/>
      <c r="CW10" s="164"/>
      <c r="CX10" s="166"/>
      <c r="CY10" s="425"/>
      <c r="CZ10" s="60"/>
      <c r="DA10" s="205"/>
      <c r="DB10" s="61"/>
      <c r="DC10" s="254"/>
      <c r="DD10" s="60"/>
      <c r="DE10" s="254"/>
      <c r="DF10" s="75"/>
      <c r="DG10" s="254"/>
      <c r="DH10" s="77"/>
      <c r="DI10" s="266"/>
      <c r="DJ10" s="427">
        <f t="shared" si="3"/>
        <v>10000</v>
      </c>
      <c r="DK10" s="139"/>
      <c r="DL10" s="76"/>
      <c r="DM10" s="209"/>
      <c r="DN10" s="63"/>
      <c r="DO10" s="63"/>
      <c r="DP10" s="63"/>
      <c r="DQ10" s="63"/>
      <c r="DR10" s="63"/>
      <c r="DS10" s="63"/>
      <c r="DT10" s="63"/>
      <c r="DU10" s="64"/>
      <c r="DV10" s="76"/>
      <c r="DW10" s="76"/>
      <c r="DX10" s="209"/>
      <c r="DY10" s="63"/>
      <c r="DZ10" s="63"/>
      <c r="EA10" s="63"/>
      <c r="EB10" s="63"/>
      <c r="EC10" s="63"/>
      <c r="ED10" s="63"/>
      <c r="EE10" s="63"/>
      <c r="EF10" s="64"/>
      <c r="EG10" s="76"/>
      <c r="EH10" s="76"/>
      <c r="EI10" s="210"/>
      <c r="EJ10" s="167"/>
      <c r="EK10" s="67"/>
      <c r="EL10" s="67"/>
      <c r="EM10" s="79"/>
      <c r="EN10" s="78"/>
      <c r="EO10" s="78"/>
      <c r="EP10" s="78"/>
      <c r="EQ10" s="78"/>
      <c r="ER10" s="78"/>
      <c r="ES10" s="78"/>
      <c r="ET10" s="78"/>
      <c r="EU10" s="78"/>
      <c r="EV10" s="80"/>
      <c r="EW10" s="81"/>
      <c r="EX10" s="78"/>
      <c r="EY10" s="78"/>
      <c r="EZ10" s="78"/>
      <c r="FA10" s="79"/>
      <c r="FB10" s="78"/>
      <c r="FC10" s="78"/>
      <c r="FD10" s="80"/>
      <c r="FE10" s="211"/>
      <c r="FF10" s="69"/>
      <c r="FG10" s="213"/>
      <c r="FH10" s="214"/>
      <c r="FI10" s="215"/>
      <c r="FJ10" s="212"/>
      <c r="FK10" s="211"/>
      <c r="FL10" s="217"/>
      <c r="FM10" s="83"/>
      <c r="FN10" s="219"/>
      <c r="FO10" s="83"/>
      <c r="FP10" s="219"/>
      <c r="FQ10" s="218"/>
      <c r="FR10" s="219"/>
      <c r="FS10" s="218"/>
      <c r="FT10" s="219"/>
      <c r="FU10" s="218"/>
      <c r="FV10" s="219"/>
      <c r="FW10" s="218"/>
      <c r="FX10" s="219"/>
      <c r="FY10" s="218"/>
      <c r="FZ10" s="219"/>
      <c r="GA10" s="218"/>
      <c r="GB10" s="219"/>
      <c r="GC10" s="218"/>
      <c r="GD10" s="219"/>
      <c r="GE10" s="218"/>
      <c r="GF10" s="219"/>
      <c r="GG10" s="218"/>
      <c r="GH10" s="220"/>
      <c r="GI10" s="221"/>
      <c r="GJ10" s="219"/>
      <c r="GK10" s="219"/>
      <c r="GL10" s="219"/>
      <c r="GM10" s="219"/>
      <c r="GN10" s="219"/>
      <c r="GO10" s="219"/>
      <c r="GP10" s="219"/>
      <c r="GQ10" s="219"/>
      <c r="GR10" s="219"/>
      <c r="GS10" s="219"/>
      <c r="GT10" s="219"/>
      <c r="GU10" s="219"/>
      <c r="GV10" s="219"/>
      <c r="GW10" s="219"/>
      <c r="GX10" s="219"/>
      <c r="GY10" s="219"/>
      <c r="GZ10" s="219"/>
      <c r="HA10" s="219"/>
      <c r="HB10" s="219"/>
      <c r="HC10" s="219"/>
      <c r="HD10" s="219"/>
      <c r="HE10" s="219"/>
      <c r="HF10" s="222"/>
      <c r="HG10" s="220"/>
      <c r="HH10" s="219"/>
      <c r="HI10" s="219"/>
      <c r="HJ10" s="219"/>
      <c r="HK10" s="219"/>
      <c r="HL10" s="219"/>
      <c r="HM10" s="219"/>
      <c r="HN10" s="219"/>
      <c r="HO10" s="219"/>
      <c r="HP10" s="219"/>
      <c r="HQ10" s="219"/>
      <c r="HR10" s="219"/>
      <c r="HS10" s="219"/>
      <c r="HT10" s="219"/>
      <c r="HU10" s="219"/>
      <c r="HV10" s="219"/>
      <c r="HW10" s="219"/>
      <c r="HX10" s="219"/>
      <c r="HY10" s="219"/>
      <c r="HZ10" s="219"/>
      <c r="IA10" s="219"/>
      <c r="IB10" s="219"/>
      <c r="IC10" s="219"/>
      <c r="ID10" s="223"/>
      <c r="IE10" s="29"/>
      <c r="IF10" s="29"/>
      <c r="IG10" s="29"/>
      <c r="IH10" s="29"/>
      <c r="II10" s="29"/>
      <c r="IJ10" s="29"/>
      <c r="IK10" s="29"/>
      <c r="IL10" s="29"/>
      <c r="IM10" s="29"/>
      <c r="IN10" s="29"/>
      <c r="IO10" s="29"/>
      <c r="IP10" s="29"/>
      <c r="IQ10" s="29"/>
      <c r="IR10" s="29"/>
      <c r="IS10" s="29"/>
      <c r="IT10" s="29"/>
      <c r="IU10" s="29"/>
      <c r="IV10" s="29"/>
      <c r="IW10" s="29"/>
      <c r="IX10" s="29"/>
      <c r="IY10" s="29"/>
      <c r="IZ10" s="29"/>
      <c r="JA10" s="29"/>
      <c r="JB10" s="29"/>
      <c r="JC10" s="29"/>
      <c r="JD10" s="29"/>
      <c r="JE10" s="29"/>
      <c r="JF10" s="29"/>
      <c r="JG10" s="29"/>
      <c r="JH10" s="29"/>
      <c r="JI10" s="29"/>
      <c r="JJ10" s="29"/>
      <c r="JK10" s="29"/>
      <c r="JL10" s="29"/>
      <c r="JM10" s="29"/>
      <c r="JN10" s="29"/>
      <c r="JO10" s="29"/>
      <c r="JP10" s="29"/>
      <c r="JQ10" s="29"/>
      <c r="JR10" s="29"/>
      <c r="JS10" s="29"/>
      <c r="JT10" s="29"/>
      <c r="JU10" s="29"/>
      <c r="JV10" s="29"/>
      <c r="JW10" s="29"/>
      <c r="JX10" s="29"/>
      <c r="JY10" s="29"/>
      <c r="JZ10" s="29"/>
      <c r="KA10" s="29"/>
      <c r="KB10" s="29"/>
      <c r="KC10" s="29"/>
      <c r="KD10" s="29"/>
      <c r="KE10" s="29"/>
      <c r="KF10" s="29"/>
      <c r="KG10" s="29"/>
      <c r="KH10" s="29"/>
      <c r="KI10" s="29"/>
      <c r="KJ10" s="29"/>
      <c r="KK10" s="29"/>
      <c r="KL10" s="29"/>
      <c r="KM10" s="29"/>
      <c r="KN10" s="29"/>
      <c r="KO10" s="29"/>
      <c r="KP10" s="29"/>
      <c r="KQ10" s="29"/>
      <c r="KR10" s="29"/>
      <c r="KS10" s="29"/>
      <c r="KT10" s="29"/>
      <c r="KU10" s="29"/>
      <c r="KV10" s="29"/>
      <c r="KW10" s="29"/>
      <c r="KX10" s="29"/>
      <c r="KY10" s="29"/>
      <c r="KZ10" s="29"/>
      <c r="LA10" s="29"/>
      <c r="LB10" s="29"/>
      <c r="LC10" s="29"/>
      <c r="LD10" s="29"/>
      <c r="LE10" s="29"/>
      <c r="LF10" s="29"/>
      <c r="LG10" s="29"/>
      <c r="LH10" s="29"/>
      <c r="LI10" s="29"/>
      <c r="LJ10" s="29"/>
      <c r="LK10" s="29"/>
    </row>
    <row r="11" spans="1:324" s="70" customFormat="1">
      <c r="A11" s="195">
        <f t="shared" si="1"/>
        <v>7</v>
      </c>
      <c r="B11" s="196"/>
      <c r="C11" s="49"/>
      <c r="D11" s="50"/>
      <c r="E11" s="50"/>
      <c r="F11" s="51"/>
      <c r="G11" s="197"/>
      <c r="H11" s="53" t="str">
        <f t="shared" si="0"/>
        <v/>
      </c>
      <c r="I11" s="53"/>
      <c r="J11" s="53"/>
      <c r="K11" s="53"/>
      <c r="L11" s="53"/>
      <c r="M11" s="340" t="str">
        <f t="shared" si="2"/>
        <v/>
      </c>
      <c r="N11" s="278"/>
      <c r="O11" s="278"/>
      <c r="P11" s="278"/>
      <c r="Q11" s="278"/>
      <c r="R11" s="72"/>
      <c r="S11" s="170"/>
      <c r="T11" s="279"/>
      <c r="U11" s="198"/>
      <c r="V11" s="279"/>
      <c r="W11" s="199"/>
      <c r="X11" s="279"/>
      <c r="Y11" s="57"/>
      <c r="Z11" s="279"/>
      <c r="AA11" s="200"/>
      <c r="AB11" s="279"/>
      <c r="AC11" s="59"/>
      <c r="AD11" s="279"/>
      <c r="AE11" s="59"/>
      <c r="AF11" s="279"/>
      <c r="AG11" s="59"/>
      <c r="AH11" s="279"/>
      <c r="AI11" s="265"/>
      <c r="AJ11" s="279"/>
      <c r="AK11" s="59"/>
      <c r="AL11" s="279"/>
      <c r="AM11" s="59"/>
      <c r="AN11" s="279"/>
      <c r="AO11" s="59"/>
      <c r="AP11" s="279"/>
      <c r="AQ11" s="59"/>
      <c r="AR11" s="279"/>
      <c r="AS11" s="59"/>
      <c r="AT11" s="279"/>
      <c r="AU11" s="59"/>
      <c r="AV11" s="279"/>
      <c r="AW11" s="59"/>
      <c r="AX11" s="279"/>
      <c r="AY11" s="201"/>
      <c r="AZ11" s="279"/>
      <c r="BA11" s="73"/>
      <c r="BB11" s="279"/>
      <c r="BC11" s="73"/>
      <c r="BD11" s="279"/>
      <c r="BE11" s="73"/>
      <c r="BF11" s="279"/>
      <c r="BG11" s="73"/>
      <c r="BH11" s="279"/>
      <c r="BI11" s="73"/>
      <c r="BJ11" s="279"/>
      <c r="BK11" s="73"/>
      <c r="BL11" s="279"/>
      <c r="BM11" s="73"/>
      <c r="BN11" s="279"/>
      <c r="BO11" s="73"/>
      <c r="BP11" s="279"/>
      <c r="BQ11" s="73"/>
      <c r="BR11" s="279"/>
      <c r="BS11" s="73"/>
      <c r="BT11" s="279"/>
      <c r="BU11" s="141"/>
      <c r="BV11" s="279"/>
      <c r="BW11" s="202"/>
      <c r="BX11" s="279"/>
      <c r="BY11" s="73"/>
      <c r="BZ11" s="279"/>
      <c r="CA11" s="73"/>
      <c r="CB11" s="279"/>
      <c r="CC11" s="73"/>
      <c r="CD11" s="279"/>
      <c r="CE11" s="73"/>
      <c r="CF11" s="279"/>
      <c r="CG11" s="73"/>
      <c r="CH11" s="279"/>
      <c r="CI11" s="73"/>
      <c r="CJ11" s="279"/>
      <c r="CK11" s="73"/>
      <c r="CL11" s="279"/>
      <c r="CM11" s="73"/>
      <c r="CN11" s="279"/>
      <c r="CO11" s="73"/>
      <c r="CP11" s="279"/>
      <c r="CQ11" s="73"/>
      <c r="CR11" s="279"/>
      <c r="CS11" s="141"/>
      <c r="CT11" s="279"/>
      <c r="CU11" s="74"/>
      <c r="CV11" s="75"/>
      <c r="CW11" s="164"/>
      <c r="CX11" s="166"/>
      <c r="CY11" s="425"/>
      <c r="CZ11" s="60"/>
      <c r="DA11" s="205"/>
      <c r="DB11" s="61"/>
      <c r="DC11" s="254"/>
      <c r="DD11" s="60"/>
      <c r="DE11" s="254"/>
      <c r="DF11" s="75"/>
      <c r="DG11" s="254"/>
      <c r="DH11" s="77"/>
      <c r="DI11" s="266"/>
      <c r="DJ11" s="427">
        <f t="shared" si="3"/>
        <v>10000</v>
      </c>
      <c r="DK11" s="139"/>
      <c r="DL11" s="76"/>
      <c r="DM11" s="209"/>
      <c r="DN11" s="63"/>
      <c r="DO11" s="63"/>
      <c r="DP11" s="63"/>
      <c r="DQ11" s="63"/>
      <c r="DR11" s="63"/>
      <c r="DS11" s="63"/>
      <c r="DT11" s="63"/>
      <c r="DU11" s="64"/>
      <c r="DV11" s="76"/>
      <c r="DW11" s="76"/>
      <c r="DX11" s="209"/>
      <c r="DY11" s="63"/>
      <c r="DZ11" s="63"/>
      <c r="EA11" s="63"/>
      <c r="EB11" s="63"/>
      <c r="EC11" s="63"/>
      <c r="ED11" s="63"/>
      <c r="EE11" s="63"/>
      <c r="EF11" s="64"/>
      <c r="EG11" s="76"/>
      <c r="EH11" s="76"/>
      <c r="EI11" s="210"/>
      <c r="EJ11" s="167"/>
      <c r="EK11" s="67"/>
      <c r="EL11" s="67"/>
      <c r="EM11" s="79"/>
      <c r="EN11" s="78"/>
      <c r="EO11" s="78"/>
      <c r="EP11" s="78"/>
      <c r="EQ11" s="78"/>
      <c r="ER11" s="78"/>
      <c r="ES11" s="78"/>
      <c r="ET11" s="78"/>
      <c r="EU11" s="78"/>
      <c r="EV11" s="80"/>
      <c r="EW11" s="81"/>
      <c r="EX11" s="78"/>
      <c r="EY11" s="78"/>
      <c r="EZ11" s="78"/>
      <c r="FA11" s="79"/>
      <c r="FB11" s="78"/>
      <c r="FC11" s="78"/>
      <c r="FD11" s="80"/>
      <c r="FE11" s="211"/>
      <c r="FF11" s="69"/>
      <c r="FG11" s="213"/>
      <c r="FH11" s="214"/>
      <c r="FI11" s="215"/>
      <c r="FJ11" s="212"/>
      <c r="FK11" s="211"/>
      <c r="FL11" s="217"/>
      <c r="FM11" s="83"/>
      <c r="FN11" s="219"/>
      <c r="FO11" s="83"/>
      <c r="FP11" s="219"/>
      <c r="FQ11" s="218"/>
      <c r="FR11" s="219"/>
      <c r="FS11" s="218"/>
      <c r="FT11" s="219"/>
      <c r="FU11" s="218"/>
      <c r="FV11" s="219"/>
      <c r="FW11" s="218"/>
      <c r="FX11" s="219"/>
      <c r="FY11" s="218"/>
      <c r="FZ11" s="219"/>
      <c r="GA11" s="218"/>
      <c r="GB11" s="219"/>
      <c r="GC11" s="218"/>
      <c r="GD11" s="219"/>
      <c r="GE11" s="218"/>
      <c r="GF11" s="219"/>
      <c r="GG11" s="218"/>
      <c r="GH11" s="220"/>
      <c r="GI11" s="221"/>
      <c r="GJ11" s="219"/>
      <c r="GK11" s="219"/>
      <c r="GL11" s="219"/>
      <c r="GM11" s="219"/>
      <c r="GN11" s="219"/>
      <c r="GO11" s="219"/>
      <c r="GP11" s="219"/>
      <c r="GQ11" s="219"/>
      <c r="GR11" s="219"/>
      <c r="GS11" s="219"/>
      <c r="GT11" s="219"/>
      <c r="GU11" s="219"/>
      <c r="GV11" s="219"/>
      <c r="GW11" s="219"/>
      <c r="GX11" s="219"/>
      <c r="GY11" s="219"/>
      <c r="GZ11" s="219"/>
      <c r="HA11" s="219"/>
      <c r="HB11" s="219"/>
      <c r="HC11" s="219"/>
      <c r="HD11" s="219"/>
      <c r="HE11" s="219"/>
      <c r="HF11" s="222"/>
      <c r="HG11" s="220"/>
      <c r="HH11" s="219"/>
      <c r="HI11" s="219"/>
      <c r="HJ11" s="219"/>
      <c r="HK11" s="219"/>
      <c r="HL11" s="219"/>
      <c r="HM11" s="219"/>
      <c r="HN11" s="219"/>
      <c r="HO11" s="219"/>
      <c r="HP11" s="219"/>
      <c r="HQ11" s="219"/>
      <c r="HR11" s="219"/>
      <c r="HS11" s="219"/>
      <c r="HT11" s="219"/>
      <c r="HU11" s="219"/>
      <c r="HV11" s="219"/>
      <c r="HW11" s="219"/>
      <c r="HX11" s="219"/>
      <c r="HY11" s="219"/>
      <c r="HZ11" s="219"/>
      <c r="IA11" s="219"/>
      <c r="IB11" s="219"/>
      <c r="IC11" s="219"/>
      <c r="ID11" s="223"/>
      <c r="IE11" s="29"/>
      <c r="IF11" s="29"/>
      <c r="IG11" s="29"/>
      <c r="IH11" s="29"/>
      <c r="II11" s="29"/>
      <c r="IJ11" s="29"/>
      <c r="IK11" s="29"/>
      <c r="IL11" s="29"/>
      <c r="IM11" s="29"/>
      <c r="IN11" s="29"/>
      <c r="IO11" s="29"/>
      <c r="IP11" s="29"/>
      <c r="IQ11" s="29"/>
      <c r="IR11" s="29"/>
      <c r="IS11" s="29"/>
      <c r="IT11" s="29"/>
      <c r="IU11" s="29"/>
      <c r="IV11" s="29"/>
      <c r="IW11" s="29"/>
      <c r="IX11" s="29"/>
      <c r="IY11" s="29"/>
      <c r="IZ11" s="29"/>
      <c r="JA11" s="29"/>
      <c r="JB11" s="29"/>
      <c r="JC11" s="29"/>
      <c r="JD11" s="29"/>
      <c r="JE11" s="29"/>
      <c r="JF11" s="29"/>
      <c r="JG11" s="29"/>
      <c r="JH11" s="29"/>
      <c r="JI11" s="29"/>
      <c r="JJ11" s="29"/>
      <c r="JK11" s="29"/>
      <c r="JL11" s="29"/>
      <c r="JM11" s="29"/>
      <c r="JN11" s="29"/>
      <c r="JO11" s="29"/>
      <c r="JP11" s="29"/>
      <c r="JQ11" s="29"/>
      <c r="JR11" s="29"/>
      <c r="JS11" s="29"/>
      <c r="JT11" s="29"/>
      <c r="JU11" s="29"/>
      <c r="JV11" s="29"/>
      <c r="JW11" s="29"/>
      <c r="JX11" s="29"/>
      <c r="JY11" s="29"/>
      <c r="JZ11" s="29"/>
      <c r="KA11" s="29"/>
      <c r="KB11" s="29"/>
      <c r="KC11" s="29"/>
      <c r="KD11" s="29"/>
      <c r="KE11" s="29"/>
      <c r="KF11" s="29"/>
      <c r="KG11" s="29"/>
      <c r="KH11" s="29"/>
      <c r="KI11" s="29"/>
      <c r="KJ11" s="29"/>
      <c r="KK11" s="29"/>
      <c r="KL11" s="29"/>
      <c r="KM11" s="29"/>
      <c r="KN11" s="29"/>
      <c r="KO11" s="29"/>
      <c r="KP11" s="29"/>
      <c r="KQ11" s="29"/>
      <c r="KR11" s="29"/>
      <c r="KS11" s="29"/>
      <c r="KT11" s="29"/>
      <c r="KU11" s="29"/>
      <c r="KV11" s="29"/>
      <c r="KW11" s="29"/>
      <c r="KX11" s="29"/>
      <c r="KY11" s="29"/>
      <c r="KZ11" s="29"/>
      <c r="LA11" s="29"/>
      <c r="LB11" s="29"/>
      <c r="LC11" s="29"/>
      <c r="LD11" s="29"/>
      <c r="LE11" s="29"/>
      <c r="LF11" s="29"/>
      <c r="LG11" s="29"/>
      <c r="LH11" s="29"/>
      <c r="LI11" s="29"/>
      <c r="LJ11" s="29"/>
      <c r="LK11" s="29"/>
    </row>
    <row r="12" spans="1:324" s="70" customFormat="1">
      <c r="A12" s="195">
        <f t="shared" si="1"/>
        <v>8</v>
      </c>
      <c r="B12" s="196"/>
      <c r="C12" s="49"/>
      <c r="D12" s="50"/>
      <c r="E12" s="50"/>
      <c r="F12" s="51"/>
      <c r="G12" s="197"/>
      <c r="H12" s="53" t="str">
        <f t="shared" si="0"/>
        <v/>
      </c>
      <c r="I12" s="53"/>
      <c r="J12" s="53"/>
      <c r="K12" s="53"/>
      <c r="L12" s="53"/>
      <c r="M12" s="340" t="str">
        <f t="shared" si="2"/>
        <v/>
      </c>
      <c r="N12" s="278"/>
      <c r="O12" s="278"/>
      <c r="P12" s="278"/>
      <c r="Q12" s="278"/>
      <c r="R12" s="72"/>
      <c r="S12" s="170"/>
      <c r="T12" s="279"/>
      <c r="U12" s="198"/>
      <c r="V12" s="279"/>
      <c r="W12" s="199"/>
      <c r="X12" s="279"/>
      <c r="Y12" s="57"/>
      <c r="Z12" s="279"/>
      <c r="AA12" s="200"/>
      <c r="AB12" s="279"/>
      <c r="AC12" s="59"/>
      <c r="AD12" s="279"/>
      <c r="AE12" s="59"/>
      <c r="AF12" s="279"/>
      <c r="AG12" s="59"/>
      <c r="AH12" s="279"/>
      <c r="AI12" s="265"/>
      <c r="AJ12" s="279"/>
      <c r="AK12" s="59"/>
      <c r="AL12" s="279"/>
      <c r="AM12" s="59"/>
      <c r="AN12" s="279"/>
      <c r="AO12" s="59"/>
      <c r="AP12" s="279"/>
      <c r="AQ12" s="59"/>
      <c r="AR12" s="279"/>
      <c r="AS12" s="59"/>
      <c r="AT12" s="279"/>
      <c r="AU12" s="59"/>
      <c r="AV12" s="279"/>
      <c r="AW12" s="59"/>
      <c r="AX12" s="279"/>
      <c r="AY12" s="201"/>
      <c r="AZ12" s="279"/>
      <c r="BA12" s="73"/>
      <c r="BB12" s="279"/>
      <c r="BC12" s="73"/>
      <c r="BD12" s="279"/>
      <c r="BE12" s="73"/>
      <c r="BF12" s="279"/>
      <c r="BG12" s="73"/>
      <c r="BH12" s="279"/>
      <c r="BI12" s="73"/>
      <c r="BJ12" s="279"/>
      <c r="BK12" s="73"/>
      <c r="BL12" s="279"/>
      <c r="BM12" s="73"/>
      <c r="BN12" s="279"/>
      <c r="BO12" s="73"/>
      <c r="BP12" s="279"/>
      <c r="BQ12" s="73"/>
      <c r="BR12" s="279"/>
      <c r="BS12" s="73"/>
      <c r="BT12" s="279"/>
      <c r="BU12" s="141"/>
      <c r="BV12" s="279"/>
      <c r="BW12" s="202"/>
      <c r="BX12" s="279"/>
      <c r="BY12" s="73"/>
      <c r="BZ12" s="279"/>
      <c r="CA12" s="73"/>
      <c r="CB12" s="279"/>
      <c r="CC12" s="73"/>
      <c r="CD12" s="279"/>
      <c r="CE12" s="73"/>
      <c r="CF12" s="279"/>
      <c r="CG12" s="73"/>
      <c r="CH12" s="279"/>
      <c r="CI12" s="73"/>
      <c r="CJ12" s="279"/>
      <c r="CK12" s="73"/>
      <c r="CL12" s="279"/>
      <c r="CM12" s="73"/>
      <c r="CN12" s="279"/>
      <c r="CO12" s="73"/>
      <c r="CP12" s="279"/>
      <c r="CQ12" s="73"/>
      <c r="CR12" s="279"/>
      <c r="CS12" s="141"/>
      <c r="CT12" s="279"/>
      <c r="CU12" s="74"/>
      <c r="CV12" s="75"/>
      <c r="CW12" s="164"/>
      <c r="CX12" s="166"/>
      <c r="CY12" s="425"/>
      <c r="CZ12" s="60"/>
      <c r="DA12" s="205"/>
      <c r="DB12" s="61"/>
      <c r="DC12" s="254"/>
      <c r="DD12" s="60"/>
      <c r="DE12" s="254"/>
      <c r="DF12" s="75"/>
      <c r="DG12" s="254"/>
      <c r="DH12" s="77"/>
      <c r="DI12" s="266"/>
      <c r="DJ12" s="427">
        <f t="shared" si="3"/>
        <v>10000</v>
      </c>
      <c r="DK12" s="139"/>
      <c r="DL12" s="76"/>
      <c r="DM12" s="209"/>
      <c r="DN12" s="63"/>
      <c r="DO12" s="63"/>
      <c r="DP12" s="63"/>
      <c r="DQ12" s="63"/>
      <c r="DR12" s="63"/>
      <c r="DS12" s="63"/>
      <c r="DT12" s="63"/>
      <c r="DU12" s="64"/>
      <c r="DV12" s="76"/>
      <c r="DW12" s="76"/>
      <c r="DX12" s="209"/>
      <c r="DY12" s="63"/>
      <c r="DZ12" s="63"/>
      <c r="EA12" s="63"/>
      <c r="EB12" s="63"/>
      <c r="EC12" s="63"/>
      <c r="ED12" s="63"/>
      <c r="EE12" s="63"/>
      <c r="EF12" s="64"/>
      <c r="EG12" s="76"/>
      <c r="EH12" s="76"/>
      <c r="EI12" s="210"/>
      <c r="EJ12" s="167"/>
      <c r="EK12" s="67"/>
      <c r="EL12" s="67"/>
      <c r="EM12" s="79"/>
      <c r="EN12" s="78"/>
      <c r="EO12" s="78"/>
      <c r="EP12" s="78"/>
      <c r="EQ12" s="78"/>
      <c r="ER12" s="78"/>
      <c r="ES12" s="78"/>
      <c r="ET12" s="78"/>
      <c r="EU12" s="78"/>
      <c r="EV12" s="80"/>
      <c r="EW12" s="81"/>
      <c r="EX12" s="78"/>
      <c r="EY12" s="78"/>
      <c r="EZ12" s="78"/>
      <c r="FA12" s="79"/>
      <c r="FB12" s="78"/>
      <c r="FC12" s="78"/>
      <c r="FD12" s="80"/>
      <c r="FE12" s="211"/>
      <c r="FF12" s="69"/>
      <c r="FG12" s="213"/>
      <c r="FH12" s="214"/>
      <c r="FI12" s="215"/>
      <c r="FJ12" s="212"/>
      <c r="FK12" s="211"/>
      <c r="FL12" s="217"/>
      <c r="FM12" s="83"/>
      <c r="FN12" s="219"/>
      <c r="FO12" s="83"/>
      <c r="FP12" s="219"/>
      <c r="FQ12" s="218"/>
      <c r="FR12" s="219"/>
      <c r="FS12" s="218"/>
      <c r="FT12" s="219"/>
      <c r="FU12" s="218"/>
      <c r="FV12" s="219"/>
      <c r="FW12" s="218"/>
      <c r="FX12" s="219"/>
      <c r="FY12" s="218"/>
      <c r="FZ12" s="219"/>
      <c r="GA12" s="218"/>
      <c r="GB12" s="219"/>
      <c r="GC12" s="218"/>
      <c r="GD12" s="219"/>
      <c r="GE12" s="218"/>
      <c r="GF12" s="219"/>
      <c r="GG12" s="218"/>
      <c r="GH12" s="220"/>
      <c r="GI12" s="221"/>
      <c r="GJ12" s="219"/>
      <c r="GK12" s="219"/>
      <c r="GL12" s="219"/>
      <c r="GM12" s="219"/>
      <c r="GN12" s="219"/>
      <c r="GO12" s="219"/>
      <c r="GP12" s="219"/>
      <c r="GQ12" s="219"/>
      <c r="GR12" s="219"/>
      <c r="GS12" s="219"/>
      <c r="GT12" s="219"/>
      <c r="GU12" s="219"/>
      <c r="GV12" s="219"/>
      <c r="GW12" s="219"/>
      <c r="GX12" s="219"/>
      <c r="GY12" s="219"/>
      <c r="GZ12" s="219"/>
      <c r="HA12" s="219"/>
      <c r="HB12" s="219"/>
      <c r="HC12" s="219"/>
      <c r="HD12" s="219"/>
      <c r="HE12" s="219"/>
      <c r="HF12" s="222"/>
      <c r="HG12" s="220"/>
      <c r="HH12" s="219"/>
      <c r="HI12" s="219"/>
      <c r="HJ12" s="219"/>
      <c r="HK12" s="219"/>
      <c r="HL12" s="219"/>
      <c r="HM12" s="219"/>
      <c r="HN12" s="219"/>
      <c r="HO12" s="219"/>
      <c r="HP12" s="219"/>
      <c r="HQ12" s="219"/>
      <c r="HR12" s="219"/>
      <c r="HS12" s="219"/>
      <c r="HT12" s="219"/>
      <c r="HU12" s="219"/>
      <c r="HV12" s="219"/>
      <c r="HW12" s="219"/>
      <c r="HX12" s="219"/>
      <c r="HY12" s="219"/>
      <c r="HZ12" s="219"/>
      <c r="IA12" s="219"/>
      <c r="IB12" s="219"/>
      <c r="IC12" s="219"/>
      <c r="ID12" s="223"/>
      <c r="IE12" s="29"/>
      <c r="IF12" s="29"/>
      <c r="IG12" s="29"/>
      <c r="IH12" s="29"/>
      <c r="II12" s="29"/>
      <c r="IJ12" s="29"/>
      <c r="IK12" s="29"/>
      <c r="IL12" s="29"/>
      <c r="IM12" s="29"/>
      <c r="IN12" s="29"/>
      <c r="IO12" s="29"/>
      <c r="IP12" s="29"/>
      <c r="IQ12" s="29"/>
      <c r="IR12" s="29"/>
      <c r="IS12" s="29"/>
      <c r="IT12" s="29"/>
      <c r="IU12" s="29"/>
      <c r="IV12" s="29"/>
      <c r="IW12" s="29"/>
      <c r="IX12" s="29"/>
      <c r="IY12" s="29"/>
      <c r="IZ12" s="29"/>
      <c r="JA12" s="29"/>
      <c r="JB12" s="29"/>
      <c r="JC12" s="29"/>
      <c r="JD12" s="29"/>
      <c r="JE12" s="29"/>
      <c r="JF12" s="29"/>
      <c r="JG12" s="29"/>
      <c r="JH12" s="29"/>
      <c r="JI12" s="29"/>
      <c r="JJ12" s="29"/>
      <c r="JK12" s="29"/>
      <c r="JL12" s="29"/>
      <c r="JM12" s="29"/>
      <c r="JN12" s="29"/>
      <c r="JO12" s="29"/>
      <c r="JP12" s="29"/>
      <c r="JQ12" s="29"/>
      <c r="JR12" s="29"/>
      <c r="JS12" s="29"/>
      <c r="JT12" s="29"/>
      <c r="JU12" s="29"/>
      <c r="JV12" s="29"/>
      <c r="JW12" s="29"/>
      <c r="JX12" s="29"/>
      <c r="JY12" s="29"/>
      <c r="JZ12" s="29"/>
      <c r="KA12" s="29"/>
      <c r="KB12" s="29"/>
      <c r="KC12" s="29"/>
      <c r="KD12" s="29"/>
      <c r="KE12" s="29"/>
      <c r="KF12" s="29"/>
      <c r="KG12" s="29"/>
      <c r="KH12" s="29"/>
      <c r="KI12" s="29"/>
      <c r="KJ12" s="29"/>
      <c r="KK12" s="29"/>
      <c r="KL12" s="29"/>
      <c r="KM12" s="29"/>
      <c r="KN12" s="29"/>
      <c r="KO12" s="29"/>
      <c r="KP12" s="29"/>
      <c r="KQ12" s="29"/>
      <c r="KR12" s="29"/>
      <c r="KS12" s="29"/>
      <c r="KT12" s="29"/>
      <c r="KU12" s="29"/>
      <c r="KV12" s="29"/>
      <c r="KW12" s="29"/>
      <c r="KX12" s="29"/>
      <c r="KY12" s="29"/>
      <c r="KZ12" s="29"/>
      <c r="LA12" s="29"/>
      <c r="LB12" s="29"/>
      <c r="LC12" s="29"/>
      <c r="LD12" s="29"/>
      <c r="LE12" s="29"/>
      <c r="LF12" s="29"/>
      <c r="LG12" s="29"/>
      <c r="LH12" s="29"/>
      <c r="LI12" s="29"/>
      <c r="LJ12" s="29"/>
      <c r="LK12" s="29"/>
    </row>
    <row r="13" spans="1:324" s="70" customFormat="1">
      <c r="A13" s="195">
        <f t="shared" si="1"/>
        <v>9</v>
      </c>
      <c r="B13" s="196"/>
      <c r="C13" s="49"/>
      <c r="D13" s="50"/>
      <c r="E13" s="50"/>
      <c r="F13" s="51"/>
      <c r="G13" s="197"/>
      <c r="H13" s="53" t="str">
        <f t="shared" si="0"/>
        <v/>
      </c>
      <c r="I13" s="53"/>
      <c r="J13" s="53"/>
      <c r="K13" s="53"/>
      <c r="L13" s="53"/>
      <c r="M13" s="340" t="str">
        <f t="shared" si="2"/>
        <v/>
      </c>
      <c r="N13" s="278"/>
      <c r="O13" s="278"/>
      <c r="P13" s="278"/>
      <c r="Q13" s="278"/>
      <c r="R13" s="72"/>
      <c r="S13" s="170"/>
      <c r="T13" s="279"/>
      <c r="U13" s="198"/>
      <c r="V13" s="279"/>
      <c r="W13" s="199"/>
      <c r="X13" s="279"/>
      <c r="Y13" s="57"/>
      <c r="Z13" s="279"/>
      <c r="AA13" s="200"/>
      <c r="AB13" s="279"/>
      <c r="AC13" s="59"/>
      <c r="AD13" s="279"/>
      <c r="AE13" s="59"/>
      <c r="AF13" s="279"/>
      <c r="AG13" s="59"/>
      <c r="AH13" s="279"/>
      <c r="AI13" s="265"/>
      <c r="AJ13" s="279"/>
      <c r="AK13" s="59"/>
      <c r="AL13" s="279"/>
      <c r="AM13" s="59"/>
      <c r="AN13" s="279"/>
      <c r="AO13" s="59"/>
      <c r="AP13" s="279"/>
      <c r="AQ13" s="59"/>
      <c r="AR13" s="279"/>
      <c r="AS13" s="59"/>
      <c r="AT13" s="279"/>
      <c r="AU13" s="59"/>
      <c r="AV13" s="279"/>
      <c r="AW13" s="59"/>
      <c r="AX13" s="279"/>
      <c r="AY13" s="201"/>
      <c r="AZ13" s="279"/>
      <c r="BA13" s="73"/>
      <c r="BB13" s="279"/>
      <c r="BC13" s="73"/>
      <c r="BD13" s="279"/>
      <c r="BE13" s="73"/>
      <c r="BF13" s="279"/>
      <c r="BG13" s="73"/>
      <c r="BH13" s="279"/>
      <c r="BI13" s="73"/>
      <c r="BJ13" s="279"/>
      <c r="BK13" s="73"/>
      <c r="BL13" s="279"/>
      <c r="BM13" s="73"/>
      <c r="BN13" s="279"/>
      <c r="BO13" s="73"/>
      <c r="BP13" s="279"/>
      <c r="BQ13" s="73"/>
      <c r="BR13" s="279"/>
      <c r="BS13" s="73"/>
      <c r="BT13" s="279"/>
      <c r="BU13" s="141"/>
      <c r="BV13" s="279"/>
      <c r="BW13" s="202"/>
      <c r="BX13" s="279"/>
      <c r="BY13" s="73"/>
      <c r="BZ13" s="279"/>
      <c r="CA13" s="73"/>
      <c r="CB13" s="279"/>
      <c r="CC13" s="73"/>
      <c r="CD13" s="279"/>
      <c r="CE13" s="73"/>
      <c r="CF13" s="279"/>
      <c r="CG13" s="73"/>
      <c r="CH13" s="279"/>
      <c r="CI13" s="73"/>
      <c r="CJ13" s="279"/>
      <c r="CK13" s="73"/>
      <c r="CL13" s="279"/>
      <c r="CM13" s="73"/>
      <c r="CN13" s="279"/>
      <c r="CO13" s="73"/>
      <c r="CP13" s="279"/>
      <c r="CQ13" s="73"/>
      <c r="CR13" s="279"/>
      <c r="CS13" s="141"/>
      <c r="CT13" s="279"/>
      <c r="CU13" s="74"/>
      <c r="CV13" s="75"/>
      <c r="CW13" s="164"/>
      <c r="CX13" s="166"/>
      <c r="CY13" s="425"/>
      <c r="CZ13" s="60"/>
      <c r="DA13" s="205"/>
      <c r="DB13" s="61"/>
      <c r="DC13" s="254"/>
      <c r="DD13" s="60"/>
      <c r="DE13" s="254"/>
      <c r="DF13" s="75"/>
      <c r="DG13" s="254"/>
      <c r="DH13" s="77"/>
      <c r="DI13" s="266"/>
      <c r="DJ13" s="427">
        <f t="shared" si="3"/>
        <v>10000</v>
      </c>
      <c r="DK13" s="139"/>
      <c r="DL13" s="76"/>
      <c r="DM13" s="209"/>
      <c r="DN13" s="63"/>
      <c r="DO13" s="63"/>
      <c r="DP13" s="63"/>
      <c r="DQ13" s="63"/>
      <c r="DR13" s="63"/>
      <c r="DS13" s="63"/>
      <c r="DT13" s="63"/>
      <c r="DU13" s="64"/>
      <c r="DV13" s="76"/>
      <c r="DW13" s="76"/>
      <c r="DX13" s="209"/>
      <c r="DY13" s="63"/>
      <c r="DZ13" s="63"/>
      <c r="EA13" s="63"/>
      <c r="EB13" s="63"/>
      <c r="EC13" s="63"/>
      <c r="ED13" s="63"/>
      <c r="EE13" s="63"/>
      <c r="EF13" s="64"/>
      <c r="EG13" s="76"/>
      <c r="EH13" s="76"/>
      <c r="EI13" s="210"/>
      <c r="EJ13" s="167"/>
      <c r="EK13" s="67"/>
      <c r="EL13" s="67"/>
      <c r="EM13" s="79"/>
      <c r="EN13" s="78"/>
      <c r="EO13" s="78"/>
      <c r="EP13" s="78"/>
      <c r="EQ13" s="78"/>
      <c r="ER13" s="78"/>
      <c r="ES13" s="78"/>
      <c r="ET13" s="78"/>
      <c r="EU13" s="78"/>
      <c r="EV13" s="80"/>
      <c r="EW13" s="81"/>
      <c r="EX13" s="78"/>
      <c r="EY13" s="78"/>
      <c r="EZ13" s="78"/>
      <c r="FA13" s="79"/>
      <c r="FB13" s="78"/>
      <c r="FC13" s="78"/>
      <c r="FD13" s="80"/>
      <c r="FE13" s="211"/>
      <c r="FF13" s="69"/>
      <c r="FG13" s="213"/>
      <c r="FH13" s="214"/>
      <c r="FI13" s="215"/>
      <c r="FJ13" s="212"/>
      <c r="FK13" s="211"/>
      <c r="FL13" s="217"/>
      <c r="FM13" s="83"/>
      <c r="FN13" s="219"/>
      <c r="FO13" s="83"/>
      <c r="FP13" s="219"/>
      <c r="FQ13" s="218"/>
      <c r="FR13" s="219"/>
      <c r="FS13" s="218"/>
      <c r="FT13" s="219"/>
      <c r="FU13" s="218"/>
      <c r="FV13" s="219"/>
      <c r="FW13" s="218"/>
      <c r="FX13" s="219"/>
      <c r="FY13" s="218"/>
      <c r="FZ13" s="219"/>
      <c r="GA13" s="218"/>
      <c r="GB13" s="219"/>
      <c r="GC13" s="218"/>
      <c r="GD13" s="219"/>
      <c r="GE13" s="218"/>
      <c r="GF13" s="219"/>
      <c r="GG13" s="218"/>
      <c r="GH13" s="220"/>
      <c r="GI13" s="221"/>
      <c r="GJ13" s="219"/>
      <c r="GK13" s="219"/>
      <c r="GL13" s="219"/>
      <c r="GM13" s="219"/>
      <c r="GN13" s="219"/>
      <c r="GO13" s="219"/>
      <c r="GP13" s="219"/>
      <c r="GQ13" s="219"/>
      <c r="GR13" s="219"/>
      <c r="GS13" s="219"/>
      <c r="GT13" s="219"/>
      <c r="GU13" s="219"/>
      <c r="GV13" s="219"/>
      <c r="GW13" s="219"/>
      <c r="GX13" s="219"/>
      <c r="GY13" s="219"/>
      <c r="GZ13" s="219"/>
      <c r="HA13" s="219"/>
      <c r="HB13" s="219"/>
      <c r="HC13" s="219"/>
      <c r="HD13" s="219"/>
      <c r="HE13" s="219"/>
      <c r="HF13" s="222"/>
      <c r="HG13" s="220"/>
      <c r="HH13" s="219"/>
      <c r="HI13" s="219"/>
      <c r="HJ13" s="219"/>
      <c r="HK13" s="219"/>
      <c r="HL13" s="219"/>
      <c r="HM13" s="219"/>
      <c r="HN13" s="219"/>
      <c r="HO13" s="219"/>
      <c r="HP13" s="219"/>
      <c r="HQ13" s="219"/>
      <c r="HR13" s="219"/>
      <c r="HS13" s="219"/>
      <c r="HT13" s="219"/>
      <c r="HU13" s="219"/>
      <c r="HV13" s="219"/>
      <c r="HW13" s="219"/>
      <c r="HX13" s="219"/>
      <c r="HY13" s="219"/>
      <c r="HZ13" s="219"/>
      <c r="IA13" s="219"/>
      <c r="IB13" s="219"/>
      <c r="IC13" s="219"/>
      <c r="ID13" s="223"/>
      <c r="IE13" s="29"/>
      <c r="IF13" s="29"/>
      <c r="IG13" s="29"/>
      <c r="IH13" s="29"/>
      <c r="II13" s="29"/>
      <c r="IJ13" s="29"/>
      <c r="IK13" s="29"/>
      <c r="IL13" s="29"/>
      <c r="IM13" s="29"/>
      <c r="IN13" s="29"/>
      <c r="IO13" s="29"/>
      <c r="IP13" s="29"/>
      <c r="IQ13" s="29"/>
      <c r="IR13" s="29"/>
      <c r="IS13" s="29"/>
      <c r="IT13" s="29"/>
      <c r="IU13" s="29"/>
      <c r="IV13" s="29"/>
      <c r="IW13" s="29"/>
      <c r="IX13" s="29"/>
      <c r="IY13" s="29"/>
      <c r="IZ13" s="29"/>
      <c r="JA13" s="29"/>
      <c r="JB13" s="29"/>
      <c r="JC13" s="29"/>
      <c r="JD13" s="29"/>
      <c r="JE13" s="29"/>
      <c r="JF13" s="29"/>
      <c r="JG13" s="29"/>
      <c r="JH13" s="29"/>
      <c r="JI13" s="29"/>
      <c r="JJ13" s="29"/>
      <c r="JK13" s="29"/>
      <c r="JL13" s="29"/>
      <c r="JM13" s="29"/>
      <c r="JN13" s="29"/>
      <c r="JO13" s="29"/>
      <c r="JP13" s="29"/>
      <c r="JQ13" s="29"/>
      <c r="JR13" s="29"/>
      <c r="JS13" s="29"/>
      <c r="JT13" s="29"/>
      <c r="JU13" s="29"/>
      <c r="JV13" s="29"/>
      <c r="JW13" s="29"/>
      <c r="JX13" s="29"/>
      <c r="JY13" s="29"/>
      <c r="JZ13" s="29"/>
      <c r="KA13" s="29"/>
      <c r="KB13" s="29"/>
      <c r="KC13" s="29"/>
      <c r="KD13" s="29"/>
      <c r="KE13" s="29"/>
      <c r="KF13" s="29"/>
      <c r="KG13" s="29"/>
      <c r="KH13" s="29"/>
      <c r="KI13" s="29"/>
      <c r="KJ13" s="29"/>
      <c r="KK13" s="29"/>
      <c r="KL13" s="29"/>
      <c r="KM13" s="29"/>
      <c r="KN13" s="29"/>
      <c r="KO13" s="29"/>
      <c r="KP13" s="29"/>
      <c r="KQ13" s="29"/>
      <c r="KR13" s="29"/>
      <c r="KS13" s="29"/>
      <c r="KT13" s="29"/>
      <c r="KU13" s="29"/>
      <c r="KV13" s="29"/>
      <c r="KW13" s="29"/>
      <c r="KX13" s="29"/>
      <c r="KY13" s="29"/>
      <c r="KZ13" s="29"/>
      <c r="LA13" s="29"/>
      <c r="LB13" s="29"/>
      <c r="LC13" s="29"/>
      <c r="LD13" s="29"/>
      <c r="LE13" s="29"/>
      <c r="LF13" s="29"/>
      <c r="LG13" s="29"/>
      <c r="LH13" s="29"/>
      <c r="LI13" s="29"/>
      <c r="LJ13" s="29"/>
      <c r="LK13" s="29"/>
    </row>
    <row r="14" spans="1:324" s="70" customFormat="1">
      <c r="A14" s="195">
        <f>ROW()-4</f>
        <v>10</v>
      </c>
      <c r="B14" s="196"/>
      <c r="C14" s="49"/>
      <c r="D14" s="50"/>
      <c r="E14" s="50"/>
      <c r="F14" s="51"/>
      <c r="G14" s="197"/>
      <c r="H14" s="53" t="str">
        <f t="shared" si="0"/>
        <v/>
      </c>
      <c r="I14" s="53"/>
      <c r="J14" s="53"/>
      <c r="K14" s="53"/>
      <c r="L14" s="53"/>
      <c r="M14" s="340" t="str">
        <f t="shared" si="2"/>
        <v/>
      </c>
      <c r="N14" s="278"/>
      <c r="O14" s="278"/>
      <c r="P14" s="278"/>
      <c r="Q14" s="278"/>
      <c r="R14" s="72"/>
      <c r="S14" s="170"/>
      <c r="T14" s="279"/>
      <c r="U14" s="198"/>
      <c r="V14" s="279"/>
      <c r="W14" s="199"/>
      <c r="X14" s="279"/>
      <c r="Y14" s="57"/>
      <c r="Z14" s="279"/>
      <c r="AA14" s="200"/>
      <c r="AB14" s="279"/>
      <c r="AC14" s="59"/>
      <c r="AD14" s="279"/>
      <c r="AE14" s="59"/>
      <c r="AF14" s="279"/>
      <c r="AG14" s="59"/>
      <c r="AH14" s="279"/>
      <c r="AI14" s="265"/>
      <c r="AJ14" s="279"/>
      <c r="AK14" s="59"/>
      <c r="AL14" s="279"/>
      <c r="AM14" s="59"/>
      <c r="AN14" s="279"/>
      <c r="AO14" s="59"/>
      <c r="AP14" s="279"/>
      <c r="AQ14" s="59"/>
      <c r="AR14" s="279"/>
      <c r="AS14" s="59"/>
      <c r="AT14" s="279"/>
      <c r="AU14" s="59"/>
      <c r="AV14" s="279"/>
      <c r="AW14" s="59"/>
      <c r="AX14" s="279"/>
      <c r="AY14" s="201"/>
      <c r="AZ14" s="279"/>
      <c r="BA14" s="73"/>
      <c r="BB14" s="279"/>
      <c r="BC14" s="73"/>
      <c r="BD14" s="279"/>
      <c r="BE14" s="73"/>
      <c r="BF14" s="279"/>
      <c r="BG14" s="73"/>
      <c r="BH14" s="279"/>
      <c r="BI14" s="73"/>
      <c r="BJ14" s="279"/>
      <c r="BK14" s="73"/>
      <c r="BL14" s="279"/>
      <c r="BM14" s="73"/>
      <c r="BN14" s="279"/>
      <c r="BO14" s="73"/>
      <c r="BP14" s="279"/>
      <c r="BQ14" s="73"/>
      <c r="BR14" s="279"/>
      <c r="BS14" s="73"/>
      <c r="BT14" s="279"/>
      <c r="BU14" s="141"/>
      <c r="BV14" s="279"/>
      <c r="BW14" s="202"/>
      <c r="BX14" s="279"/>
      <c r="BY14" s="73"/>
      <c r="BZ14" s="279"/>
      <c r="CA14" s="73"/>
      <c r="CB14" s="279"/>
      <c r="CC14" s="73"/>
      <c r="CD14" s="279"/>
      <c r="CE14" s="73"/>
      <c r="CF14" s="279"/>
      <c r="CG14" s="73"/>
      <c r="CH14" s="279"/>
      <c r="CI14" s="73"/>
      <c r="CJ14" s="279"/>
      <c r="CK14" s="73"/>
      <c r="CL14" s="279"/>
      <c r="CM14" s="73"/>
      <c r="CN14" s="279"/>
      <c r="CO14" s="73"/>
      <c r="CP14" s="279"/>
      <c r="CQ14" s="73"/>
      <c r="CR14" s="279"/>
      <c r="CS14" s="141"/>
      <c r="CT14" s="279"/>
      <c r="CU14" s="74"/>
      <c r="CV14" s="75"/>
      <c r="CW14" s="164"/>
      <c r="CX14" s="166"/>
      <c r="CY14" s="425"/>
      <c r="CZ14" s="60"/>
      <c r="DA14" s="205"/>
      <c r="DB14" s="61"/>
      <c r="DC14" s="254"/>
      <c r="DD14" s="60"/>
      <c r="DE14" s="254"/>
      <c r="DF14" s="75"/>
      <c r="DG14" s="254"/>
      <c r="DH14" s="77"/>
      <c r="DI14" s="266"/>
      <c r="DJ14" s="427">
        <f t="shared" si="3"/>
        <v>10000</v>
      </c>
      <c r="DK14" s="139"/>
      <c r="DL14" s="76"/>
      <c r="DM14" s="209"/>
      <c r="DN14" s="63"/>
      <c r="DO14" s="63"/>
      <c r="DP14" s="63"/>
      <c r="DQ14" s="63"/>
      <c r="DR14" s="63"/>
      <c r="DS14" s="63"/>
      <c r="DT14" s="63"/>
      <c r="DU14" s="64"/>
      <c r="DV14" s="76"/>
      <c r="DW14" s="76"/>
      <c r="DX14" s="209"/>
      <c r="DY14" s="63"/>
      <c r="DZ14" s="63"/>
      <c r="EA14" s="63"/>
      <c r="EB14" s="63"/>
      <c r="EC14" s="63"/>
      <c r="ED14" s="63"/>
      <c r="EE14" s="63"/>
      <c r="EF14" s="64"/>
      <c r="EG14" s="76"/>
      <c r="EH14" s="76"/>
      <c r="EI14" s="210"/>
      <c r="EJ14" s="167"/>
      <c r="EK14" s="67"/>
      <c r="EL14" s="67"/>
      <c r="EM14" s="79"/>
      <c r="EN14" s="78"/>
      <c r="EO14" s="78"/>
      <c r="EP14" s="78"/>
      <c r="EQ14" s="78"/>
      <c r="ER14" s="78"/>
      <c r="ES14" s="78"/>
      <c r="ET14" s="78"/>
      <c r="EU14" s="78"/>
      <c r="EV14" s="80"/>
      <c r="EW14" s="81"/>
      <c r="EX14" s="78"/>
      <c r="EY14" s="78"/>
      <c r="EZ14" s="78"/>
      <c r="FA14" s="79"/>
      <c r="FB14" s="78"/>
      <c r="FC14" s="78"/>
      <c r="FD14" s="80"/>
      <c r="FE14" s="211"/>
      <c r="FF14" s="69"/>
      <c r="FG14" s="213"/>
      <c r="FH14" s="214"/>
      <c r="FI14" s="215"/>
      <c r="FJ14" s="212"/>
      <c r="FK14" s="211"/>
      <c r="FL14" s="217"/>
      <c r="FM14" s="83"/>
      <c r="FN14" s="219"/>
      <c r="FO14" s="83"/>
      <c r="FP14" s="219"/>
      <c r="FQ14" s="218"/>
      <c r="FR14" s="219"/>
      <c r="FS14" s="218"/>
      <c r="FT14" s="219"/>
      <c r="FU14" s="218"/>
      <c r="FV14" s="219"/>
      <c r="FW14" s="218"/>
      <c r="FX14" s="219"/>
      <c r="FY14" s="218"/>
      <c r="FZ14" s="219"/>
      <c r="GA14" s="218"/>
      <c r="GB14" s="219"/>
      <c r="GC14" s="218"/>
      <c r="GD14" s="219"/>
      <c r="GE14" s="218"/>
      <c r="GF14" s="219"/>
      <c r="GG14" s="218"/>
      <c r="GH14" s="220"/>
      <c r="GI14" s="221"/>
      <c r="GJ14" s="219"/>
      <c r="GK14" s="219"/>
      <c r="GL14" s="219"/>
      <c r="GM14" s="219"/>
      <c r="GN14" s="219"/>
      <c r="GO14" s="219"/>
      <c r="GP14" s="219"/>
      <c r="GQ14" s="219"/>
      <c r="GR14" s="219"/>
      <c r="GS14" s="219"/>
      <c r="GT14" s="219"/>
      <c r="GU14" s="219"/>
      <c r="GV14" s="219"/>
      <c r="GW14" s="219"/>
      <c r="GX14" s="219"/>
      <c r="GY14" s="219"/>
      <c r="GZ14" s="219"/>
      <c r="HA14" s="219"/>
      <c r="HB14" s="219"/>
      <c r="HC14" s="219"/>
      <c r="HD14" s="219"/>
      <c r="HE14" s="219"/>
      <c r="HF14" s="222"/>
      <c r="HG14" s="220"/>
      <c r="HH14" s="219"/>
      <c r="HI14" s="219"/>
      <c r="HJ14" s="219"/>
      <c r="HK14" s="219"/>
      <c r="HL14" s="219"/>
      <c r="HM14" s="219"/>
      <c r="HN14" s="219"/>
      <c r="HO14" s="219"/>
      <c r="HP14" s="219"/>
      <c r="HQ14" s="219"/>
      <c r="HR14" s="219"/>
      <c r="HS14" s="219"/>
      <c r="HT14" s="219"/>
      <c r="HU14" s="219"/>
      <c r="HV14" s="219"/>
      <c r="HW14" s="219"/>
      <c r="HX14" s="219"/>
      <c r="HY14" s="219"/>
      <c r="HZ14" s="219"/>
      <c r="IA14" s="219"/>
      <c r="IB14" s="219"/>
      <c r="IC14" s="219"/>
      <c r="ID14" s="223"/>
      <c r="IE14" s="29"/>
      <c r="IF14" s="29"/>
      <c r="IG14" s="29"/>
      <c r="IH14" s="29"/>
      <c r="II14" s="29"/>
      <c r="IJ14" s="29"/>
      <c r="IK14" s="29"/>
      <c r="IL14" s="29"/>
      <c r="IM14" s="29"/>
      <c r="IN14" s="29"/>
      <c r="IO14" s="29"/>
      <c r="IP14" s="29"/>
      <c r="IQ14" s="29"/>
      <c r="IR14" s="29"/>
      <c r="IS14" s="29"/>
      <c r="IT14" s="29"/>
      <c r="IU14" s="29"/>
      <c r="IV14" s="29"/>
      <c r="IW14" s="29"/>
      <c r="IX14" s="29"/>
      <c r="IY14" s="29"/>
      <c r="IZ14" s="29"/>
      <c r="JA14" s="29"/>
      <c r="JB14" s="29"/>
      <c r="JC14" s="29"/>
      <c r="JD14" s="29"/>
      <c r="JE14" s="29"/>
      <c r="JF14" s="29"/>
      <c r="JG14" s="29"/>
      <c r="JH14" s="29"/>
      <c r="JI14" s="29"/>
      <c r="JJ14" s="29"/>
      <c r="JK14" s="29"/>
      <c r="JL14" s="29"/>
      <c r="JM14" s="29"/>
      <c r="JN14" s="29"/>
      <c r="JO14" s="29"/>
      <c r="JP14" s="29"/>
      <c r="JQ14" s="29"/>
      <c r="JR14" s="29"/>
      <c r="JS14" s="29"/>
      <c r="JT14" s="29"/>
      <c r="JU14" s="29"/>
      <c r="JV14" s="29"/>
      <c r="JW14" s="29"/>
      <c r="JX14" s="29"/>
      <c r="JY14" s="29"/>
      <c r="JZ14" s="29"/>
      <c r="KA14" s="29"/>
      <c r="KB14" s="29"/>
      <c r="KC14" s="29"/>
      <c r="KD14" s="29"/>
      <c r="KE14" s="29"/>
      <c r="KF14" s="29"/>
      <c r="KG14" s="29"/>
      <c r="KH14" s="29"/>
      <c r="KI14" s="29"/>
      <c r="KJ14" s="29"/>
      <c r="KK14" s="29"/>
      <c r="KL14" s="29"/>
      <c r="KM14" s="29"/>
      <c r="KN14" s="29"/>
      <c r="KO14" s="29"/>
      <c r="KP14" s="29"/>
      <c r="KQ14" s="29"/>
      <c r="KR14" s="29"/>
      <c r="KS14" s="29"/>
      <c r="KT14" s="29"/>
      <c r="KU14" s="29"/>
      <c r="KV14" s="29"/>
      <c r="KW14" s="29"/>
      <c r="KX14" s="29"/>
      <c r="KY14" s="29"/>
      <c r="KZ14" s="29"/>
      <c r="LA14" s="29"/>
      <c r="LB14" s="29"/>
      <c r="LC14" s="29"/>
      <c r="LD14" s="29"/>
      <c r="LE14" s="29"/>
      <c r="LF14" s="29"/>
      <c r="LG14" s="29"/>
      <c r="LH14" s="29"/>
      <c r="LI14" s="29"/>
      <c r="LJ14" s="29"/>
      <c r="LK14" s="29"/>
    </row>
    <row r="15" spans="1:324" s="70" customFormat="1">
      <c r="A15" s="195">
        <f t="shared" ref="A15:A21" si="4">ROW()-4</f>
        <v>11</v>
      </c>
      <c r="B15" s="196"/>
      <c r="C15" s="49"/>
      <c r="D15" s="50"/>
      <c r="E15" s="50"/>
      <c r="F15" s="51"/>
      <c r="G15" s="197"/>
      <c r="H15" s="53" t="str">
        <f t="shared" si="0"/>
        <v/>
      </c>
      <c r="I15" s="53"/>
      <c r="J15" s="53"/>
      <c r="K15" s="53"/>
      <c r="L15" s="53"/>
      <c r="M15" s="340" t="str">
        <f t="shared" si="2"/>
        <v/>
      </c>
      <c r="N15" s="278"/>
      <c r="O15" s="278"/>
      <c r="P15" s="278"/>
      <c r="Q15" s="278"/>
      <c r="R15" s="72"/>
      <c r="S15" s="170"/>
      <c r="T15" s="279"/>
      <c r="U15" s="198"/>
      <c r="V15" s="279"/>
      <c r="W15" s="199"/>
      <c r="X15" s="279"/>
      <c r="Y15" s="57"/>
      <c r="Z15" s="279"/>
      <c r="AA15" s="200"/>
      <c r="AB15" s="279"/>
      <c r="AC15" s="59"/>
      <c r="AD15" s="279"/>
      <c r="AE15" s="59"/>
      <c r="AF15" s="279"/>
      <c r="AG15" s="59"/>
      <c r="AH15" s="279"/>
      <c r="AI15" s="265"/>
      <c r="AJ15" s="279"/>
      <c r="AK15" s="59"/>
      <c r="AL15" s="279"/>
      <c r="AM15" s="59"/>
      <c r="AN15" s="279"/>
      <c r="AO15" s="59"/>
      <c r="AP15" s="279"/>
      <c r="AQ15" s="59"/>
      <c r="AR15" s="279"/>
      <c r="AS15" s="59"/>
      <c r="AT15" s="279"/>
      <c r="AU15" s="59"/>
      <c r="AV15" s="279"/>
      <c r="AW15" s="59"/>
      <c r="AX15" s="279"/>
      <c r="AY15" s="201"/>
      <c r="AZ15" s="279"/>
      <c r="BA15" s="73"/>
      <c r="BB15" s="279"/>
      <c r="BC15" s="73"/>
      <c r="BD15" s="279"/>
      <c r="BE15" s="73"/>
      <c r="BF15" s="279"/>
      <c r="BG15" s="73"/>
      <c r="BH15" s="279"/>
      <c r="BI15" s="73"/>
      <c r="BJ15" s="279"/>
      <c r="BK15" s="73"/>
      <c r="BL15" s="279"/>
      <c r="BM15" s="73"/>
      <c r="BN15" s="279"/>
      <c r="BO15" s="73"/>
      <c r="BP15" s="279"/>
      <c r="BQ15" s="73"/>
      <c r="BR15" s="279"/>
      <c r="BS15" s="73"/>
      <c r="BT15" s="279"/>
      <c r="BU15" s="141"/>
      <c r="BV15" s="279"/>
      <c r="BW15" s="202"/>
      <c r="BX15" s="279"/>
      <c r="BY15" s="73"/>
      <c r="BZ15" s="279"/>
      <c r="CA15" s="73"/>
      <c r="CB15" s="279"/>
      <c r="CC15" s="73"/>
      <c r="CD15" s="279"/>
      <c r="CE15" s="73"/>
      <c r="CF15" s="279"/>
      <c r="CG15" s="73"/>
      <c r="CH15" s="279"/>
      <c r="CI15" s="73"/>
      <c r="CJ15" s="279"/>
      <c r="CK15" s="73"/>
      <c r="CL15" s="279"/>
      <c r="CM15" s="73"/>
      <c r="CN15" s="279"/>
      <c r="CO15" s="73"/>
      <c r="CP15" s="279"/>
      <c r="CQ15" s="73"/>
      <c r="CR15" s="279"/>
      <c r="CS15" s="141"/>
      <c r="CT15" s="279"/>
      <c r="CU15" s="74"/>
      <c r="CV15" s="75"/>
      <c r="CW15" s="164"/>
      <c r="CX15" s="166"/>
      <c r="CY15" s="425"/>
      <c r="CZ15" s="60"/>
      <c r="DA15" s="205"/>
      <c r="DB15" s="61"/>
      <c r="DC15" s="254"/>
      <c r="DD15" s="60"/>
      <c r="DE15" s="254"/>
      <c r="DF15" s="75"/>
      <c r="DG15" s="254"/>
      <c r="DH15" s="77"/>
      <c r="DI15" s="266"/>
      <c r="DJ15" s="427">
        <f t="shared" si="3"/>
        <v>10000</v>
      </c>
      <c r="DK15" s="139"/>
      <c r="DL15" s="76"/>
      <c r="DM15" s="209"/>
      <c r="DN15" s="63"/>
      <c r="DO15" s="63"/>
      <c r="DP15" s="63"/>
      <c r="DQ15" s="63"/>
      <c r="DR15" s="63"/>
      <c r="DS15" s="63"/>
      <c r="DT15" s="63"/>
      <c r="DU15" s="64"/>
      <c r="DV15" s="76"/>
      <c r="DW15" s="76"/>
      <c r="DX15" s="209"/>
      <c r="DY15" s="63"/>
      <c r="DZ15" s="63"/>
      <c r="EA15" s="63"/>
      <c r="EB15" s="63"/>
      <c r="EC15" s="63"/>
      <c r="ED15" s="63"/>
      <c r="EE15" s="63"/>
      <c r="EF15" s="64"/>
      <c r="EG15" s="76"/>
      <c r="EH15" s="76"/>
      <c r="EI15" s="210"/>
      <c r="EJ15" s="167"/>
      <c r="EK15" s="67"/>
      <c r="EL15" s="67"/>
      <c r="EM15" s="79"/>
      <c r="EN15" s="78"/>
      <c r="EO15" s="78"/>
      <c r="EP15" s="78"/>
      <c r="EQ15" s="78"/>
      <c r="ER15" s="78"/>
      <c r="ES15" s="78"/>
      <c r="ET15" s="78"/>
      <c r="EU15" s="78"/>
      <c r="EV15" s="80"/>
      <c r="EW15" s="81"/>
      <c r="EX15" s="78"/>
      <c r="EY15" s="78"/>
      <c r="EZ15" s="78"/>
      <c r="FA15" s="79"/>
      <c r="FB15" s="78"/>
      <c r="FC15" s="78"/>
      <c r="FD15" s="80"/>
      <c r="FE15" s="211"/>
      <c r="FF15" s="69"/>
      <c r="FG15" s="213"/>
      <c r="FH15" s="214"/>
      <c r="FI15" s="215"/>
      <c r="FJ15" s="212"/>
      <c r="FK15" s="211"/>
      <c r="FL15" s="217"/>
      <c r="FM15" s="83"/>
      <c r="FN15" s="219"/>
      <c r="FO15" s="83"/>
      <c r="FP15" s="219"/>
      <c r="FQ15" s="218"/>
      <c r="FR15" s="219"/>
      <c r="FS15" s="218"/>
      <c r="FT15" s="219"/>
      <c r="FU15" s="218"/>
      <c r="FV15" s="219"/>
      <c r="FW15" s="218"/>
      <c r="FX15" s="219"/>
      <c r="FY15" s="218"/>
      <c r="FZ15" s="219"/>
      <c r="GA15" s="218"/>
      <c r="GB15" s="219"/>
      <c r="GC15" s="218"/>
      <c r="GD15" s="219"/>
      <c r="GE15" s="218"/>
      <c r="GF15" s="219"/>
      <c r="GG15" s="218"/>
      <c r="GH15" s="220"/>
      <c r="GI15" s="221"/>
      <c r="GJ15" s="219"/>
      <c r="GK15" s="219"/>
      <c r="GL15" s="219"/>
      <c r="GM15" s="219"/>
      <c r="GN15" s="219"/>
      <c r="GO15" s="219"/>
      <c r="GP15" s="219"/>
      <c r="GQ15" s="219"/>
      <c r="GR15" s="219"/>
      <c r="GS15" s="219"/>
      <c r="GT15" s="219"/>
      <c r="GU15" s="219"/>
      <c r="GV15" s="219"/>
      <c r="GW15" s="219"/>
      <c r="GX15" s="219"/>
      <c r="GY15" s="219"/>
      <c r="GZ15" s="219"/>
      <c r="HA15" s="219"/>
      <c r="HB15" s="219"/>
      <c r="HC15" s="219"/>
      <c r="HD15" s="219"/>
      <c r="HE15" s="219"/>
      <c r="HF15" s="222"/>
      <c r="HG15" s="220"/>
      <c r="HH15" s="219"/>
      <c r="HI15" s="219"/>
      <c r="HJ15" s="219"/>
      <c r="HK15" s="219"/>
      <c r="HL15" s="219"/>
      <c r="HM15" s="219"/>
      <c r="HN15" s="219"/>
      <c r="HO15" s="219"/>
      <c r="HP15" s="219"/>
      <c r="HQ15" s="219"/>
      <c r="HR15" s="219"/>
      <c r="HS15" s="219"/>
      <c r="HT15" s="219"/>
      <c r="HU15" s="219"/>
      <c r="HV15" s="219"/>
      <c r="HW15" s="219"/>
      <c r="HX15" s="219"/>
      <c r="HY15" s="219"/>
      <c r="HZ15" s="219"/>
      <c r="IA15" s="219"/>
      <c r="IB15" s="219"/>
      <c r="IC15" s="219"/>
      <c r="ID15" s="223"/>
      <c r="IE15" s="29"/>
      <c r="IF15" s="29"/>
      <c r="IG15" s="29"/>
      <c r="IH15" s="29"/>
      <c r="II15" s="29"/>
      <c r="IJ15" s="29"/>
      <c r="IK15" s="29"/>
      <c r="IL15" s="29"/>
      <c r="IM15" s="29"/>
      <c r="IN15" s="29"/>
      <c r="IO15" s="29"/>
      <c r="IP15" s="29"/>
      <c r="IQ15" s="29"/>
      <c r="IR15" s="29"/>
      <c r="IS15" s="29"/>
      <c r="IT15" s="29"/>
      <c r="IU15" s="29"/>
      <c r="IV15" s="29"/>
      <c r="IW15" s="29"/>
      <c r="IX15" s="29"/>
      <c r="IY15" s="29"/>
      <c r="IZ15" s="29"/>
      <c r="JA15" s="29"/>
      <c r="JB15" s="29"/>
      <c r="JC15" s="29"/>
      <c r="JD15" s="29"/>
      <c r="JE15" s="29"/>
      <c r="JF15" s="29"/>
      <c r="JG15" s="29"/>
      <c r="JH15" s="29"/>
      <c r="JI15" s="29"/>
      <c r="JJ15" s="29"/>
      <c r="JK15" s="29"/>
      <c r="JL15" s="29"/>
      <c r="JM15" s="29"/>
      <c r="JN15" s="29"/>
      <c r="JO15" s="29"/>
      <c r="JP15" s="29"/>
      <c r="JQ15" s="29"/>
      <c r="JR15" s="29"/>
      <c r="JS15" s="29"/>
      <c r="JT15" s="29"/>
      <c r="JU15" s="29"/>
      <c r="JV15" s="29"/>
      <c r="JW15" s="29"/>
      <c r="JX15" s="29"/>
      <c r="JY15" s="29"/>
      <c r="JZ15" s="29"/>
      <c r="KA15" s="29"/>
      <c r="KB15" s="29"/>
      <c r="KC15" s="29"/>
      <c r="KD15" s="29"/>
      <c r="KE15" s="29"/>
      <c r="KF15" s="29"/>
      <c r="KG15" s="29"/>
      <c r="KH15" s="29"/>
      <c r="KI15" s="29"/>
      <c r="KJ15" s="29"/>
      <c r="KK15" s="29"/>
      <c r="KL15" s="29"/>
      <c r="KM15" s="29"/>
      <c r="KN15" s="29"/>
      <c r="KO15" s="29"/>
      <c r="KP15" s="29"/>
      <c r="KQ15" s="29"/>
      <c r="KR15" s="29"/>
      <c r="KS15" s="29"/>
      <c r="KT15" s="29"/>
      <c r="KU15" s="29"/>
      <c r="KV15" s="29"/>
      <c r="KW15" s="29"/>
      <c r="KX15" s="29"/>
      <c r="KY15" s="29"/>
      <c r="KZ15" s="29"/>
      <c r="LA15" s="29"/>
      <c r="LB15" s="29"/>
      <c r="LC15" s="29"/>
      <c r="LD15" s="29"/>
      <c r="LE15" s="29"/>
      <c r="LF15" s="29"/>
      <c r="LG15" s="29"/>
      <c r="LH15" s="29"/>
      <c r="LI15" s="29"/>
      <c r="LJ15" s="29"/>
      <c r="LK15" s="29"/>
    </row>
    <row r="16" spans="1:324" s="70" customFormat="1">
      <c r="A16" s="195">
        <f t="shared" si="4"/>
        <v>12</v>
      </c>
      <c r="B16" s="196"/>
      <c r="C16" s="49"/>
      <c r="D16" s="50"/>
      <c r="E16" s="50"/>
      <c r="F16" s="51"/>
      <c r="G16" s="197"/>
      <c r="H16" s="53" t="str">
        <f t="shared" si="0"/>
        <v/>
      </c>
      <c r="I16" s="53"/>
      <c r="J16" s="53"/>
      <c r="K16" s="53"/>
      <c r="L16" s="53"/>
      <c r="M16" s="340" t="str">
        <f t="shared" si="2"/>
        <v/>
      </c>
      <c r="N16" s="278"/>
      <c r="O16" s="278"/>
      <c r="P16" s="278"/>
      <c r="Q16" s="278"/>
      <c r="R16" s="72"/>
      <c r="S16" s="170"/>
      <c r="T16" s="279"/>
      <c r="U16" s="198"/>
      <c r="V16" s="279"/>
      <c r="W16" s="199"/>
      <c r="X16" s="279"/>
      <c r="Y16" s="57"/>
      <c r="Z16" s="279"/>
      <c r="AA16" s="200"/>
      <c r="AB16" s="279"/>
      <c r="AC16" s="59"/>
      <c r="AD16" s="279"/>
      <c r="AE16" s="59"/>
      <c r="AF16" s="279"/>
      <c r="AG16" s="59"/>
      <c r="AH16" s="279"/>
      <c r="AI16" s="265"/>
      <c r="AJ16" s="279"/>
      <c r="AK16" s="59"/>
      <c r="AL16" s="279"/>
      <c r="AM16" s="59"/>
      <c r="AN16" s="279"/>
      <c r="AO16" s="59"/>
      <c r="AP16" s="279"/>
      <c r="AQ16" s="59"/>
      <c r="AR16" s="279"/>
      <c r="AS16" s="59"/>
      <c r="AT16" s="279"/>
      <c r="AU16" s="59"/>
      <c r="AV16" s="279"/>
      <c r="AW16" s="59"/>
      <c r="AX16" s="279"/>
      <c r="AY16" s="201"/>
      <c r="AZ16" s="279"/>
      <c r="BA16" s="73"/>
      <c r="BB16" s="279"/>
      <c r="BC16" s="73"/>
      <c r="BD16" s="279"/>
      <c r="BE16" s="73"/>
      <c r="BF16" s="279"/>
      <c r="BG16" s="73"/>
      <c r="BH16" s="279"/>
      <c r="BI16" s="73"/>
      <c r="BJ16" s="279"/>
      <c r="BK16" s="73"/>
      <c r="BL16" s="279"/>
      <c r="BM16" s="73"/>
      <c r="BN16" s="279"/>
      <c r="BO16" s="73"/>
      <c r="BP16" s="279"/>
      <c r="BQ16" s="73"/>
      <c r="BR16" s="279"/>
      <c r="BS16" s="73"/>
      <c r="BT16" s="279"/>
      <c r="BU16" s="141"/>
      <c r="BV16" s="279"/>
      <c r="BW16" s="202"/>
      <c r="BX16" s="279"/>
      <c r="BY16" s="73"/>
      <c r="BZ16" s="279"/>
      <c r="CA16" s="73"/>
      <c r="CB16" s="279"/>
      <c r="CC16" s="73"/>
      <c r="CD16" s="279"/>
      <c r="CE16" s="73"/>
      <c r="CF16" s="279"/>
      <c r="CG16" s="73"/>
      <c r="CH16" s="279"/>
      <c r="CI16" s="73"/>
      <c r="CJ16" s="279"/>
      <c r="CK16" s="73"/>
      <c r="CL16" s="279"/>
      <c r="CM16" s="73"/>
      <c r="CN16" s="279"/>
      <c r="CO16" s="73"/>
      <c r="CP16" s="279"/>
      <c r="CQ16" s="73"/>
      <c r="CR16" s="279"/>
      <c r="CS16" s="141"/>
      <c r="CT16" s="279"/>
      <c r="CU16" s="74"/>
      <c r="CV16" s="75"/>
      <c r="CW16" s="164"/>
      <c r="CX16" s="166"/>
      <c r="CY16" s="425"/>
      <c r="CZ16" s="60"/>
      <c r="DA16" s="205"/>
      <c r="DB16" s="61"/>
      <c r="DC16" s="254"/>
      <c r="DD16" s="60"/>
      <c r="DE16" s="254"/>
      <c r="DF16" s="75"/>
      <c r="DG16" s="254"/>
      <c r="DH16" s="77"/>
      <c r="DI16" s="266"/>
      <c r="DJ16" s="427">
        <f t="shared" si="3"/>
        <v>10000</v>
      </c>
      <c r="DK16" s="139"/>
      <c r="DL16" s="76"/>
      <c r="DM16" s="209"/>
      <c r="DN16" s="63"/>
      <c r="DO16" s="63"/>
      <c r="DP16" s="63"/>
      <c r="DQ16" s="63"/>
      <c r="DR16" s="63"/>
      <c r="DS16" s="63"/>
      <c r="DT16" s="63"/>
      <c r="DU16" s="64"/>
      <c r="DV16" s="76"/>
      <c r="DW16" s="76"/>
      <c r="DX16" s="209"/>
      <c r="DY16" s="63"/>
      <c r="DZ16" s="63"/>
      <c r="EA16" s="63"/>
      <c r="EB16" s="63"/>
      <c r="EC16" s="63"/>
      <c r="ED16" s="63"/>
      <c r="EE16" s="63"/>
      <c r="EF16" s="64"/>
      <c r="EG16" s="76"/>
      <c r="EH16" s="76"/>
      <c r="EI16" s="210"/>
      <c r="EJ16" s="167"/>
      <c r="EK16" s="67"/>
      <c r="EL16" s="67"/>
      <c r="EM16" s="79"/>
      <c r="EN16" s="78"/>
      <c r="EO16" s="78"/>
      <c r="EP16" s="78"/>
      <c r="EQ16" s="78"/>
      <c r="ER16" s="78"/>
      <c r="ES16" s="78"/>
      <c r="ET16" s="78"/>
      <c r="EU16" s="78"/>
      <c r="EV16" s="80"/>
      <c r="EW16" s="81"/>
      <c r="EX16" s="78"/>
      <c r="EY16" s="78"/>
      <c r="EZ16" s="78"/>
      <c r="FA16" s="79"/>
      <c r="FB16" s="78"/>
      <c r="FC16" s="78"/>
      <c r="FD16" s="80"/>
      <c r="FE16" s="211"/>
      <c r="FF16" s="69"/>
      <c r="FG16" s="213"/>
      <c r="FH16" s="214"/>
      <c r="FI16" s="215"/>
      <c r="FJ16" s="212"/>
      <c r="FK16" s="211"/>
      <c r="FL16" s="217"/>
      <c r="FM16" s="83"/>
      <c r="FN16" s="219"/>
      <c r="FO16" s="83"/>
      <c r="FP16" s="219"/>
      <c r="FQ16" s="218"/>
      <c r="FR16" s="219"/>
      <c r="FS16" s="218"/>
      <c r="FT16" s="219"/>
      <c r="FU16" s="218"/>
      <c r="FV16" s="219"/>
      <c r="FW16" s="218"/>
      <c r="FX16" s="219"/>
      <c r="FY16" s="218"/>
      <c r="FZ16" s="219"/>
      <c r="GA16" s="218"/>
      <c r="GB16" s="219"/>
      <c r="GC16" s="218"/>
      <c r="GD16" s="219"/>
      <c r="GE16" s="218"/>
      <c r="GF16" s="219"/>
      <c r="GG16" s="218"/>
      <c r="GH16" s="220"/>
      <c r="GI16" s="221"/>
      <c r="GJ16" s="219"/>
      <c r="GK16" s="219"/>
      <c r="GL16" s="219"/>
      <c r="GM16" s="219"/>
      <c r="GN16" s="219"/>
      <c r="GO16" s="219"/>
      <c r="GP16" s="219"/>
      <c r="GQ16" s="219"/>
      <c r="GR16" s="219"/>
      <c r="GS16" s="219"/>
      <c r="GT16" s="219"/>
      <c r="GU16" s="219"/>
      <c r="GV16" s="219"/>
      <c r="GW16" s="219"/>
      <c r="GX16" s="219"/>
      <c r="GY16" s="219"/>
      <c r="GZ16" s="219"/>
      <c r="HA16" s="219"/>
      <c r="HB16" s="219"/>
      <c r="HC16" s="219"/>
      <c r="HD16" s="219"/>
      <c r="HE16" s="219"/>
      <c r="HF16" s="222"/>
      <c r="HG16" s="220"/>
      <c r="HH16" s="219"/>
      <c r="HI16" s="219"/>
      <c r="HJ16" s="219"/>
      <c r="HK16" s="219"/>
      <c r="HL16" s="219"/>
      <c r="HM16" s="219"/>
      <c r="HN16" s="219"/>
      <c r="HO16" s="219"/>
      <c r="HP16" s="219"/>
      <c r="HQ16" s="219"/>
      <c r="HR16" s="219"/>
      <c r="HS16" s="219"/>
      <c r="HT16" s="219"/>
      <c r="HU16" s="219"/>
      <c r="HV16" s="219"/>
      <c r="HW16" s="219"/>
      <c r="HX16" s="219"/>
      <c r="HY16" s="219"/>
      <c r="HZ16" s="219"/>
      <c r="IA16" s="219"/>
      <c r="IB16" s="219"/>
      <c r="IC16" s="219"/>
      <c r="ID16" s="223"/>
      <c r="IE16" s="29"/>
      <c r="IF16" s="29"/>
      <c r="IG16" s="29"/>
      <c r="IH16" s="29"/>
      <c r="II16" s="29"/>
      <c r="IJ16" s="29"/>
      <c r="IK16" s="29"/>
      <c r="IL16" s="29"/>
      <c r="IM16" s="29"/>
      <c r="IN16" s="29"/>
      <c r="IO16" s="29"/>
      <c r="IP16" s="29"/>
      <c r="IQ16" s="29"/>
      <c r="IR16" s="29"/>
      <c r="IS16" s="29"/>
      <c r="IT16" s="29"/>
      <c r="IU16" s="29"/>
      <c r="IV16" s="29"/>
      <c r="IW16" s="29"/>
      <c r="IX16" s="29"/>
      <c r="IY16" s="29"/>
      <c r="IZ16" s="29"/>
      <c r="JA16" s="29"/>
      <c r="JB16" s="29"/>
      <c r="JC16" s="29"/>
      <c r="JD16" s="29"/>
      <c r="JE16" s="29"/>
      <c r="JF16" s="29"/>
      <c r="JG16" s="29"/>
      <c r="JH16" s="29"/>
      <c r="JI16" s="29"/>
      <c r="JJ16" s="29"/>
      <c r="JK16" s="29"/>
      <c r="JL16" s="29"/>
      <c r="JM16" s="29"/>
      <c r="JN16" s="29"/>
      <c r="JO16" s="29"/>
      <c r="JP16" s="29"/>
      <c r="JQ16" s="29"/>
      <c r="JR16" s="29"/>
      <c r="JS16" s="29"/>
      <c r="JT16" s="29"/>
      <c r="JU16" s="29"/>
      <c r="JV16" s="29"/>
      <c r="JW16" s="29"/>
      <c r="JX16" s="29"/>
      <c r="JY16" s="29"/>
      <c r="JZ16" s="29"/>
      <c r="KA16" s="29"/>
      <c r="KB16" s="29"/>
      <c r="KC16" s="29"/>
      <c r="KD16" s="29"/>
      <c r="KE16" s="29"/>
      <c r="KF16" s="29"/>
      <c r="KG16" s="29"/>
      <c r="KH16" s="29"/>
      <c r="KI16" s="29"/>
      <c r="KJ16" s="29"/>
      <c r="KK16" s="29"/>
      <c r="KL16" s="29"/>
      <c r="KM16" s="29"/>
      <c r="KN16" s="29"/>
      <c r="KO16" s="29"/>
      <c r="KP16" s="29"/>
      <c r="KQ16" s="29"/>
      <c r="KR16" s="29"/>
      <c r="KS16" s="29"/>
      <c r="KT16" s="29"/>
      <c r="KU16" s="29"/>
      <c r="KV16" s="29"/>
      <c r="KW16" s="29"/>
      <c r="KX16" s="29"/>
      <c r="KY16" s="29"/>
      <c r="KZ16" s="29"/>
      <c r="LA16" s="29"/>
      <c r="LB16" s="29"/>
      <c r="LC16" s="29"/>
      <c r="LD16" s="29"/>
      <c r="LE16" s="29"/>
      <c r="LF16" s="29"/>
      <c r="LG16" s="29"/>
      <c r="LH16" s="29"/>
      <c r="LI16" s="29"/>
      <c r="LJ16" s="29"/>
      <c r="LK16" s="29"/>
    </row>
    <row r="17" spans="1:323" s="70" customFormat="1">
      <c r="A17" s="195">
        <f t="shared" si="4"/>
        <v>13</v>
      </c>
      <c r="B17" s="196"/>
      <c r="C17" s="49"/>
      <c r="D17" s="50"/>
      <c r="E17" s="50"/>
      <c r="F17" s="51"/>
      <c r="G17" s="197"/>
      <c r="H17" s="53" t="str">
        <f t="shared" si="0"/>
        <v/>
      </c>
      <c r="I17" s="53"/>
      <c r="J17" s="53"/>
      <c r="K17" s="53"/>
      <c r="L17" s="53"/>
      <c r="M17" s="340" t="str">
        <f t="shared" si="2"/>
        <v/>
      </c>
      <c r="N17" s="278"/>
      <c r="O17" s="278"/>
      <c r="P17" s="278"/>
      <c r="Q17" s="278"/>
      <c r="R17" s="72"/>
      <c r="S17" s="170"/>
      <c r="T17" s="279"/>
      <c r="U17" s="198"/>
      <c r="V17" s="279"/>
      <c r="W17" s="199"/>
      <c r="X17" s="279"/>
      <c r="Y17" s="57"/>
      <c r="Z17" s="279"/>
      <c r="AA17" s="200"/>
      <c r="AB17" s="279"/>
      <c r="AC17" s="59"/>
      <c r="AD17" s="279"/>
      <c r="AE17" s="59"/>
      <c r="AF17" s="279"/>
      <c r="AG17" s="59"/>
      <c r="AH17" s="279"/>
      <c r="AI17" s="265"/>
      <c r="AJ17" s="279"/>
      <c r="AK17" s="59"/>
      <c r="AL17" s="279"/>
      <c r="AM17" s="59"/>
      <c r="AN17" s="279"/>
      <c r="AO17" s="59"/>
      <c r="AP17" s="279"/>
      <c r="AQ17" s="59"/>
      <c r="AR17" s="279"/>
      <c r="AS17" s="59"/>
      <c r="AT17" s="279"/>
      <c r="AU17" s="59"/>
      <c r="AV17" s="279"/>
      <c r="AW17" s="59"/>
      <c r="AX17" s="279"/>
      <c r="AY17" s="201"/>
      <c r="AZ17" s="279"/>
      <c r="BA17" s="73"/>
      <c r="BB17" s="279"/>
      <c r="BC17" s="73"/>
      <c r="BD17" s="279"/>
      <c r="BE17" s="73"/>
      <c r="BF17" s="279"/>
      <c r="BG17" s="73"/>
      <c r="BH17" s="279"/>
      <c r="BI17" s="73"/>
      <c r="BJ17" s="279"/>
      <c r="BK17" s="73"/>
      <c r="BL17" s="279"/>
      <c r="BM17" s="73"/>
      <c r="BN17" s="279"/>
      <c r="BO17" s="73"/>
      <c r="BP17" s="279"/>
      <c r="BQ17" s="73"/>
      <c r="BR17" s="279"/>
      <c r="BS17" s="73"/>
      <c r="BT17" s="279"/>
      <c r="BU17" s="141"/>
      <c r="BV17" s="279"/>
      <c r="BW17" s="202"/>
      <c r="BX17" s="279"/>
      <c r="BY17" s="73"/>
      <c r="BZ17" s="279"/>
      <c r="CA17" s="73"/>
      <c r="CB17" s="279"/>
      <c r="CC17" s="73"/>
      <c r="CD17" s="279"/>
      <c r="CE17" s="73"/>
      <c r="CF17" s="279"/>
      <c r="CG17" s="73"/>
      <c r="CH17" s="279"/>
      <c r="CI17" s="73"/>
      <c r="CJ17" s="279"/>
      <c r="CK17" s="73"/>
      <c r="CL17" s="279"/>
      <c r="CM17" s="73"/>
      <c r="CN17" s="279"/>
      <c r="CO17" s="73"/>
      <c r="CP17" s="279"/>
      <c r="CQ17" s="73"/>
      <c r="CR17" s="279"/>
      <c r="CS17" s="141"/>
      <c r="CT17" s="279"/>
      <c r="CU17" s="74"/>
      <c r="CV17" s="75"/>
      <c r="CW17" s="164"/>
      <c r="CX17" s="166"/>
      <c r="CY17" s="425"/>
      <c r="CZ17" s="60"/>
      <c r="DA17" s="205"/>
      <c r="DB17" s="61"/>
      <c r="DC17" s="254"/>
      <c r="DD17" s="60"/>
      <c r="DE17" s="254"/>
      <c r="DF17" s="75"/>
      <c r="DG17" s="254"/>
      <c r="DH17" s="77"/>
      <c r="DI17" s="266"/>
      <c r="DJ17" s="427">
        <f t="shared" si="3"/>
        <v>10000</v>
      </c>
      <c r="DK17" s="139"/>
      <c r="DL17" s="76"/>
      <c r="DM17" s="209"/>
      <c r="DN17" s="63"/>
      <c r="DO17" s="63"/>
      <c r="DP17" s="63"/>
      <c r="DQ17" s="63"/>
      <c r="DR17" s="63"/>
      <c r="DS17" s="63"/>
      <c r="DT17" s="63"/>
      <c r="DU17" s="64"/>
      <c r="DV17" s="76"/>
      <c r="DW17" s="76"/>
      <c r="DX17" s="209"/>
      <c r="DY17" s="63"/>
      <c r="DZ17" s="63"/>
      <c r="EA17" s="63"/>
      <c r="EB17" s="63"/>
      <c r="EC17" s="63"/>
      <c r="ED17" s="63"/>
      <c r="EE17" s="63"/>
      <c r="EF17" s="64"/>
      <c r="EG17" s="76"/>
      <c r="EH17" s="76"/>
      <c r="EI17" s="210"/>
      <c r="EJ17" s="167"/>
      <c r="EK17" s="67"/>
      <c r="EL17" s="67"/>
      <c r="EM17" s="79"/>
      <c r="EN17" s="78"/>
      <c r="EO17" s="78"/>
      <c r="EP17" s="78"/>
      <c r="EQ17" s="78"/>
      <c r="ER17" s="78"/>
      <c r="ES17" s="78"/>
      <c r="ET17" s="78"/>
      <c r="EU17" s="78"/>
      <c r="EV17" s="80"/>
      <c r="EW17" s="81"/>
      <c r="EX17" s="78"/>
      <c r="EY17" s="78"/>
      <c r="EZ17" s="78"/>
      <c r="FA17" s="79"/>
      <c r="FB17" s="78"/>
      <c r="FC17" s="78"/>
      <c r="FD17" s="80"/>
      <c r="FE17" s="211"/>
      <c r="FF17" s="69"/>
      <c r="FG17" s="213"/>
      <c r="FH17" s="214"/>
      <c r="FI17" s="215"/>
      <c r="FJ17" s="212"/>
      <c r="FK17" s="211"/>
      <c r="FL17" s="217"/>
      <c r="FM17" s="83"/>
      <c r="FN17" s="219"/>
      <c r="FO17" s="83"/>
      <c r="FP17" s="219"/>
      <c r="FQ17" s="218"/>
      <c r="FR17" s="219"/>
      <c r="FS17" s="218"/>
      <c r="FT17" s="219"/>
      <c r="FU17" s="218"/>
      <c r="FV17" s="219"/>
      <c r="FW17" s="218"/>
      <c r="FX17" s="219"/>
      <c r="FY17" s="218"/>
      <c r="FZ17" s="219"/>
      <c r="GA17" s="218"/>
      <c r="GB17" s="219"/>
      <c r="GC17" s="218"/>
      <c r="GD17" s="219"/>
      <c r="GE17" s="218"/>
      <c r="GF17" s="219"/>
      <c r="GG17" s="218"/>
      <c r="GH17" s="220"/>
      <c r="GI17" s="221"/>
      <c r="GJ17" s="219"/>
      <c r="GK17" s="219"/>
      <c r="GL17" s="219"/>
      <c r="GM17" s="219"/>
      <c r="GN17" s="219"/>
      <c r="GO17" s="219"/>
      <c r="GP17" s="219"/>
      <c r="GQ17" s="219"/>
      <c r="GR17" s="219"/>
      <c r="GS17" s="219"/>
      <c r="GT17" s="219"/>
      <c r="GU17" s="219"/>
      <c r="GV17" s="219"/>
      <c r="GW17" s="219"/>
      <c r="GX17" s="219"/>
      <c r="GY17" s="219"/>
      <c r="GZ17" s="219"/>
      <c r="HA17" s="219"/>
      <c r="HB17" s="219"/>
      <c r="HC17" s="219"/>
      <c r="HD17" s="219"/>
      <c r="HE17" s="219"/>
      <c r="HF17" s="222"/>
      <c r="HG17" s="220"/>
      <c r="HH17" s="219"/>
      <c r="HI17" s="219"/>
      <c r="HJ17" s="219"/>
      <c r="HK17" s="219"/>
      <c r="HL17" s="219"/>
      <c r="HM17" s="219"/>
      <c r="HN17" s="219"/>
      <c r="HO17" s="219"/>
      <c r="HP17" s="219"/>
      <c r="HQ17" s="219"/>
      <c r="HR17" s="219"/>
      <c r="HS17" s="219"/>
      <c r="HT17" s="219"/>
      <c r="HU17" s="219"/>
      <c r="HV17" s="219"/>
      <c r="HW17" s="219"/>
      <c r="HX17" s="219"/>
      <c r="HY17" s="219"/>
      <c r="HZ17" s="219"/>
      <c r="IA17" s="219"/>
      <c r="IB17" s="219"/>
      <c r="IC17" s="219"/>
      <c r="ID17" s="223"/>
      <c r="IE17" s="29"/>
      <c r="IF17" s="29"/>
      <c r="IG17" s="29"/>
      <c r="IH17" s="29"/>
      <c r="II17" s="29"/>
      <c r="IJ17" s="29"/>
      <c r="IK17" s="29"/>
      <c r="IL17" s="29"/>
      <c r="IM17" s="29"/>
      <c r="IN17" s="29"/>
      <c r="IO17" s="29"/>
      <c r="IP17" s="29"/>
      <c r="IQ17" s="29"/>
      <c r="IR17" s="29"/>
      <c r="IS17" s="29"/>
      <c r="IT17" s="29"/>
      <c r="IU17" s="29"/>
      <c r="IV17" s="29"/>
      <c r="IW17" s="29"/>
      <c r="IX17" s="29"/>
      <c r="IY17" s="29"/>
      <c r="IZ17" s="29"/>
      <c r="JA17" s="29"/>
      <c r="JB17" s="29"/>
      <c r="JC17" s="29"/>
      <c r="JD17" s="29"/>
      <c r="JE17" s="29"/>
      <c r="JF17" s="29"/>
      <c r="JG17" s="29"/>
      <c r="JH17" s="29"/>
      <c r="JI17" s="29"/>
      <c r="JJ17" s="29"/>
      <c r="JK17" s="29"/>
      <c r="JL17" s="29"/>
      <c r="JM17" s="29"/>
      <c r="JN17" s="29"/>
      <c r="JO17" s="29"/>
      <c r="JP17" s="29"/>
      <c r="JQ17" s="29"/>
      <c r="JR17" s="29"/>
      <c r="JS17" s="29"/>
      <c r="JT17" s="29"/>
      <c r="JU17" s="29"/>
      <c r="JV17" s="29"/>
      <c r="JW17" s="29"/>
      <c r="JX17" s="29"/>
      <c r="JY17" s="29"/>
      <c r="JZ17" s="29"/>
      <c r="KA17" s="29"/>
      <c r="KB17" s="29"/>
      <c r="KC17" s="29"/>
      <c r="KD17" s="29"/>
      <c r="KE17" s="29"/>
      <c r="KF17" s="29"/>
      <c r="KG17" s="29"/>
      <c r="KH17" s="29"/>
      <c r="KI17" s="29"/>
      <c r="KJ17" s="29"/>
      <c r="KK17" s="29"/>
      <c r="KL17" s="29"/>
      <c r="KM17" s="29"/>
      <c r="KN17" s="29"/>
      <c r="KO17" s="29"/>
      <c r="KP17" s="29"/>
      <c r="KQ17" s="29"/>
      <c r="KR17" s="29"/>
      <c r="KS17" s="29"/>
      <c r="KT17" s="29"/>
      <c r="KU17" s="29"/>
      <c r="KV17" s="29"/>
      <c r="KW17" s="29"/>
      <c r="KX17" s="29"/>
      <c r="KY17" s="29"/>
      <c r="KZ17" s="29"/>
      <c r="LA17" s="29"/>
      <c r="LB17" s="29"/>
      <c r="LC17" s="29"/>
      <c r="LD17" s="29"/>
      <c r="LE17" s="29"/>
      <c r="LF17" s="29"/>
      <c r="LG17" s="29"/>
      <c r="LH17" s="29"/>
      <c r="LI17" s="29"/>
      <c r="LJ17" s="29"/>
      <c r="LK17" s="29"/>
    </row>
    <row r="18" spans="1:323" s="70" customFormat="1">
      <c r="A18" s="195">
        <f t="shared" si="4"/>
        <v>14</v>
      </c>
      <c r="B18" s="196"/>
      <c r="C18" s="49"/>
      <c r="D18" s="50"/>
      <c r="E18" s="50"/>
      <c r="F18" s="51"/>
      <c r="G18" s="197"/>
      <c r="H18" s="53" t="str">
        <f t="shared" si="0"/>
        <v/>
      </c>
      <c r="I18" s="53"/>
      <c r="J18" s="53"/>
      <c r="K18" s="53"/>
      <c r="L18" s="53"/>
      <c r="M18" s="340" t="str">
        <f t="shared" si="2"/>
        <v/>
      </c>
      <c r="N18" s="278"/>
      <c r="O18" s="278"/>
      <c r="P18" s="278"/>
      <c r="Q18" s="278"/>
      <c r="R18" s="72"/>
      <c r="S18" s="170"/>
      <c r="T18" s="279"/>
      <c r="U18" s="198"/>
      <c r="V18" s="279"/>
      <c r="W18" s="199"/>
      <c r="X18" s="279"/>
      <c r="Y18" s="57"/>
      <c r="Z18" s="279"/>
      <c r="AA18" s="200"/>
      <c r="AB18" s="279"/>
      <c r="AC18" s="59"/>
      <c r="AD18" s="279"/>
      <c r="AE18" s="59"/>
      <c r="AF18" s="279"/>
      <c r="AG18" s="59"/>
      <c r="AH18" s="279"/>
      <c r="AI18" s="265"/>
      <c r="AJ18" s="279"/>
      <c r="AK18" s="59"/>
      <c r="AL18" s="279"/>
      <c r="AM18" s="59"/>
      <c r="AN18" s="279"/>
      <c r="AO18" s="59"/>
      <c r="AP18" s="279"/>
      <c r="AQ18" s="59"/>
      <c r="AR18" s="279"/>
      <c r="AS18" s="59"/>
      <c r="AT18" s="279"/>
      <c r="AU18" s="59"/>
      <c r="AV18" s="279"/>
      <c r="AW18" s="59"/>
      <c r="AX18" s="279"/>
      <c r="AY18" s="201"/>
      <c r="AZ18" s="279"/>
      <c r="BA18" s="73"/>
      <c r="BB18" s="279"/>
      <c r="BC18" s="73"/>
      <c r="BD18" s="279"/>
      <c r="BE18" s="73"/>
      <c r="BF18" s="279"/>
      <c r="BG18" s="73"/>
      <c r="BH18" s="279"/>
      <c r="BI18" s="73"/>
      <c r="BJ18" s="279"/>
      <c r="BK18" s="73"/>
      <c r="BL18" s="279"/>
      <c r="BM18" s="73"/>
      <c r="BN18" s="279"/>
      <c r="BO18" s="73"/>
      <c r="BP18" s="279"/>
      <c r="BQ18" s="73"/>
      <c r="BR18" s="279"/>
      <c r="BS18" s="73"/>
      <c r="BT18" s="279"/>
      <c r="BU18" s="141"/>
      <c r="BV18" s="279"/>
      <c r="BW18" s="202"/>
      <c r="BX18" s="279"/>
      <c r="BY18" s="73"/>
      <c r="BZ18" s="279"/>
      <c r="CA18" s="73"/>
      <c r="CB18" s="279"/>
      <c r="CC18" s="73"/>
      <c r="CD18" s="279"/>
      <c r="CE18" s="73"/>
      <c r="CF18" s="279"/>
      <c r="CG18" s="73"/>
      <c r="CH18" s="279"/>
      <c r="CI18" s="73"/>
      <c r="CJ18" s="279"/>
      <c r="CK18" s="73"/>
      <c r="CL18" s="279"/>
      <c r="CM18" s="73"/>
      <c r="CN18" s="279"/>
      <c r="CO18" s="73"/>
      <c r="CP18" s="279"/>
      <c r="CQ18" s="73"/>
      <c r="CR18" s="279"/>
      <c r="CS18" s="141"/>
      <c r="CT18" s="279"/>
      <c r="CU18" s="74"/>
      <c r="CV18" s="75"/>
      <c r="CW18" s="164"/>
      <c r="CX18" s="166"/>
      <c r="CY18" s="425"/>
      <c r="CZ18" s="60"/>
      <c r="DA18" s="205"/>
      <c r="DB18" s="61"/>
      <c r="DC18" s="254"/>
      <c r="DD18" s="60"/>
      <c r="DE18" s="254"/>
      <c r="DF18" s="75"/>
      <c r="DG18" s="254"/>
      <c r="DH18" s="77"/>
      <c r="DI18" s="266"/>
      <c r="DJ18" s="427">
        <f t="shared" si="3"/>
        <v>10000</v>
      </c>
      <c r="DK18" s="139"/>
      <c r="DL18" s="76"/>
      <c r="DM18" s="209"/>
      <c r="DN18" s="63"/>
      <c r="DO18" s="63"/>
      <c r="DP18" s="63"/>
      <c r="DQ18" s="63"/>
      <c r="DR18" s="63"/>
      <c r="DS18" s="63"/>
      <c r="DT18" s="63"/>
      <c r="DU18" s="64"/>
      <c r="DV18" s="76"/>
      <c r="DW18" s="76"/>
      <c r="DX18" s="209"/>
      <c r="DY18" s="63"/>
      <c r="DZ18" s="63"/>
      <c r="EA18" s="63"/>
      <c r="EB18" s="63"/>
      <c r="EC18" s="63"/>
      <c r="ED18" s="63"/>
      <c r="EE18" s="63"/>
      <c r="EF18" s="64"/>
      <c r="EG18" s="76"/>
      <c r="EH18" s="76"/>
      <c r="EI18" s="210"/>
      <c r="EJ18" s="167"/>
      <c r="EK18" s="67"/>
      <c r="EL18" s="67"/>
      <c r="EM18" s="79"/>
      <c r="EN18" s="78"/>
      <c r="EO18" s="78"/>
      <c r="EP18" s="78"/>
      <c r="EQ18" s="78"/>
      <c r="ER18" s="78"/>
      <c r="ES18" s="78"/>
      <c r="ET18" s="78"/>
      <c r="EU18" s="78"/>
      <c r="EV18" s="80"/>
      <c r="EW18" s="81"/>
      <c r="EX18" s="78"/>
      <c r="EY18" s="78"/>
      <c r="EZ18" s="78"/>
      <c r="FA18" s="79"/>
      <c r="FB18" s="78"/>
      <c r="FC18" s="78"/>
      <c r="FD18" s="80"/>
      <c r="FE18" s="211"/>
      <c r="FF18" s="69"/>
      <c r="FG18" s="213"/>
      <c r="FH18" s="214"/>
      <c r="FI18" s="215"/>
      <c r="FJ18" s="212"/>
      <c r="FK18" s="211"/>
      <c r="FL18" s="217"/>
      <c r="FM18" s="83"/>
      <c r="FN18" s="219"/>
      <c r="FO18" s="83"/>
      <c r="FP18" s="219"/>
      <c r="FQ18" s="218"/>
      <c r="FR18" s="219"/>
      <c r="FS18" s="218"/>
      <c r="FT18" s="219"/>
      <c r="FU18" s="218"/>
      <c r="FV18" s="219"/>
      <c r="FW18" s="218"/>
      <c r="FX18" s="219"/>
      <c r="FY18" s="218"/>
      <c r="FZ18" s="219"/>
      <c r="GA18" s="218"/>
      <c r="GB18" s="219"/>
      <c r="GC18" s="218"/>
      <c r="GD18" s="219"/>
      <c r="GE18" s="218"/>
      <c r="GF18" s="219"/>
      <c r="GG18" s="218"/>
      <c r="GH18" s="220"/>
      <c r="GI18" s="221"/>
      <c r="GJ18" s="219"/>
      <c r="GK18" s="219"/>
      <c r="GL18" s="219"/>
      <c r="GM18" s="219"/>
      <c r="GN18" s="219"/>
      <c r="GO18" s="219"/>
      <c r="GP18" s="219"/>
      <c r="GQ18" s="219"/>
      <c r="GR18" s="219"/>
      <c r="GS18" s="219"/>
      <c r="GT18" s="219"/>
      <c r="GU18" s="219"/>
      <c r="GV18" s="219"/>
      <c r="GW18" s="219"/>
      <c r="GX18" s="219"/>
      <c r="GY18" s="219"/>
      <c r="GZ18" s="219"/>
      <c r="HA18" s="219"/>
      <c r="HB18" s="219"/>
      <c r="HC18" s="219"/>
      <c r="HD18" s="219"/>
      <c r="HE18" s="219"/>
      <c r="HF18" s="222"/>
      <c r="HG18" s="220"/>
      <c r="HH18" s="219"/>
      <c r="HI18" s="219"/>
      <c r="HJ18" s="219"/>
      <c r="HK18" s="219"/>
      <c r="HL18" s="219"/>
      <c r="HM18" s="219"/>
      <c r="HN18" s="219"/>
      <c r="HO18" s="219"/>
      <c r="HP18" s="219"/>
      <c r="HQ18" s="219"/>
      <c r="HR18" s="219"/>
      <c r="HS18" s="219"/>
      <c r="HT18" s="219"/>
      <c r="HU18" s="219"/>
      <c r="HV18" s="219"/>
      <c r="HW18" s="219"/>
      <c r="HX18" s="219"/>
      <c r="HY18" s="219"/>
      <c r="HZ18" s="219"/>
      <c r="IA18" s="219"/>
      <c r="IB18" s="219"/>
      <c r="IC18" s="219"/>
      <c r="ID18" s="223"/>
      <c r="IE18" s="29"/>
      <c r="IF18" s="29"/>
      <c r="IG18" s="29"/>
      <c r="IH18" s="29"/>
      <c r="II18" s="29"/>
      <c r="IJ18" s="29"/>
      <c r="IK18" s="29"/>
      <c r="IL18" s="29"/>
      <c r="IM18" s="29"/>
      <c r="IN18" s="29"/>
      <c r="IO18" s="29"/>
      <c r="IP18" s="29"/>
      <c r="IQ18" s="29"/>
      <c r="IR18" s="29"/>
      <c r="IS18" s="29"/>
      <c r="IT18" s="29"/>
      <c r="IU18" s="29"/>
      <c r="IV18" s="29"/>
      <c r="IW18" s="29"/>
      <c r="IX18" s="29"/>
      <c r="IY18" s="29"/>
      <c r="IZ18" s="29"/>
      <c r="JA18" s="29"/>
      <c r="JB18" s="29"/>
      <c r="JC18" s="29"/>
      <c r="JD18" s="29"/>
      <c r="JE18" s="29"/>
      <c r="JF18" s="29"/>
      <c r="JG18" s="29"/>
      <c r="JH18" s="29"/>
      <c r="JI18" s="29"/>
      <c r="JJ18" s="29"/>
      <c r="JK18" s="29"/>
      <c r="JL18" s="29"/>
      <c r="JM18" s="29"/>
      <c r="JN18" s="29"/>
      <c r="JO18" s="29"/>
      <c r="JP18" s="29"/>
      <c r="JQ18" s="29"/>
      <c r="JR18" s="29"/>
      <c r="JS18" s="29"/>
      <c r="JT18" s="29"/>
      <c r="JU18" s="29"/>
      <c r="JV18" s="29"/>
      <c r="JW18" s="29"/>
      <c r="JX18" s="29"/>
      <c r="JY18" s="29"/>
      <c r="JZ18" s="29"/>
      <c r="KA18" s="29"/>
      <c r="KB18" s="29"/>
      <c r="KC18" s="29"/>
      <c r="KD18" s="29"/>
      <c r="KE18" s="29"/>
      <c r="KF18" s="29"/>
      <c r="KG18" s="29"/>
      <c r="KH18" s="29"/>
      <c r="KI18" s="29"/>
      <c r="KJ18" s="29"/>
      <c r="KK18" s="29"/>
      <c r="KL18" s="29"/>
      <c r="KM18" s="29"/>
      <c r="KN18" s="29"/>
      <c r="KO18" s="29"/>
      <c r="KP18" s="29"/>
      <c r="KQ18" s="29"/>
      <c r="KR18" s="29"/>
      <c r="KS18" s="29"/>
      <c r="KT18" s="29"/>
      <c r="KU18" s="29"/>
      <c r="KV18" s="29"/>
      <c r="KW18" s="29"/>
      <c r="KX18" s="29"/>
      <c r="KY18" s="29"/>
      <c r="KZ18" s="29"/>
      <c r="LA18" s="29"/>
      <c r="LB18" s="29"/>
      <c r="LC18" s="29"/>
      <c r="LD18" s="29"/>
      <c r="LE18" s="29"/>
      <c r="LF18" s="29"/>
      <c r="LG18" s="29"/>
      <c r="LH18" s="29"/>
      <c r="LI18" s="29"/>
      <c r="LJ18" s="29"/>
      <c r="LK18" s="29"/>
    </row>
    <row r="19" spans="1:323" s="70" customFormat="1">
      <c r="A19" s="195">
        <f t="shared" si="4"/>
        <v>15</v>
      </c>
      <c r="B19" s="196"/>
      <c r="C19" s="49"/>
      <c r="D19" s="50"/>
      <c r="E19" s="50"/>
      <c r="F19" s="51"/>
      <c r="G19" s="197"/>
      <c r="H19" s="53" t="str">
        <f t="shared" si="0"/>
        <v/>
      </c>
      <c r="I19" s="53"/>
      <c r="J19" s="53"/>
      <c r="K19" s="53"/>
      <c r="L19" s="53"/>
      <c r="M19" s="340" t="str">
        <f t="shared" si="2"/>
        <v/>
      </c>
      <c r="N19" s="278"/>
      <c r="O19" s="278"/>
      <c r="P19" s="278"/>
      <c r="Q19" s="278"/>
      <c r="R19" s="72"/>
      <c r="S19" s="170"/>
      <c r="T19" s="279"/>
      <c r="U19" s="198"/>
      <c r="V19" s="279"/>
      <c r="W19" s="199"/>
      <c r="X19" s="279"/>
      <c r="Y19" s="57"/>
      <c r="Z19" s="279"/>
      <c r="AA19" s="200"/>
      <c r="AB19" s="279"/>
      <c r="AC19" s="59"/>
      <c r="AD19" s="279"/>
      <c r="AE19" s="59"/>
      <c r="AF19" s="279"/>
      <c r="AG19" s="59"/>
      <c r="AH19" s="279"/>
      <c r="AI19" s="265"/>
      <c r="AJ19" s="279"/>
      <c r="AK19" s="59"/>
      <c r="AL19" s="279"/>
      <c r="AM19" s="59"/>
      <c r="AN19" s="279"/>
      <c r="AO19" s="59"/>
      <c r="AP19" s="279"/>
      <c r="AQ19" s="59"/>
      <c r="AR19" s="279"/>
      <c r="AS19" s="59"/>
      <c r="AT19" s="279"/>
      <c r="AU19" s="59"/>
      <c r="AV19" s="279"/>
      <c r="AW19" s="59"/>
      <c r="AX19" s="279"/>
      <c r="AY19" s="201"/>
      <c r="AZ19" s="279"/>
      <c r="BA19" s="73"/>
      <c r="BB19" s="279"/>
      <c r="BC19" s="73"/>
      <c r="BD19" s="279"/>
      <c r="BE19" s="73"/>
      <c r="BF19" s="279"/>
      <c r="BG19" s="73"/>
      <c r="BH19" s="279"/>
      <c r="BI19" s="73"/>
      <c r="BJ19" s="279"/>
      <c r="BK19" s="73"/>
      <c r="BL19" s="279"/>
      <c r="BM19" s="73"/>
      <c r="BN19" s="279"/>
      <c r="BO19" s="73"/>
      <c r="BP19" s="279"/>
      <c r="BQ19" s="73"/>
      <c r="BR19" s="279"/>
      <c r="BS19" s="73"/>
      <c r="BT19" s="279"/>
      <c r="BU19" s="141"/>
      <c r="BV19" s="279"/>
      <c r="BW19" s="202"/>
      <c r="BX19" s="279"/>
      <c r="BY19" s="73"/>
      <c r="BZ19" s="279"/>
      <c r="CA19" s="73"/>
      <c r="CB19" s="279"/>
      <c r="CC19" s="73"/>
      <c r="CD19" s="279"/>
      <c r="CE19" s="73"/>
      <c r="CF19" s="279"/>
      <c r="CG19" s="73"/>
      <c r="CH19" s="279"/>
      <c r="CI19" s="73"/>
      <c r="CJ19" s="279"/>
      <c r="CK19" s="73"/>
      <c r="CL19" s="279"/>
      <c r="CM19" s="73"/>
      <c r="CN19" s="279"/>
      <c r="CO19" s="73"/>
      <c r="CP19" s="279"/>
      <c r="CQ19" s="73"/>
      <c r="CR19" s="279"/>
      <c r="CS19" s="141"/>
      <c r="CT19" s="279"/>
      <c r="CU19" s="74"/>
      <c r="CV19" s="75"/>
      <c r="CW19" s="164"/>
      <c r="CX19" s="166"/>
      <c r="CY19" s="425"/>
      <c r="CZ19" s="60"/>
      <c r="DA19" s="205"/>
      <c r="DB19" s="61"/>
      <c r="DC19" s="254"/>
      <c r="DD19" s="60"/>
      <c r="DE19" s="254"/>
      <c r="DF19" s="75"/>
      <c r="DG19" s="254"/>
      <c r="DH19" s="77"/>
      <c r="DI19" s="266"/>
      <c r="DJ19" s="427">
        <f t="shared" si="3"/>
        <v>10000</v>
      </c>
      <c r="DK19" s="139"/>
      <c r="DL19" s="76"/>
      <c r="DM19" s="209"/>
      <c r="DN19" s="63"/>
      <c r="DO19" s="63"/>
      <c r="DP19" s="63"/>
      <c r="DQ19" s="63"/>
      <c r="DR19" s="63"/>
      <c r="DS19" s="63"/>
      <c r="DT19" s="63"/>
      <c r="DU19" s="64"/>
      <c r="DV19" s="76"/>
      <c r="DW19" s="76"/>
      <c r="DX19" s="209"/>
      <c r="DY19" s="63"/>
      <c r="DZ19" s="63"/>
      <c r="EA19" s="63"/>
      <c r="EB19" s="63"/>
      <c r="EC19" s="63"/>
      <c r="ED19" s="63"/>
      <c r="EE19" s="63"/>
      <c r="EF19" s="64"/>
      <c r="EG19" s="76"/>
      <c r="EH19" s="76"/>
      <c r="EI19" s="210"/>
      <c r="EJ19" s="167"/>
      <c r="EK19" s="67"/>
      <c r="EL19" s="67"/>
      <c r="EM19" s="79"/>
      <c r="EN19" s="78"/>
      <c r="EO19" s="78"/>
      <c r="EP19" s="78"/>
      <c r="EQ19" s="78"/>
      <c r="ER19" s="78"/>
      <c r="ES19" s="78"/>
      <c r="ET19" s="78"/>
      <c r="EU19" s="78"/>
      <c r="EV19" s="80"/>
      <c r="EW19" s="81"/>
      <c r="EX19" s="78"/>
      <c r="EY19" s="78"/>
      <c r="EZ19" s="78"/>
      <c r="FA19" s="79"/>
      <c r="FB19" s="78"/>
      <c r="FC19" s="78"/>
      <c r="FD19" s="80"/>
      <c r="FE19" s="211"/>
      <c r="FF19" s="69"/>
      <c r="FG19" s="213"/>
      <c r="FH19" s="214"/>
      <c r="FI19" s="215"/>
      <c r="FJ19" s="212"/>
      <c r="FK19" s="211"/>
      <c r="FL19" s="217"/>
      <c r="FM19" s="83"/>
      <c r="FN19" s="219"/>
      <c r="FO19" s="83"/>
      <c r="FP19" s="219"/>
      <c r="FQ19" s="218"/>
      <c r="FR19" s="219"/>
      <c r="FS19" s="218"/>
      <c r="FT19" s="219"/>
      <c r="FU19" s="218"/>
      <c r="FV19" s="219"/>
      <c r="FW19" s="218"/>
      <c r="FX19" s="219"/>
      <c r="FY19" s="218"/>
      <c r="FZ19" s="219"/>
      <c r="GA19" s="218"/>
      <c r="GB19" s="219"/>
      <c r="GC19" s="218"/>
      <c r="GD19" s="219"/>
      <c r="GE19" s="218"/>
      <c r="GF19" s="219"/>
      <c r="GG19" s="218"/>
      <c r="GH19" s="220"/>
      <c r="GI19" s="221"/>
      <c r="GJ19" s="219"/>
      <c r="GK19" s="219"/>
      <c r="GL19" s="219"/>
      <c r="GM19" s="219"/>
      <c r="GN19" s="219"/>
      <c r="GO19" s="219"/>
      <c r="GP19" s="219"/>
      <c r="GQ19" s="219"/>
      <c r="GR19" s="219"/>
      <c r="GS19" s="219"/>
      <c r="GT19" s="219"/>
      <c r="GU19" s="219"/>
      <c r="GV19" s="219"/>
      <c r="GW19" s="219"/>
      <c r="GX19" s="219"/>
      <c r="GY19" s="219"/>
      <c r="GZ19" s="219"/>
      <c r="HA19" s="219"/>
      <c r="HB19" s="219"/>
      <c r="HC19" s="219"/>
      <c r="HD19" s="219"/>
      <c r="HE19" s="219"/>
      <c r="HF19" s="222"/>
      <c r="HG19" s="220"/>
      <c r="HH19" s="219"/>
      <c r="HI19" s="219"/>
      <c r="HJ19" s="219"/>
      <c r="HK19" s="219"/>
      <c r="HL19" s="219"/>
      <c r="HM19" s="219"/>
      <c r="HN19" s="219"/>
      <c r="HO19" s="219"/>
      <c r="HP19" s="219"/>
      <c r="HQ19" s="219"/>
      <c r="HR19" s="219"/>
      <c r="HS19" s="219"/>
      <c r="HT19" s="219"/>
      <c r="HU19" s="219"/>
      <c r="HV19" s="219"/>
      <c r="HW19" s="219"/>
      <c r="HX19" s="219"/>
      <c r="HY19" s="219"/>
      <c r="HZ19" s="219"/>
      <c r="IA19" s="219"/>
      <c r="IB19" s="219"/>
      <c r="IC19" s="219"/>
      <c r="ID19" s="223"/>
      <c r="IE19" s="29"/>
      <c r="IF19" s="29"/>
      <c r="IG19" s="29"/>
      <c r="IH19" s="29"/>
      <c r="II19" s="29"/>
      <c r="IJ19" s="29"/>
      <c r="IK19" s="29"/>
      <c r="IL19" s="29"/>
      <c r="IM19" s="29"/>
      <c r="IN19" s="29"/>
      <c r="IO19" s="29"/>
      <c r="IP19" s="29"/>
      <c r="IQ19" s="29"/>
      <c r="IR19" s="29"/>
      <c r="IS19" s="29"/>
      <c r="IT19" s="29"/>
      <c r="IU19" s="29"/>
      <c r="IV19" s="29"/>
      <c r="IW19" s="29"/>
      <c r="IX19" s="29"/>
      <c r="IY19" s="29"/>
      <c r="IZ19" s="29"/>
      <c r="JA19" s="29"/>
      <c r="JB19" s="29"/>
      <c r="JC19" s="29"/>
      <c r="JD19" s="29"/>
      <c r="JE19" s="29"/>
      <c r="JF19" s="29"/>
      <c r="JG19" s="29"/>
      <c r="JH19" s="29"/>
      <c r="JI19" s="29"/>
      <c r="JJ19" s="29"/>
      <c r="JK19" s="29"/>
      <c r="JL19" s="29"/>
      <c r="JM19" s="29"/>
      <c r="JN19" s="29"/>
      <c r="JO19" s="29"/>
      <c r="JP19" s="29"/>
      <c r="JQ19" s="29"/>
      <c r="JR19" s="29"/>
      <c r="JS19" s="29"/>
      <c r="JT19" s="29"/>
      <c r="JU19" s="29"/>
      <c r="JV19" s="29"/>
      <c r="JW19" s="29"/>
      <c r="JX19" s="29"/>
      <c r="JY19" s="29"/>
      <c r="JZ19" s="29"/>
      <c r="KA19" s="29"/>
      <c r="KB19" s="29"/>
      <c r="KC19" s="29"/>
      <c r="KD19" s="29"/>
      <c r="KE19" s="29"/>
      <c r="KF19" s="29"/>
      <c r="KG19" s="29"/>
      <c r="KH19" s="29"/>
      <c r="KI19" s="29"/>
      <c r="KJ19" s="29"/>
      <c r="KK19" s="29"/>
      <c r="KL19" s="29"/>
      <c r="KM19" s="29"/>
      <c r="KN19" s="29"/>
      <c r="KO19" s="29"/>
      <c r="KP19" s="29"/>
      <c r="KQ19" s="29"/>
      <c r="KR19" s="29"/>
      <c r="KS19" s="29"/>
      <c r="KT19" s="29"/>
      <c r="KU19" s="29"/>
      <c r="KV19" s="29"/>
      <c r="KW19" s="29"/>
      <c r="KX19" s="29"/>
      <c r="KY19" s="29"/>
      <c r="KZ19" s="29"/>
      <c r="LA19" s="29"/>
      <c r="LB19" s="29"/>
      <c r="LC19" s="29"/>
      <c r="LD19" s="29"/>
      <c r="LE19" s="29"/>
      <c r="LF19" s="29"/>
      <c r="LG19" s="29"/>
      <c r="LH19" s="29"/>
      <c r="LI19" s="29"/>
      <c r="LJ19" s="29"/>
      <c r="LK19" s="29"/>
    </row>
    <row r="20" spans="1:323" s="70" customFormat="1">
      <c r="A20" s="195">
        <f t="shared" si="4"/>
        <v>16</v>
      </c>
      <c r="B20" s="196"/>
      <c r="C20" s="49"/>
      <c r="D20" s="50"/>
      <c r="E20" s="50"/>
      <c r="F20" s="51"/>
      <c r="G20" s="197"/>
      <c r="H20" s="53" t="str">
        <f t="shared" si="0"/>
        <v/>
      </c>
      <c r="I20" s="53"/>
      <c r="J20" s="53"/>
      <c r="K20" s="53"/>
      <c r="L20" s="53"/>
      <c r="M20" s="340" t="str">
        <f t="shared" si="2"/>
        <v/>
      </c>
      <c r="N20" s="278"/>
      <c r="O20" s="278"/>
      <c r="P20" s="278"/>
      <c r="Q20" s="278"/>
      <c r="R20" s="72"/>
      <c r="S20" s="170"/>
      <c r="T20" s="279"/>
      <c r="U20" s="198"/>
      <c r="V20" s="279"/>
      <c r="W20" s="199"/>
      <c r="X20" s="279"/>
      <c r="Y20" s="57"/>
      <c r="Z20" s="279"/>
      <c r="AA20" s="200"/>
      <c r="AB20" s="279"/>
      <c r="AC20" s="59"/>
      <c r="AD20" s="279"/>
      <c r="AE20" s="59"/>
      <c r="AF20" s="279"/>
      <c r="AG20" s="59"/>
      <c r="AH20" s="279"/>
      <c r="AI20" s="265"/>
      <c r="AJ20" s="279"/>
      <c r="AK20" s="59"/>
      <c r="AL20" s="279"/>
      <c r="AM20" s="59"/>
      <c r="AN20" s="279"/>
      <c r="AO20" s="59"/>
      <c r="AP20" s="279"/>
      <c r="AQ20" s="59"/>
      <c r="AR20" s="279"/>
      <c r="AS20" s="59"/>
      <c r="AT20" s="279"/>
      <c r="AU20" s="59"/>
      <c r="AV20" s="279"/>
      <c r="AW20" s="59"/>
      <c r="AX20" s="279"/>
      <c r="AY20" s="201"/>
      <c r="AZ20" s="279"/>
      <c r="BA20" s="73"/>
      <c r="BB20" s="279"/>
      <c r="BC20" s="73"/>
      <c r="BD20" s="279"/>
      <c r="BE20" s="73"/>
      <c r="BF20" s="279"/>
      <c r="BG20" s="73"/>
      <c r="BH20" s="279"/>
      <c r="BI20" s="73"/>
      <c r="BJ20" s="279"/>
      <c r="BK20" s="73"/>
      <c r="BL20" s="279"/>
      <c r="BM20" s="73"/>
      <c r="BN20" s="279"/>
      <c r="BO20" s="73"/>
      <c r="BP20" s="279"/>
      <c r="BQ20" s="73"/>
      <c r="BR20" s="279"/>
      <c r="BS20" s="73"/>
      <c r="BT20" s="279"/>
      <c r="BU20" s="141"/>
      <c r="BV20" s="279"/>
      <c r="BW20" s="202"/>
      <c r="BX20" s="279"/>
      <c r="BY20" s="73"/>
      <c r="BZ20" s="279"/>
      <c r="CA20" s="73"/>
      <c r="CB20" s="279"/>
      <c r="CC20" s="73"/>
      <c r="CD20" s="279"/>
      <c r="CE20" s="73"/>
      <c r="CF20" s="279"/>
      <c r="CG20" s="73"/>
      <c r="CH20" s="279"/>
      <c r="CI20" s="73"/>
      <c r="CJ20" s="279"/>
      <c r="CK20" s="73"/>
      <c r="CL20" s="279"/>
      <c r="CM20" s="73"/>
      <c r="CN20" s="279"/>
      <c r="CO20" s="73"/>
      <c r="CP20" s="279"/>
      <c r="CQ20" s="73"/>
      <c r="CR20" s="279"/>
      <c r="CS20" s="141"/>
      <c r="CT20" s="279"/>
      <c r="CU20" s="74"/>
      <c r="CV20" s="75"/>
      <c r="CW20" s="164"/>
      <c r="CX20" s="166"/>
      <c r="CY20" s="425"/>
      <c r="CZ20" s="60"/>
      <c r="DA20" s="205"/>
      <c r="DB20" s="61"/>
      <c r="DC20" s="254"/>
      <c r="DD20" s="60"/>
      <c r="DE20" s="254"/>
      <c r="DF20" s="75"/>
      <c r="DG20" s="254"/>
      <c r="DH20" s="77"/>
      <c r="DI20" s="266"/>
      <c r="DJ20" s="427">
        <f t="shared" si="3"/>
        <v>10000</v>
      </c>
      <c r="DK20" s="139"/>
      <c r="DL20" s="76"/>
      <c r="DM20" s="209"/>
      <c r="DN20" s="63"/>
      <c r="DO20" s="63"/>
      <c r="DP20" s="63"/>
      <c r="DQ20" s="63"/>
      <c r="DR20" s="63"/>
      <c r="DS20" s="63"/>
      <c r="DT20" s="63"/>
      <c r="DU20" s="64"/>
      <c r="DV20" s="76"/>
      <c r="DW20" s="76"/>
      <c r="DX20" s="209"/>
      <c r="DY20" s="63"/>
      <c r="DZ20" s="63"/>
      <c r="EA20" s="63"/>
      <c r="EB20" s="63"/>
      <c r="EC20" s="63"/>
      <c r="ED20" s="63"/>
      <c r="EE20" s="63"/>
      <c r="EF20" s="64"/>
      <c r="EG20" s="76"/>
      <c r="EH20" s="76"/>
      <c r="EI20" s="210"/>
      <c r="EJ20" s="167"/>
      <c r="EK20" s="67"/>
      <c r="EL20" s="67"/>
      <c r="EM20" s="79"/>
      <c r="EN20" s="78"/>
      <c r="EO20" s="78"/>
      <c r="EP20" s="78"/>
      <c r="EQ20" s="78"/>
      <c r="ER20" s="78"/>
      <c r="ES20" s="78"/>
      <c r="ET20" s="78"/>
      <c r="EU20" s="78"/>
      <c r="EV20" s="80"/>
      <c r="EW20" s="81"/>
      <c r="EX20" s="78"/>
      <c r="EY20" s="78"/>
      <c r="EZ20" s="78"/>
      <c r="FA20" s="79"/>
      <c r="FB20" s="78"/>
      <c r="FC20" s="78"/>
      <c r="FD20" s="80"/>
      <c r="FE20" s="211"/>
      <c r="FF20" s="69"/>
      <c r="FG20" s="213"/>
      <c r="FH20" s="214"/>
      <c r="FI20" s="215"/>
      <c r="FJ20" s="212"/>
      <c r="FK20" s="211"/>
      <c r="FL20" s="217"/>
      <c r="FM20" s="83"/>
      <c r="FN20" s="219"/>
      <c r="FO20" s="83"/>
      <c r="FP20" s="219"/>
      <c r="FQ20" s="218"/>
      <c r="FR20" s="219"/>
      <c r="FS20" s="218"/>
      <c r="FT20" s="219"/>
      <c r="FU20" s="218"/>
      <c r="FV20" s="219"/>
      <c r="FW20" s="218"/>
      <c r="FX20" s="219"/>
      <c r="FY20" s="218"/>
      <c r="FZ20" s="219"/>
      <c r="GA20" s="218"/>
      <c r="GB20" s="219"/>
      <c r="GC20" s="218"/>
      <c r="GD20" s="219"/>
      <c r="GE20" s="218"/>
      <c r="GF20" s="219"/>
      <c r="GG20" s="218"/>
      <c r="GH20" s="220"/>
      <c r="GI20" s="221"/>
      <c r="GJ20" s="219"/>
      <c r="GK20" s="219"/>
      <c r="GL20" s="219"/>
      <c r="GM20" s="219"/>
      <c r="GN20" s="219"/>
      <c r="GO20" s="219"/>
      <c r="GP20" s="219"/>
      <c r="GQ20" s="219"/>
      <c r="GR20" s="219"/>
      <c r="GS20" s="219"/>
      <c r="GT20" s="219"/>
      <c r="GU20" s="219"/>
      <c r="GV20" s="219"/>
      <c r="GW20" s="219"/>
      <c r="GX20" s="219"/>
      <c r="GY20" s="219"/>
      <c r="GZ20" s="219"/>
      <c r="HA20" s="219"/>
      <c r="HB20" s="219"/>
      <c r="HC20" s="219"/>
      <c r="HD20" s="219"/>
      <c r="HE20" s="219"/>
      <c r="HF20" s="222"/>
      <c r="HG20" s="220"/>
      <c r="HH20" s="219"/>
      <c r="HI20" s="219"/>
      <c r="HJ20" s="219"/>
      <c r="HK20" s="219"/>
      <c r="HL20" s="219"/>
      <c r="HM20" s="219"/>
      <c r="HN20" s="219"/>
      <c r="HO20" s="219"/>
      <c r="HP20" s="219"/>
      <c r="HQ20" s="219"/>
      <c r="HR20" s="219"/>
      <c r="HS20" s="219"/>
      <c r="HT20" s="219"/>
      <c r="HU20" s="219"/>
      <c r="HV20" s="219"/>
      <c r="HW20" s="219"/>
      <c r="HX20" s="219"/>
      <c r="HY20" s="219"/>
      <c r="HZ20" s="219"/>
      <c r="IA20" s="219"/>
      <c r="IB20" s="219"/>
      <c r="IC20" s="219"/>
      <c r="ID20" s="223"/>
      <c r="IE20" s="29"/>
      <c r="IF20" s="29"/>
      <c r="IG20" s="29"/>
      <c r="IH20" s="29"/>
      <c r="II20" s="29"/>
      <c r="IJ20" s="29"/>
      <c r="IK20" s="29"/>
      <c r="IL20" s="29"/>
      <c r="IM20" s="29"/>
      <c r="IN20" s="29"/>
      <c r="IO20" s="29"/>
      <c r="IP20" s="29"/>
      <c r="IQ20" s="29"/>
      <c r="IR20" s="29"/>
      <c r="IS20" s="29"/>
      <c r="IT20" s="29"/>
      <c r="IU20" s="29"/>
      <c r="IV20" s="29"/>
      <c r="IW20" s="29"/>
      <c r="IX20" s="29"/>
      <c r="IY20" s="29"/>
      <c r="IZ20" s="29"/>
      <c r="JA20" s="29"/>
      <c r="JB20" s="29"/>
      <c r="JC20" s="29"/>
      <c r="JD20" s="29"/>
      <c r="JE20" s="29"/>
      <c r="JF20" s="29"/>
      <c r="JG20" s="29"/>
      <c r="JH20" s="29"/>
      <c r="JI20" s="29"/>
      <c r="JJ20" s="29"/>
      <c r="JK20" s="29"/>
      <c r="JL20" s="29"/>
      <c r="JM20" s="29"/>
      <c r="JN20" s="29"/>
      <c r="JO20" s="29"/>
      <c r="JP20" s="29"/>
      <c r="JQ20" s="29"/>
      <c r="JR20" s="29"/>
      <c r="JS20" s="29"/>
      <c r="JT20" s="29"/>
      <c r="JU20" s="29"/>
      <c r="JV20" s="29"/>
      <c r="JW20" s="29"/>
      <c r="JX20" s="29"/>
      <c r="JY20" s="29"/>
      <c r="JZ20" s="29"/>
      <c r="KA20" s="29"/>
      <c r="KB20" s="29"/>
      <c r="KC20" s="29"/>
      <c r="KD20" s="29"/>
      <c r="KE20" s="29"/>
      <c r="KF20" s="29"/>
      <c r="KG20" s="29"/>
      <c r="KH20" s="29"/>
      <c r="KI20" s="29"/>
      <c r="KJ20" s="29"/>
      <c r="KK20" s="29"/>
      <c r="KL20" s="29"/>
      <c r="KM20" s="29"/>
      <c r="KN20" s="29"/>
      <c r="KO20" s="29"/>
      <c r="KP20" s="29"/>
      <c r="KQ20" s="29"/>
      <c r="KR20" s="29"/>
      <c r="KS20" s="29"/>
      <c r="KT20" s="29"/>
      <c r="KU20" s="29"/>
      <c r="KV20" s="29"/>
      <c r="KW20" s="29"/>
      <c r="KX20" s="29"/>
      <c r="KY20" s="29"/>
      <c r="KZ20" s="29"/>
      <c r="LA20" s="29"/>
      <c r="LB20" s="29"/>
      <c r="LC20" s="29"/>
      <c r="LD20" s="29"/>
      <c r="LE20" s="29"/>
      <c r="LF20" s="29"/>
      <c r="LG20" s="29"/>
      <c r="LH20" s="29"/>
      <c r="LI20" s="29"/>
      <c r="LJ20" s="29"/>
      <c r="LK20" s="29"/>
    </row>
    <row r="21" spans="1:323" s="70" customFormat="1">
      <c r="A21" s="195">
        <f t="shared" si="4"/>
        <v>17</v>
      </c>
      <c r="B21" s="196"/>
      <c r="C21" s="49"/>
      <c r="D21" s="50"/>
      <c r="E21" s="50"/>
      <c r="F21" s="51"/>
      <c r="G21" s="197"/>
      <c r="H21" s="53" t="str">
        <f t="shared" si="0"/>
        <v/>
      </c>
      <c r="I21" s="53"/>
      <c r="J21" s="53"/>
      <c r="K21" s="53"/>
      <c r="L21" s="53"/>
      <c r="M21" s="340" t="str">
        <f t="shared" si="2"/>
        <v/>
      </c>
      <c r="N21" s="278"/>
      <c r="O21" s="278"/>
      <c r="P21" s="278"/>
      <c r="Q21" s="278"/>
      <c r="R21" s="72"/>
      <c r="S21" s="170"/>
      <c r="T21" s="279"/>
      <c r="U21" s="198"/>
      <c r="V21" s="279"/>
      <c r="W21" s="199"/>
      <c r="X21" s="279"/>
      <c r="Y21" s="57"/>
      <c r="Z21" s="279"/>
      <c r="AA21" s="200"/>
      <c r="AB21" s="279"/>
      <c r="AC21" s="59"/>
      <c r="AD21" s="279"/>
      <c r="AE21" s="59"/>
      <c r="AF21" s="279"/>
      <c r="AG21" s="59"/>
      <c r="AH21" s="279"/>
      <c r="AI21" s="265"/>
      <c r="AJ21" s="279"/>
      <c r="AK21" s="59"/>
      <c r="AL21" s="279"/>
      <c r="AM21" s="59"/>
      <c r="AN21" s="279"/>
      <c r="AO21" s="59"/>
      <c r="AP21" s="279"/>
      <c r="AQ21" s="59"/>
      <c r="AR21" s="279"/>
      <c r="AS21" s="59"/>
      <c r="AT21" s="279"/>
      <c r="AU21" s="59"/>
      <c r="AV21" s="279"/>
      <c r="AW21" s="59"/>
      <c r="AX21" s="279"/>
      <c r="AY21" s="201"/>
      <c r="AZ21" s="279"/>
      <c r="BA21" s="73"/>
      <c r="BB21" s="279"/>
      <c r="BC21" s="73"/>
      <c r="BD21" s="279"/>
      <c r="BE21" s="73"/>
      <c r="BF21" s="279"/>
      <c r="BG21" s="73"/>
      <c r="BH21" s="279"/>
      <c r="BI21" s="73"/>
      <c r="BJ21" s="279"/>
      <c r="BK21" s="73"/>
      <c r="BL21" s="279"/>
      <c r="BM21" s="73"/>
      <c r="BN21" s="279"/>
      <c r="BO21" s="73"/>
      <c r="BP21" s="279"/>
      <c r="BQ21" s="73"/>
      <c r="BR21" s="279"/>
      <c r="BS21" s="73"/>
      <c r="BT21" s="279"/>
      <c r="BU21" s="141"/>
      <c r="BV21" s="279"/>
      <c r="BW21" s="202"/>
      <c r="BX21" s="279"/>
      <c r="BY21" s="73"/>
      <c r="BZ21" s="279"/>
      <c r="CA21" s="73"/>
      <c r="CB21" s="279"/>
      <c r="CC21" s="73"/>
      <c r="CD21" s="279"/>
      <c r="CE21" s="73"/>
      <c r="CF21" s="279"/>
      <c r="CG21" s="73"/>
      <c r="CH21" s="279"/>
      <c r="CI21" s="73"/>
      <c r="CJ21" s="279"/>
      <c r="CK21" s="73"/>
      <c r="CL21" s="279"/>
      <c r="CM21" s="73"/>
      <c r="CN21" s="279"/>
      <c r="CO21" s="73"/>
      <c r="CP21" s="279"/>
      <c r="CQ21" s="73"/>
      <c r="CR21" s="279"/>
      <c r="CS21" s="141"/>
      <c r="CT21" s="279"/>
      <c r="CU21" s="74"/>
      <c r="CV21" s="75"/>
      <c r="CW21" s="164"/>
      <c r="CX21" s="166"/>
      <c r="CY21" s="425"/>
      <c r="CZ21" s="60"/>
      <c r="DA21" s="205"/>
      <c r="DB21" s="61"/>
      <c r="DC21" s="254"/>
      <c r="DD21" s="60"/>
      <c r="DE21" s="254"/>
      <c r="DF21" s="75"/>
      <c r="DG21" s="254"/>
      <c r="DH21" s="77"/>
      <c r="DI21" s="266"/>
      <c r="DJ21" s="427">
        <f t="shared" si="3"/>
        <v>10000</v>
      </c>
      <c r="DK21" s="139"/>
      <c r="DL21" s="76"/>
      <c r="DM21" s="209"/>
      <c r="DN21" s="63"/>
      <c r="DO21" s="63"/>
      <c r="DP21" s="63"/>
      <c r="DQ21" s="63"/>
      <c r="DR21" s="63"/>
      <c r="DS21" s="63"/>
      <c r="DT21" s="63"/>
      <c r="DU21" s="64"/>
      <c r="DV21" s="76"/>
      <c r="DW21" s="76"/>
      <c r="DX21" s="209"/>
      <c r="DY21" s="63"/>
      <c r="DZ21" s="63"/>
      <c r="EA21" s="63"/>
      <c r="EB21" s="63"/>
      <c r="EC21" s="63"/>
      <c r="ED21" s="63"/>
      <c r="EE21" s="63"/>
      <c r="EF21" s="64"/>
      <c r="EG21" s="76"/>
      <c r="EH21" s="76"/>
      <c r="EI21" s="210"/>
      <c r="EJ21" s="167"/>
      <c r="EK21" s="67"/>
      <c r="EL21" s="67"/>
      <c r="EM21" s="79"/>
      <c r="EN21" s="78"/>
      <c r="EO21" s="78"/>
      <c r="EP21" s="78"/>
      <c r="EQ21" s="78"/>
      <c r="ER21" s="78"/>
      <c r="ES21" s="78"/>
      <c r="ET21" s="78"/>
      <c r="EU21" s="78"/>
      <c r="EV21" s="80"/>
      <c r="EW21" s="81"/>
      <c r="EX21" s="78"/>
      <c r="EY21" s="78"/>
      <c r="EZ21" s="78"/>
      <c r="FA21" s="79"/>
      <c r="FB21" s="78"/>
      <c r="FC21" s="78"/>
      <c r="FD21" s="80"/>
      <c r="FE21" s="211"/>
      <c r="FF21" s="69"/>
      <c r="FG21" s="213"/>
      <c r="FH21" s="214"/>
      <c r="FI21" s="215"/>
      <c r="FJ21" s="212"/>
      <c r="FK21" s="211"/>
      <c r="FL21" s="217"/>
      <c r="FM21" s="83"/>
      <c r="FN21" s="219"/>
      <c r="FO21" s="83"/>
      <c r="FP21" s="219"/>
      <c r="FQ21" s="218"/>
      <c r="FR21" s="219"/>
      <c r="FS21" s="218"/>
      <c r="FT21" s="219"/>
      <c r="FU21" s="218"/>
      <c r="FV21" s="219"/>
      <c r="FW21" s="218"/>
      <c r="FX21" s="219"/>
      <c r="FY21" s="218"/>
      <c r="FZ21" s="219"/>
      <c r="GA21" s="218"/>
      <c r="GB21" s="219"/>
      <c r="GC21" s="218"/>
      <c r="GD21" s="219"/>
      <c r="GE21" s="218"/>
      <c r="GF21" s="219"/>
      <c r="GG21" s="218"/>
      <c r="GH21" s="220"/>
      <c r="GI21" s="221"/>
      <c r="GJ21" s="219"/>
      <c r="GK21" s="219"/>
      <c r="GL21" s="219"/>
      <c r="GM21" s="219"/>
      <c r="GN21" s="219"/>
      <c r="GO21" s="219"/>
      <c r="GP21" s="219"/>
      <c r="GQ21" s="219"/>
      <c r="GR21" s="219"/>
      <c r="GS21" s="219"/>
      <c r="GT21" s="219"/>
      <c r="GU21" s="219"/>
      <c r="GV21" s="219"/>
      <c r="GW21" s="219"/>
      <c r="GX21" s="219"/>
      <c r="GY21" s="219"/>
      <c r="GZ21" s="219"/>
      <c r="HA21" s="219"/>
      <c r="HB21" s="219"/>
      <c r="HC21" s="219"/>
      <c r="HD21" s="219"/>
      <c r="HE21" s="219"/>
      <c r="HF21" s="222"/>
      <c r="HG21" s="220"/>
      <c r="HH21" s="219"/>
      <c r="HI21" s="219"/>
      <c r="HJ21" s="219"/>
      <c r="HK21" s="219"/>
      <c r="HL21" s="219"/>
      <c r="HM21" s="219"/>
      <c r="HN21" s="219"/>
      <c r="HO21" s="219"/>
      <c r="HP21" s="219"/>
      <c r="HQ21" s="219"/>
      <c r="HR21" s="219"/>
      <c r="HS21" s="219"/>
      <c r="HT21" s="219"/>
      <c r="HU21" s="219"/>
      <c r="HV21" s="219"/>
      <c r="HW21" s="219"/>
      <c r="HX21" s="219"/>
      <c r="HY21" s="219"/>
      <c r="HZ21" s="219"/>
      <c r="IA21" s="219"/>
      <c r="IB21" s="219"/>
      <c r="IC21" s="219"/>
      <c r="ID21" s="223"/>
      <c r="IE21" s="29"/>
      <c r="IF21" s="29"/>
      <c r="IG21" s="29"/>
      <c r="IH21" s="29"/>
      <c r="II21" s="29"/>
      <c r="IJ21" s="29"/>
      <c r="IK21" s="29"/>
      <c r="IL21" s="29"/>
      <c r="IM21" s="29"/>
      <c r="IN21" s="29"/>
      <c r="IO21" s="29"/>
      <c r="IP21" s="29"/>
      <c r="IQ21" s="29"/>
      <c r="IR21" s="29"/>
      <c r="IS21" s="29"/>
      <c r="IT21" s="29"/>
      <c r="IU21" s="29"/>
      <c r="IV21" s="29"/>
      <c r="IW21" s="29"/>
      <c r="IX21" s="29"/>
      <c r="IY21" s="29"/>
      <c r="IZ21" s="29"/>
      <c r="JA21" s="29"/>
      <c r="JB21" s="29"/>
      <c r="JC21" s="29"/>
      <c r="JD21" s="29"/>
      <c r="JE21" s="29"/>
      <c r="JF21" s="29"/>
      <c r="JG21" s="29"/>
      <c r="JH21" s="29"/>
      <c r="JI21" s="29"/>
      <c r="JJ21" s="29"/>
      <c r="JK21" s="29"/>
      <c r="JL21" s="29"/>
      <c r="JM21" s="29"/>
      <c r="JN21" s="29"/>
      <c r="JO21" s="29"/>
      <c r="JP21" s="29"/>
      <c r="JQ21" s="29"/>
      <c r="JR21" s="29"/>
      <c r="JS21" s="29"/>
      <c r="JT21" s="29"/>
      <c r="JU21" s="29"/>
      <c r="JV21" s="29"/>
      <c r="JW21" s="29"/>
      <c r="JX21" s="29"/>
      <c r="JY21" s="29"/>
      <c r="JZ21" s="29"/>
      <c r="KA21" s="29"/>
      <c r="KB21" s="29"/>
      <c r="KC21" s="29"/>
      <c r="KD21" s="29"/>
      <c r="KE21" s="29"/>
      <c r="KF21" s="29"/>
      <c r="KG21" s="29"/>
      <c r="KH21" s="29"/>
      <c r="KI21" s="29"/>
      <c r="KJ21" s="29"/>
      <c r="KK21" s="29"/>
      <c r="KL21" s="29"/>
      <c r="KM21" s="29"/>
      <c r="KN21" s="29"/>
      <c r="KO21" s="29"/>
      <c r="KP21" s="29"/>
      <c r="KQ21" s="29"/>
      <c r="KR21" s="29"/>
      <c r="KS21" s="29"/>
      <c r="KT21" s="29"/>
      <c r="KU21" s="29"/>
      <c r="KV21" s="29"/>
      <c r="KW21" s="29"/>
      <c r="KX21" s="29"/>
      <c r="KY21" s="29"/>
      <c r="KZ21" s="29"/>
      <c r="LA21" s="29"/>
      <c r="LB21" s="29"/>
      <c r="LC21" s="29"/>
      <c r="LD21" s="29"/>
      <c r="LE21" s="29"/>
      <c r="LF21" s="29"/>
      <c r="LG21" s="29"/>
      <c r="LH21" s="29"/>
      <c r="LI21" s="29"/>
      <c r="LJ21" s="29"/>
      <c r="LK21" s="29"/>
    </row>
    <row r="22" spans="1:323" s="70" customFormat="1">
      <c r="A22" s="195">
        <f>ROW()-4</f>
        <v>18</v>
      </c>
      <c r="B22" s="196"/>
      <c r="C22" s="49"/>
      <c r="D22" s="50"/>
      <c r="E22" s="50"/>
      <c r="F22" s="51"/>
      <c r="G22" s="197"/>
      <c r="H22" s="53" t="str">
        <f t="shared" si="0"/>
        <v/>
      </c>
      <c r="I22" s="53"/>
      <c r="J22" s="53"/>
      <c r="K22" s="53"/>
      <c r="L22" s="53"/>
      <c r="M22" s="340" t="str">
        <f t="shared" si="2"/>
        <v/>
      </c>
      <c r="N22" s="278"/>
      <c r="O22" s="278"/>
      <c r="P22" s="278"/>
      <c r="Q22" s="278"/>
      <c r="R22" s="72"/>
      <c r="S22" s="170"/>
      <c r="T22" s="279"/>
      <c r="U22" s="198"/>
      <c r="V22" s="279"/>
      <c r="W22" s="199"/>
      <c r="X22" s="279"/>
      <c r="Y22" s="57"/>
      <c r="Z22" s="279"/>
      <c r="AA22" s="200"/>
      <c r="AB22" s="279"/>
      <c r="AC22" s="59"/>
      <c r="AD22" s="279"/>
      <c r="AE22" s="59"/>
      <c r="AF22" s="279"/>
      <c r="AG22" s="59"/>
      <c r="AH22" s="279"/>
      <c r="AI22" s="265"/>
      <c r="AJ22" s="279"/>
      <c r="AK22" s="59"/>
      <c r="AL22" s="279"/>
      <c r="AM22" s="59"/>
      <c r="AN22" s="279"/>
      <c r="AO22" s="59"/>
      <c r="AP22" s="279"/>
      <c r="AQ22" s="59"/>
      <c r="AR22" s="279"/>
      <c r="AS22" s="59"/>
      <c r="AT22" s="279"/>
      <c r="AU22" s="59"/>
      <c r="AV22" s="279"/>
      <c r="AW22" s="59"/>
      <c r="AX22" s="279"/>
      <c r="AY22" s="201"/>
      <c r="AZ22" s="279"/>
      <c r="BA22" s="73"/>
      <c r="BB22" s="279"/>
      <c r="BC22" s="73"/>
      <c r="BD22" s="279"/>
      <c r="BE22" s="73"/>
      <c r="BF22" s="279"/>
      <c r="BG22" s="73"/>
      <c r="BH22" s="279"/>
      <c r="BI22" s="73"/>
      <c r="BJ22" s="279"/>
      <c r="BK22" s="73"/>
      <c r="BL22" s="279"/>
      <c r="BM22" s="73"/>
      <c r="BN22" s="279"/>
      <c r="BO22" s="73"/>
      <c r="BP22" s="279"/>
      <c r="BQ22" s="73"/>
      <c r="BR22" s="279"/>
      <c r="BS22" s="73"/>
      <c r="BT22" s="279"/>
      <c r="BU22" s="141"/>
      <c r="BV22" s="279"/>
      <c r="BW22" s="202"/>
      <c r="BX22" s="279"/>
      <c r="BY22" s="73"/>
      <c r="BZ22" s="279"/>
      <c r="CA22" s="73"/>
      <c r="CB22" s="279"/>
      <c r="CC22" s="73"/>
      <c r="CD22" s="279"/>
      <c r="CE22" s="73"/>
      <c r="CF22" s="279"/>
      <c r="CG22" s="73"/>
      <c r="CH22" s="279"/>
      <c r="CI22" s="73"/>
      <c r="CJ22" s="279"/>
      <c r="CK22" s="73"/>
      <c r="CL22" s="279"/>
      <c r="CM22" s="73"/>
      <c r="CN22" s="279"/>
      <c r="CO22" s="73"/>
      <c r="CP22" s="279"/>
      <c r="CQ22" s="73"/>
      <c r="CR22" s="279"/>
      <c r="CS22" s="141"/>
      <c r="CT22" s="279"/>
      <c r="CU22" s="74"/>
      <c r="CV22" s="75"/>
      <c r="CW22" s="164"/>
      <c r="CX22" s="166"/>
      <c r="CY22" s="425"/>
      <c r="CZ22" s="60"/>
      <c r="DA22" s="205"/>
      <c r="DB22" s="61"/>
      <c r="DC22" s="254"/>
      <c r="DD22" s="60"/>
      <c r="DE22" s="254"/>
      <c r="DF22" s="75"/>
      <c r="DG22" s="254"/>
      <c r="DH22" s="77"/>
      <c r="DI22" s="266"/>
      <c r="DJ22" s="427">
        <f t="shared" si="3"/>
        <v>10000</v>
      </c>
      <c r="DK22" s="139"/>
      <c r="DL22" s="76"/>
      <c r="DM22" s="209"/>
      <c r="DN22" s="63"/>
      <c r="DO22" s="63"/>
      <c r="DP22" s="63"/>
      <c r="DQ22" s="63"/>
      <c r="DR22" s="63"/>
      <c r="DS22" s="63"/>
      <c r="DT22" s="63"/>
      <c r="DU22" s="64"/>
      <c r="DV22" s="76"/>
      <c r="DW22" s="76"/>
      <c r="DX22" s="209"/>
      <c r="DY22" s="63"/>
      <c r="DZ22" s="63"/>
      <c r="EA22" s="63"/>
      <c r="EB22" s="63"/>
      <c r="EC22" s="63"/>
      <c r="ED22" s="63"/>
      <c r="EE22" s="63"/>
      <c r="EF22" s="64"/>
      <c r="EG22" s="76"/>
      <c r="EH22" s="76"/>
      <c r="EI22" s="210"/>
      <c r="EJ22" s="167"/>
      <c r="EK22" s="67"/>
      <c r="EL22" s="67"/>
      <c r="EM22" s="79"/>
      <c r="EN22" s="78"/>
      <c r="EO22" s="78"/>
      <c r="EP22" s="78"/>
      <c r="EQ22" s="78"/>
      <c r="ER22" s="78"/>
      <c r="ES22" s="78"/>
      <c r="ET22" s="78"/>
      <c r="EU22" s="78"/>
      <c r="EV22" s="80"/>
      <c r="EW22" s="81"/>
      <c r="EX22" s="78"/>
      <c r="EY22" s="78"/>
      <c r="EZ22" s="78"/>
      <c r="FA22" s="79"/>
      <c r="FB22" s="78"/>
      <c r="FC22" s="78"/>
      <c r="FD22" s="80"/>
      <c r="FE22" s="211"/>
      <c r="FF22" s="69"/>
      <c r="FG22" s="213"/>
      <c r="FH22" s="214"/>
      <c r="FI22" s="215"/>
      <c r="FJ22" s="212"/>
      <c r="FK22" s="211"/>
      <c r="FL22" s="217"/>
      <c r="FM22" s="83"/>
      <c r="FN22" s="219"/>
      <c r="FO22" s="83"/>
      <c r="FP22" s="219"/>
      <c r="FQ22" s="218"/>
      <c r="FR22" s="219"/>
      <c r="FS22" s="218"/>
      <c r="FT22" s="219"/>
      <c r="FU22" s="218"/>
      <c r="FV22" s="219"/>
      <c r="FW22" s="218"/>
      <c r="FX22" s="219"/>
      <c r="FY22" s="218"/>
      <c r="FZ22" s="219"/>
      <c r="GA22" s="218"/>
      <c r="GB22" s="219"/>
      <c r="GC22" s="218"/>
      <c r="GD22" s="219"/>
      <c r="GE22" s="218"/>
      <c r="GF22" s="219"/>
      <c r="GG22" s="218"/>
      <c r="GH22" s="220"/>
      <c r="GI22" s="221"/>
      <c r="GJ22" s="219"/>
      <c r="GK22" s="219"/>
      <c r="GL22" s="219"/>
      <c r="GM22" s="219"/>
      <c r="GN22" s="219"/>
      <c r="GO22" s="219"/>
      <c r="GP22" s="219"/>
      <c r="GQ22" s="219"/>
      <c r="GR22" s="219"/>
      <c r="GS22" s="219"/>
      <c r="GT22" s="219"/>
      <c r="GU22" s="219"/>
      <c r="GV22" s="219"/>
      <c r="GW22" s="219"/>
      <c r="GX22" s="219"/>
      <c r="GY22" s="219"/>
      <c r="GZ22" s="219"/>
      <c r="HA22" s="219"/>
      <c r="HB22" s="219"/>
      <c r="HC22" s="219"/>
      <c r="HD22" s="219"/>
      <c r="HE22" s="219"/>
      <c r="HF22" s="222"/>
      <c r="HG22" s="220"/>
      <c r="HH22" s="219"/>
      <c r="HI22" s="219"/>
      <c r="HJ22" s="219"/>
      <c r="HK22" s="219"/>
      <c r="HL22" s="219"/>
      <c r="HM22" s="219"/>
      <c r="HN22" s="219"/>
      <c r="HO22" s="219"/>
      <c r="HP22" s="219"/>
      <c r="HQ22" s="219"/>
      <c r="HR22" s="219"/>
      <c r="HS22" s="219"/>
      <c r="HT22" s="219"/>
      <c r="HU22" s="219"/>
      <c r="HV22" s="219"/>
      <c r="HW22" s="219"/>
      <c r="HX22" s="219"/>
      <c r="HY22" s="219"/>
      <c r="HZ22" s="219"/>
      <c r="IA22" s="219"/>
      <c r="IB22" s="219"/>
      <c r="IC22" s="219"/>
      <c r="ID22" s="223"/>
      <c r="IE22" s="29"/>
      <c r="IF22" s="29"/>
      <c r="IG22" s="29"/>
      <c r="IH22" s="29"/>
      <c r="II22" s="29"/>
      <c r="IJ22" s="29"/>
      <c r="IK22" s="29"/>
      <c r="IL22" s="29"/>
      <c r="IM22" s="29"/>
      <c r="IN22" s="29"/>
      <c r="IO22" s="29"/>
      <c r="IP22" s="29"/>
      <c r="IQ22" s="29"/>
      <c r="IR22" s="29"/>
      <c r="IS22" s="29"/>
      <c r="IT22" s="29"/>
      <c r="IU22" s="29"/>
      <c r="IV22" s="29"/>
      <c r="IW22" s="29"/>
      <c r="IX22" s="29"/>
      <c r="IY22" s="29"/>
      <c r="IZ22" s="29"/>
      <c r="JA22" s="29"/>
      <c r="JB22" s="29"/>
      <c r="JC22" s="29"/>
      <c r="JD22" s="29"/>
      <c r="JE22" s="29"/>
      <c r="JF22" s="29"/>
      <c r="JG22" s="29"/>
      <c r="JH22" s="29"/>
      <c r="JI22" s="29"/>
      <c r="JJ22" s="29"/>
      <c r="JK22" s="29"/>
      <c r="JL22" s="29"/>
      <c r="JM22" s="29"/>
      <c r="JN22" s="29"/>
      <c r="JO22" s="29"/>
      <c r="JP22" s="29"/>
      <c r="JQ22" s="29"/>
      <c r="JR22" s="29"/>
      <c r="JS22" s="29"/>
      <c r="JT22" s="29"/>
      <c r="JU22" s="29"/>
      <c r="JV22" s="29"/>
      <c r="JW22" s="29"/>
      <c r="JX22" s="29"/>
      <c r="JY22" s="29"/>
      <c r="JZ22" s="29"/>
      <c r="KA22" s="29"/>
      <c r="KB22" s="29"/>
      <c r="KC22" s="29"/>
      <c r="KD22" s="29"/>
      <c r="KE22" s="29"/>
      <c r="KF22" s="29"/>
      <c r="KG22" s="29"/>
      <c r="KH22" s="29"/>
      <c r="KI22" s="29"/>
      <c r="KJ22" s="29"/>
      <c r="KK22" s="29"/>
      <c r="KL22" s="29"/>
      <c r="KM22" s="29"/>
      <c r="KN22" s="29"/>
      <c r="KO22" s="29"/>
      <c r="KP22" s="29"/>
      <c r="KQ22" s="29"/>
      <c r="KR22" s="29"/>
      <c r="KS22" s="29"/>
      <c r="KT22" s="29"/>
      <c r="KU22" s="29"/>
      <c r="KV22" s="29"/>
      <c r="KW22" s="29"/>
      <c r="KX22" s="29"/>
      <c r="KY22" s="29"/>
      <c r="KZ22" s="29"/>
      <c r="LA22" s="29"/>
      <c r="LB22" s="29"/>
      <c r="LC22" s="29"/>
      <c r="LD22" s="29"/>
      <c r="LE22" s="29"/>
      <c r="LF22" s="29"/>
      <c r="LG22" s="29"/>
      <c r="LH22" s="29"/>
      <c r="LI22" s="29"/>
      <c r="LJ22" s="29"/>
      <c r="LK22" s="29"/>
    </row>
    <row r="23" spans="1:323" s="70" customFormat="1">
      <c r="A23" s="195">
        <f t="shared" ref="A23:A29" si="5">ROW()-4</f>
        <v>19</v>
      </c>
      <c r="B23" s="196"/>
      <c r="C23" s="49"/>
      <c r="D23" s="50"/>
      <c r="E23" s="50"/>
      <c r="F23" s="51"/>
      <c r="G23" s="197"/>
      <c r="H23" s="53" t="str">
        <f t="shared" si="0"/>
        <v/>
      </c>
      <c r="I23" s="53"/>
      <c r="J23" s="53"/>
      <c r="K23" s="53"/>
      <c r="L23" s="53"/>
      <c r="M23" s="340" t="str">
        <f t="shared" si="2"/>
        <v/>
      </c>
      <c r="N23" s="278"/>
      <c r="O23" s="278"/>
      <c r="P23" s="278"/>
      <c r="Q23" s="278"/>
      <c r="R23" s="72"/>
      <c r="S23" s="170"/>
      <c r="T23" s="279"/>
      <c r="U23" s="198"/>
      <c r="V23" s="279"/>
      <c r="W23" s="199"/>
      <c r="X23" s="279"/>
      <c r="Y23" s="57"/>
      <c r="Z23" s="279"/>
      <c r="AA23" s="200"/>
      <c r="AB23" s="279"/>
      <c r="AC23" s="59"/>
      <c r="AD23" s="279"/>
      <c r="AE23" s="59"/>
      <c r="AF23" s="279"/>
      <c r="AG23" s="59"/>
      <c r="AH23" s="279"/>
      <c r="AI23" s="265"/>
      <c r="AJ23" s="279"/>
      <c r="AK23" s="59"/>
      <c r="AL23" s="279"/>
      <c r="AM23" s="59"/>
      <c r="AN23" s="279"/>
      <c r="AO23" s="59"/>
      <c r="AP23" s="279"/>
      <c r="AQ23" s="59"/>
      <c r="AR23" s="279"/>
      <c r="AS23" s="59"/>
      <c r="AT23" s="279"/>
      <c r="AU23" s="59"/>
      <c r="AV23" s="279"/>
      <c r="AW23" s="59"/>
      <c r="AX23" s="279"/>
      <c r="AY23" s="201"/>
      <c r="AZ23" s="279"/>
      <c r="BA23" s="73"/>
      <c r="BB23" s="279"/>
      <c r="BC23" s="73"/>
      <c r="BD23" s="279"/>
      <c r="BE23" s="73"/>
      <c r="BF23" s="279"/>
      <c r="BG23" s="73"/>
      <c r="BH23" s="279"/>
      <c r="BI23" s="73"/>
      <c r="BJ23" s="279"/>
      <c r="BK23" s="73"/>
      <c r="BL23" s="279"/>
      <c r="BM23" s="73"/>
      <c r="BN23" s="279"/>
      <c r="BO23" s="73"/>
      <c r="BP23" s="279"/>
      <c r="BQ23" s="73"/>
      <c r="BR23" s="279"/>
      <c r="BS23" s="73"/>
      <c r="BT23" s="279"/>
      <c r="BU23" s="141"/>
      <c r="BV23" s="279"/>
      <c r="BW23" s="202"/>
      <c r="BX23" s="279"/>
      <c r="BY23" s="73"/>
      <c r="BZ23" s="279"/>
      <c r="CA23" s="73"/>
      <c r="CB23" s="279"/>
      <c r="CC23" s="73"/>
      <c r="CD23" s="279"/>
      <c r="CE23" s="73"/>
      <c r="CF23" s="279"/>
      <c r="CG23" s="73"/>
      <c r="CH23" s="279"/>
      <c r="CI23" s="73"/>
      <c r="CJ23" s="279"/>
      <c r="CK23" s="73"/>
      <c r="CL23" s="279"/>
      <c r="CM23" s="73"/>
      <c r="CN23" s="279"/>
      <c r="CO23" s="73"/>
      <c r="CP23" s="279"/>
      <c r="CQ23" s="73"/>
      <c r="CR23" s="279"/>
      <c r="CS23" s="141"/>
      <c r="CT23" s="279"/>
      <c r="CU23" s="74"/>
      <c r="CV23" s="75"/>
      <c r="CW23" s="164"/>
      <c r="CX23" s="166"/>
      <c r="CY23" s="425"/>
      <c r="CZ23" s="60"/>
      <c r="DA23" s="205"/>
      <c r="DB23" s="61"/>
      <c r="DC23" s="254"/>
      <c r="DD23" s="60"/>
      <c r="DE23" s="254"/>
      <c r="DF23" s="75"/>
      <c r="DG23" s="254"/>
      <c r="DH23" s="77"/>
      <c r="DI23" s="266"/>
      <c r="DJ23" s="427">
        <f t="shared" si="3"/>
        <v>10000</v>
      </c>
      <c r="DK23" s="139"/>
      <c r="DL23" s="76"/>
      <c r="DM23" s="209"/>
      <c r="DN23" s="63"/>
      <c r="DO23" s="63"/>
      <c r="DP23" s="63"/>
      <c r="DQ23" s="63"/>
      <c r="DR23" s="63"/>
      <c r="DS23" s="63"/>
      <c r="DT23" s="63"/>
      <c r="DU23" s="64"/>
      <c r="DV23" s="76"/>
      <c r="DW23" s="76"/>
      <c r="DX23" s="209"/>
      <c r="DY23" s="63"/>
      <c r="DZ23" s="63"/>
      <c r="EA23" s="63"/>
      <c r="EB23" s="63"/>
      <c r="EC23" s="63"/>
      <c r="ED23" s="63"/>
      <c r="EE23" s="63"/>
      <c r="EF23" s="64"/>
      <c r="EG23" s="76"/>
      <c r="EH23" s="76"/>
      <c r="EI23" s="210"/>
      <c r="EJ23" s="167"/>
      <c r="EK23" s="67"/>
      <c r="EL23" s="67"/>
      <c r="EM23" s="79"/>
      <c r="EN23" s="78"/>
      <c r="EO23" s="78"/>
      <c r="EP23" s="78"/>
      <c r="EQ23" s="78"/>
      <c r="ER23" s="78"/>
      <c r="ES23" s="78"/>
      <c r="ET23" s="78"/>
      <c r="EU23" s="78"/>
      <c r="EV23" s="80"/>
      <c r="EW23" s="81"/>
      <c r="EX23" s="78"/>
      <c r="EY23" s="78"/>
      <c r="EZ23" s="78"/>
      <c r="FA23" s="79"/>
      <c r="FB23" s="78"/>
      <c r="FC23" s="78"/>
      <c r="FD23" s="80"/>
      <c r="FE23" s="211"/>
      <c r="FF23" s="69"/>
      <c r="FG23" s="213"/>
      <c r="FH23" s="214"/>
      <c r="FI23" s="215"/>
      <c r="FJ23" s="212"/>
      <c r="FK23" s="211"/>
      <c r="FL23" s="217"/>
      <c r="FM23" s="83"/>
      <c r="FN23" s="219"/>
      <c r="FO23" s="83"/>
      <c r="FP23" s="219"/>
      <c r="FQ23" s="218"/>
      <c r="FR23" s="219"/>
      <c r="FS23" s="218"/>
      <c r="FT23" s="219"/>
      <c r="FU23" s="218"/>
      <c r="FV23" s="219"/>
      <c r="FW23" s="218"/>
      <c r="FX23" s="219"/>
      <c r="FY23" s="218"/>
      <c r="FZ23" s="219"/>
      <c r="GA23" s="218"/>
      <c r="GB23" s="219"/>
      <c r="GC23" s="218"/>
      <c r="GD23" s="219"/>
      <c r="GE23" s="218"/>
      <c r="GF23" s="219"/>
      <c r="GG23" s="218"/>
      <c r="GH23" s="220"/>
      <c r="GI23" s="221"/>
      <c r="GJ23" s="219"/>
      <c r="GK23" s="219"/>
      <c r="GL23" s="219"/>
      <c r="GM23" s="219"/>
      <c r="GN23" s="219"/>
      <c r="GO23" s="219"/>
      <c r="GP23" s="219"/>
      <c r="GQ23" s="219"/>
      <c r="GR23" s="219"/>
      <c r="GS23" s="219"/>
      <c r="GT23" s="219"/>
      <c r="GU23" s="219"/>
      <c r="GV23" s="219"/>
      <c r="GW23" s="219"/>
      <c r="GX23" s="219"/>
      <c r="GY23" s="219"/>
      <c r="GZ23" s="219"/>
      <c r="HA23" s="219"/>
      <c r="HB23" s="219"/>
      <c r="HC23" s="219"/>
      <c r="HD23" s="219"/>
      <c r="HE23" s="219"/>
      <c r="HF23" s="222"/>
      <c r="HG23" s="220"/>
      <c r="HH23" s="219"/>
      <c r="HI23" s="219"/>
      <c r="HJ23" s="219"/>
      <c r="HK23" s="219"/>
      <c r="HL23" s="219"/>
      <c r="HM23" s="219"/>
      <c r="HN23" s="219"/>
      <c r="HO23" s="219"/>
      <c r="HP23" s="219"/>
      <c r="HQ23" s="219"/>
      <c r="HR23" s="219"/>
      <c r="HS23" s="219"/>
      <c r="HT23" s="219"/>
      <c r="HU23" s="219"/>
      <c r="HV23" s="219"/>
      <c r="HW23" s="219"/>
      <c r="HX23" s="219"/>
      <c r="HY23" s="219"/>
      <c r="HZ23" s="219"/>
      <c r="IA23" s="219"/>
      <c r="IB23" s="219"/>
      <c r="IC23" s="219"/>
      <c r="ID23" s="223"/>
      <c r="IE23" s="29"/>
      <c r="IF23" s="29"/>
      <c r="IG23" s="29"/>
      <c r="IH23" s="29"/>
      <c r="II23" s="29"/>
      <c r="IJ23" s="29"/>
      <c r="IK23" s="29"/>
      <c r="IL23" s="29"/>
      <c r="IM23" s="29"/>
      <c r="IN23" s="29"/>
      <c r="IO23" s="29"/>
      <c r="IP23" s="29"/>
      <c r="IQ23" s="29"/>
      <c r="IR23" s="29"/>
      <c r="IS23" s="29"/>
      <c r="IT23" s="29"/>
      <c r="IU23" s="29"/>
      <c r="IV23" s="29"/>
      <c r="IW23" s="29"/>
      <c r="IX23" s="29"/>
      <c r="IY23" s="29"/>
      <c r="IZ23" s="29"/>
      <c r="JA23" s="29"/>
      <c r="JB23" s="29"/>
      <c r="JC23" s="29"/>
      <c r="JD23" s="29"/>
      <c r="JE23" s="29"/>
      <c r="JF23" s="29"/>
      <c r="JG23" s="29"/>
      <c r="JH23" s="29"/>
      <c r="JI23" s="29"/>
      <c r="JJ23" s="29"/>
      <c r="JK23" s="29"/>
      <c r="JL23" s="29"/>
      <c r="JM23" s="29"/>
      <c r="JN23" s="29"/>
      <c r="JO23" s="29"/>
      <c r="JP23" s="29"/>
      <c r="JQ23" s="29"/>
      <c r="JR23" s="29"/>
      <c r="JS23" s="29"/>
      <c r="JT23" s="29"/>
      <c r="JU23" s="29"/>
      <c r="JV23" s="29"/>
      <c r="JW23" s="29"/>
      <c r="JX23" s="29"/>
      <c r="JY23" s="29"/>
      <c r="JZ23" s="29"/>
      <c r="KA23" s="29"/>
      <c r="KB23" s="29"/>
      <c r="KC23" s="29"/>
      <c r="KD23" s="29"/>
      <c r="KE23" s="29"/>
      <c r="KF23" s="29"/>
      <c r="KG23" s="29"/>
      <c r="KH23" s="29"/>
      <c r="KI23" s="29"/>
      <c r="KJ23" s="29"/>
      <c r="KK23" s="29"/>
      <c r="KL23" s="29"/>
      <c r="KM23" s="29"/>
      <c r="KN23" s="29"/>
      <c r="KO23" s="29"/>
      <c r="KP23" s="29"/>
      <c r="KQ23" s="29"/>
      <c r="KR23" s="29"/>
      <c r="KS23" s="29"/>
      <c r="KT23" s="29"/>
      <c r="KU23" s="29"/>
      <c r="KV23" s="29"/>
      <c r="KW23" s="29"/>
      <c r="KX23" s="29"/>
      <c r="KY23" s="29"/>
      <c r="KZ23" s="29"/>
      <c r="LA23" s="29"/>
      <c r="LB23" s="29"/>
      <c r="LC23" s="29"/>
      <c r="LD23" s="29"/>
      <c r="LE23" s="29"/>
      <c r="LF23" s="29"/>
      <c r="LG23" s="29"/>
      <c r="LH23" s="29"/>
      <c r="LI23" s="29"/>
      <c r="LJ23" s="29"/>
      <c r="LK23" s="29"/>
    </row>
    <row r="24" spans="1:323" s="70" customFormat="1">
      <c r="A24" s="195">
        <f t="shared" si="5"/>
        <v>20</v>
      </c>
      <c r="B24" s="196"/>
      <c r="C24" s="49"/>
      <c r="D24" s="50"/>
      <c r="E24" s="50"/>
      <c r="F24" s="51"/>
      <c r="G24" s="197"/>
      <c r="H24" s="53" t="str">
        <f t="shared" si="0"/>
        <v/>
      </c>
      <c r="I24" s="53"/>
      <c r="J24" s="53"/>
      <c r="K24" s="53"/>
      <c r="L24" s="53"/>
      <c r="M24" s="340" t="str">
        <f t="shared" si="2"/>
        <v/>
      </c>
      <c r="N24" s="278"/>
      <c r="O24" s="278"/>
      <c r="P24" s="278"/>
      <c r="Q24" s="278"/>
      <c r="R24" s="72"/>
      <c r="S24" s="170"/>
      <c r="T24" s="279"/>
      <c r="U24" s="198"/>
      <c r="V24" s="279"/>
      <c r="W24" s="199"/>
      <c r="X24" s="279"/>
      <c r="Y24" s="57"/>
      <c r="Z24" s="279"/>
      <c r="AA24" s="200"/>
      <c r="AB24" s="279"/>
      <c r="AC24" s="59"/>
      <c r="AD24" s="279"/>
      <c r="AE24" s="59"/>
      <c r="AF24" s="279"/>
      <c r="AG24" s="59"/>
      <c r="AH24" s="279"/>
      <c r="AI24" s="265"/>
      <c r="AJ24" s="279"/>
      <c r="AK24" s="59"/>
      <c r="AL24" s="279"/>
      <c r="AM24" s="59"/>
      <c r="AN24" s="279"/>
      <c r="AO24" s="59"/>
      <c r="AP24" s="279"/>
      <c r="AQ24" s="59"/>
      <c r="AR24" s="279"/>
      <c r="AS24" s="59"/>
      <c r="AT24" s="279"/>
      <c r="AU24" s="59"/>
      <c r="AV24" s="279"/>
      <c r="AW24" s="59"/>
      <c r="AX24" s="279"/>
      <c r="AY24" s="201"/>
      <c r="AZ24" s="279"/>
      <c r="BA24" s="73"/>
      <c r="BB24" s="279"/>
      <c r="BC24" s="73"/>
      <c r="BD24" s="279"/>
      <c r="BE24" s="73"/>
      <c r="BF24" s="279"/>
      <c r="BG24" s="73"/>
      <c r="BH24" s="279"/>
      <c r="BI24" s="73"/>
      <c r="BJ24" s="279"/>
      <c r="BK24" s="73"/>
      <c r="BL24" s="279"/>
      <c r="BM24" s="73"/>
      <c r="BN24" s="279"/>
      <c r="BO24" s="73"/>
      <c r="BP24" s="279"/>
      <c r="BQ24" s="73"/>
      <c r="BR24" s="279"/>
      <c r="BS24" s="73"/>
      <c r="BT24" s="279"/>
      <c r="BU24" s="141"/>
      <c r="BV24" s="279"/>
      <c r="BW24" s="202"/>
      <c r="BX24" s="279"/>
      <c r="BY24" s="73"/>
      <c r="BZ24" s="279"/>
      <c r="CA24" s="73"/>
      <c r="CB24" s="279"/>
      <c r="CC24" s="73"/>
      <c r="CD24" s="279"/>
      <c r="CE24" s="73"/>
      <c r="CF24" s="279"/>
      <c r="CG24" s="73"/>
      <c r="CH24" s="279"/>
      <c r="CI24" s="73"/>
      <c r="CJ24" s="279"/>
      <c r="CK24" s="73"/>
      <c r="CL24" s="279"/>
      <c r="CM24" s="73"/>
      <c r="CN24" s="279"/>
      <c r="CO24" s="73"/>
      <c r="CP24" s="279"/>
      <c r="CQ24" s="73"/>
      <c r="CR24" s="279"/>
      <c r="CS24" s="141"/>
      <c r="CT24" s="279"/>
      <c r="CU24" s="74"/>
      <c r="CV24" s="75"/>
      <c r="CW24" s="164"/>
      <c r="CX24" s="166"/>
      <c r="CY24" s="425"/>
      <c r="CZ24" s="60"/>
      <c r="DA24" s="205"/>
      <c r="DB24" s="61"/>
      <c r="DC24" s="254"/>
      <c r="DD24" s="60"/>
      <c r="DE24" s="254"/>
      <c r="DF24" s="75"/>
      <c r="DG24" s="254"/>
      <c r="DH24" s="77"/>
      <c r="DI24" s="266"/>
      <c r="DJ24" s="427">
        <f t="shared" si="3"/>
        <v>10000</v>
      </c>
      <c r="DK24" s="139"/>
      <c r="DL24" s="76"/>
      <c r="DM24" s="209"/>
      <c r="DN24" s="63"/>
      <c r="DO24" s="63"/>
      <c r="DP24" s="63"/>
      <c r="DQ24" s="63"/>
      <c r="DR24" s="63"/>
      <c r="DS24" s="63"/>
      <c r="DT24" s="63"/>
      <c r="DU24" s="64"/>
      <c r="DV24" s="76"/>
      <c r="DW24" s="76"/>
      <c r="DX24" s="209"/>
      <c r="DY24" s="63"/>
      <c r="DZ24" s="63"/>
      <c r="EA24" s="63"/>
      <c r="EB24" s="63"/>
      <c r="EC24" s="63"/>
      <c r="ED24" s="63"/>
      <c r="EE24" s="63"/>
      <c r="EF24" s="64"/>
      <c r="EG24" s="76"/>
      <c r="EH24" s="76"/>
      <c r="EI24" s="210"/>
      <c r="EJ24" s="167"/>
      <c r="EK24" s="67"/>
      <c r="EL24" s="67"/>
      <c r="EM24" s="79"/>
      <c r="EN24" s="78"/>
      <c r="EO24" s="78"/>
      <c r="EP24" s="78"/>
      <c r="EQ24" s="78"/>
      <c r="ER24" s="78"/>
      <c r="ES24" s="78"/>
      <c r="ET24" s="78"/>
      <c r="EU24" s="78"/>
      <c r="EV24" s="80"/>
      <c r="EW24" s="81"/>
      <c r="EX24" s="78"/>
      <c r="EY24" s="78"/>
      <c r="EZ24" s="78"/>
      <c r="FA24" s="79"/>
      <c r="FB24" s="78"/>
      <c r="FC24" s="78"/>
      <c r="FD24" s="80"/>
      <c r="FE24" s="211"/>
      <c r="FF24" s="69"/>
      <c r="FG24" s="213"/>
      <c r="FH24" s="214"/>
      <c r="FI24" s="215"/>
      <c r="FJ24" s="212"/>
      <c r="FK24" s="211"/>
      <c r="FL24" s="217"/>
      <c r="FM24" s="83"/>
      <c r="FN24" s="219"/>
      <c r="FO24" s="83"/>
      <c r="FP24" s="219"/>
      <c r="FQ24" s="218"/>
      <c r="FR24" s="219"/>
      <c r="FS24" s="218"/>
      <c r="FT24" s="219"/>
      <c r="FU24" s="218"/>
      <c r="FV24" s="219"/>
      <c r="FW24" s="218"/>
      <c r="FX24" s="219"/>
      <c r="FY24" s="218"/>
      <c r="FZ24" s="219"/>
      <c r="GA24" s="218"/>
      <c r="GB24" s="219"/>
      <c r="GC24" s="218"/>
      <c r="GD24" s="219"/>
      <c r="GE24" s="218"/>
      <c r="GF24" s="219"/>
      <c r="GG24" s="218"/>
      <c r="GH24" s="220"/>
      <c r="GI24" s="221"/>
      <c r="GJ24" s="219"/>
      <c r="GK24" s="219"/>
      <c r="GL24" s="219"/>
      <c r="GM24" s="219"/>
      <c r="GN24" s="219"/>
      <c r="GO24" s="219"/>
      <c r="GP24" s="219"/>
      <c r="GQ24" s="219"/>
      <c r="GR24" s="219"/>
      <c r="GS24" s="219"/>
      <c r="GT24" s="219"/>
      <c r="GU24" s="219"/>
      <c r="GV24" s="219"/>
      <c r="GW24" s="219"/>
      <c r="GX24" s="219"/>
      <c r="GY24" s="219"/>
      <c r="GZ24" s="219"/>
      <c r="HA24" s="219"/>
      <c r="HB24" s="219"/>
      <c r="HC24" s="219"/>
      <c r="HD24" s="219"/>
      <c r="HE24" s="219"/>
      <c r="HF24" s="222"/>
      <c r="HG24" s="220"/>
      <c r="HH24" s="219"/>
      <c r="HI24" s="219"/>
      <c r="HJ24" s="219"/>
      <c r="HK24" s="219"/>
      <c r="HL24" s="219"/>
      <c r="HM24" s="219"/>
      <c r="HN24" s="219"/>
      <c r="HO24" s="219"/>
      <c r="HP24" s="219"/>
      <c r="HQ24" s="219"/>
      <c r="HR24" s="219"/>
      <c r="HS24" s="219"/>
      <c r="HT24" s="219"/>
      <c r="HU24" s="219"/>
      <c r="HV24" s="219"/>
      <c r="HW24" s="219"/>
      <c r="HX24" s="219"/>
      <c r="HY24" s="219"/>
      <c r="HZ24" s="219"/>
      <c r="IA24" s="219"/>
      <c r="IB24" s="219"/>
      <c r="IC24" s="219"/>
      <c r="ID24" s="223"/>
      <c r="IE24" s="29"/>
      <c r="IF24" s="29"/>
      <c r="IG24" s="29"/>
      <c r="IH24" s="29"/>
      <c r="II24" s="29"/>
      <c r="IJ24" s="29"/>
      <c r="IK24" s="29"/>
      <c r="IL24" s="29"/>
      <c r="IM24" s="29"/>
      <c r="IN24" s="29"/>
      <c r="IO24" s="29"/>
      <c r="IP24" s="29"/>
      <c r="IQ24" s="29"/>
      <c r="IR24" s="29"/>
      <c r="IS24" s="29"/>
      <c r="IT24" s="29"/>
      <c r="IU24" s="29"/>
      <c r="IV24" s="29"/>
      <c r="IW24" s="29"/>
      <c r="IX24" s="29"/>
      <c r="IY24" s="29"/>
      <c r="IZ24" s="29"/>
      <c r="JA24" s="29"/>
      <c r="JB24" s="29"/>
      <c r="JC24" s="29"/>
      <c r="JD24" s="29"/>
      <c r="JE24" s="29"/>
      <c r="JF24" s="29"/>
      <c r="JG24" s="29"/>
      <c r="JH24" s="29"/>
      <c r="JI24" s="29"/>
      <c r="JJ24" s="29"/>
      <c r="JK24" s="29"/>
      <c r="JL24" s="29"/>
      <c r="JM24" s="29"/>
      <c r="JN24" s="29"/>
      <c r="JO24" s="29"/>
      <c r="JP24" s="29"/>
      <c r="JQ24" s="29"/>
      <c r="JR24" s="29"/>
      <c r="JS24" s="29"/>
      <c r="JT24" s="29"/>
      <c r="JU24" s="29"/>
      <c r="JV24" s="29"/>
      <c r="JW24" s="29"/>
      <c r="JX24" s="29"/>
      <c r="JY24" s="29"/>
      <c r="JZ24" s="29"/>
      <c r="KA24" s="29"/>
      <c r="KB24" s="29"/>
      <c r="KC24" s="29"/>
      <c r="KD24" s="29"/>
      <c r="KE24" s="29"/>
      <c r="KF24" s="29"/>
      <c r="KG24" s="29"/>
      <c r="KH24" s="29"/>
      <c r="KI24" s="29"/>
      <c r="KJ24" s="29"/>
      <c r="KK24" s="29"/>
      <c r="KL24" s="29"/>
      <c r="KM24" s="29"/>
      <c r="KN24" s="29"/>
      <c r="KO24" s="29"/>
      <c r="KP24" s="29"/>
      <c r="KQ24" s="29"/>
      <c r="KR24" s="29"/>
      <c r="KS24" s="29"/>
      <c r="KT24" s="29"/>
      <c r="KU24" s="29"/>
      <c r="KV24" s="29"/>
      <c r="KW24" s="29"/>
      <c r="KX24" s="29"/>
      <c r="KY24" s="29"/>
      <c r="KZ24" s="29"/>
      <c r="LA24" s="29"/>
      <c r="LB24" s="29"/>
      <c r="LC24" s="29"/>
      <c r="LD24" s="29"/>
      <c r="LE24" s="29"/>
      <c r="LF24" s="29"/>
      <c r="LG24" s="29"/>
      <c r="LH24" s="29"/>
      <c r="LI24" s="29"/>
      <c r="LJ24" s="29"/>
      <c r="LK24" s="29"/>
    </row>
    <row r="25" spans="1:323" s="70" customFormat="1">
      <c r="A25" s="195">
        <f t="shared" si="5"/>
        <v>21</v>
      </c>
      <c r="B25" s="196"/>
      <c r="C25" s="49"/>
      <c r="D25" s="50"/>
      <c r="E25" s="50"/>
      <c r="F25" s="51"/>
      <c r="G25" s="197"/>
      <c r="H25" s="53" t="str">
        <f t="shared" si="0"/>
        <v/>
      </c>
      <c r="I25" s="53"/>
      <c r="J25" s="53"/>
      <c r="K25" s="53"/>
      <c r="L25" s="53"/>
      <c r="M25" s="340" t="str">
        <f t="shared" si="2"/>
        <v/>
      </c>
      <c r="N25" s="278"/>
      <c r="O25" s="278"/>
      <c r="P25" s="278"/>
      <c r="Q25" s="278"/>
      <c r="R25" s="72"/>
      <c r="S25" s="170"/>
      <c r="T25" s="279"/>
      <c r="U25" s="198"/>
      <c r="V25" s="279"/>
      <c r="W25" s="199"/>
      <c r="X25" s="279"/>
      <c r="Y25" s="57"/>
      <c r="Z25" s="279"/>
      <c r="AA25" s="200"/>
      <c r="AB25" s="279"/>
      <c r="AC25" s="59"/>
      <c r="AD25" s="279"/>
      <c r="AE25" s="59"/>
      <c r="AF25" s="279"/>
      <c r="AG25" s="59"/>
      <c r="AH25" s="279"/>
      <c r="AI25" s="265"/>
      <c r="AJ25" s="279"/>
      <c r="AK25" s="59"/>
      <c r="AL25" s="279"/>
      <c r="AM25" s="59"/>
      <c r="AN25" s="279"/>
      <c r="AO25" s="59"/>
      <c r="AP25" s="279"/>
      <c r="AQ25" s="59"/>
      <c r="AR25" s="279"/>
      <c r="AS25" s="59"/>
      <c r="AT25" s="279"/>
      <c r="AU25" s="59"/>
      <c r="AV25" s="279"/>
      <c r="AW25" s="59"/>
      <c r="AX25" s="279"/>
      <c r="AY25" s="201"/>
      <c r="AZ25" s="279"/>
      <c r="BA25" s="73"/>
      <c r="BB25" s="279"/>
      <c r="BC25" s="73"/>
      <c r="BD25" s="279"/>
      <c r="BE25" s="73"/>
      <c r="BF25" s="279"/>
      <c r="BG25" s="73"/>
      <c r="BH25" s="279"/>
      <c r="BI25" s="73"/>
      <c r="BJ25" s="279"/>
      <c r="BK25" s="73"/>
      <c r="BL25" s="279"/>
      <c r="BM25" s="73"/>
      <c r="BN25" s="279"/>
      <c r="BO25" s="73"/>
      <c r="BP25" s="279"/>
      <c r="BQ25" s="73"/>
      <c r="BR25" s="279"/>
      <c r="BS25" s="73"/>
      <c r="BT25" s="279"/>
      <c r="BU25" s="141"/>
      <c r="BV25" s="279"/>
      <c r="BW25" s="202"/>
      <c r="BX25" s="279"/>
      <c r="BY25" s="73"/>
      <c r="BZ25" s="279"/>
      <c r="CA25" s="73"/>
      <c r="CB25" s="279"/>
      <c r="CC25" s="73"/>
      <c r="CD25" s="279"/>
      <c r="CE25" s="73"/>
      <c r="CF25" s="279"/>
      <c r="CG25" s="73"/>
      <c r="CH25" s="279"/>
      <c r="CI25" s="73"/>
      <c r="CJ25" s="279"/>
      <c r="CK25" s="73"/>
      <c r="CL25" s="279"/>
      <c r="CM25" s="73"/>
      <c r="CN25" s="279"/>
      <c r="CO25" s="73"/>
      <c r="CP25" s="279"/>
      <c r="CQ25" s="73"/>
      <c r="CR25" s="279"/>
      <c r="CS25" s="141"/>
      <c r="CT25" s="279"/>
      <c r="CU25" s="74"/>
      <c r="CV25" s="75"/>
      <c r="CW25" s="164"/>
      <c r="CX25" s="166"/>
      <c r="CY25" s="425"/>
      <c r="CZ25" s="60"/>
      <c r="DA25" s="205"/>
      <c r="DB25" s="61"/>
      <c r="DC25" s="254"/>
      <c r="DD25" s="60"/>
      <c r="DE25" s="254"/>
      <c r="DF25" s="75"/>
      <c r="DG25" s="254"/>
      <c r="DH25" s="77"/>
      <c r="DI25" s="266"/>
      <c r="DJ25" s="427">
        <f t="shared" si="3"/>
        <v>10000</v>
      </c>
      <c r="DK25" s="139"/>
      <c r="DL25" s="76"/>
      <c r="DM25" s="209"/>
      <c r="DN25" s="63"/>
      <c r="DO25" s="63"/>
      <c r="DP25" s="63"/>
      <c r="DQ25" s="63"/>
      <c r="DR25" s="63"/>
      <c r="DS25" s="63"/>
      <c r="DT25" s="63"/>
      <c r="DU25" s="64"/>
      <c r="DV25" s="76"/>
      <c r="DW25" s="76"/>
      <c r="DX25" s="209"/>
      <c r="DY25" s="63"/>
      <c r="DZ25" s="63"/>
      <c r="EA25" s="63"/>
      <c r="EB25" s="63"/>
      <c r="EC25" s="63"/>
      <c r="ED25" s="63"/>
      <c r="EE25" s="63"/>
      <c r="EF25" s="64"/>
      <c r="EG25" s="76"/>
      <c r="EH25" s="76"/>
      <c r="EI25" s="210"/>
      <c r="EJ25" s="167"/>
      <c r="EK25" s="67"/>
      <c r="EL25" s="67"/>
      <c r="EM25" s="79"/>
      <c r="EN25" s="78"/>
      <c r="EO25" s="78"/>
      <c r="EP25" s="78"/>
      <c r="EQ25" s="78"/>
      <c r="ER25" s="78"/>
      <c r="ES25" s="78"/>
      <c r="ET25" s="78"/>
      <c r="EU25" s="78"/>
      <c r="EV25" s="80"/>
      <c r="EW25" s="81"/>
      <c r="EX25" s="78"/>
      <c r="EY25" s="78"/>
      <c r="EZ25" s="78"/>
      <c r="FA25" s="79"/>
      <c r="FB25" s="78"/>
      <c r="FC25" s="78"/>
      <c r="FD25" s="80"/>
      <c r="FE25" s="211"/>
      <c r="FF25" s="69"/>
      <c r="FG25" s="213"/>
      <c r="FH25" s="214"/>
      <c r="FI25" s="215"/>
      <c r="FJ25" s="212"/>
      <c r="FK25" s="211"/>
      <c r="FL25" s="217"/>
      <c r="FM25" s="83"/>
      <c r="FN25" s="219"/>
      <c r="FO25" s="83"/>
      <c r="FP25" s="219"/>
      <c r="FQ25" s="218"/>
      <c r="FR25" s="219"/>
      <c r="FS25" s="218"/>
      <c r="FT25" s="219"/>
      <c r="FU25" s="218"/>
      <c r="FV25" s="219"/>
      <c r="FW25" s="218"/>
      <c r="FX25" s="219"/>
      <c r="FY25" s="218"/>
      <c r="FZ25" s="219"/>
      <c r="GA25" s="218"/>
      <c r="GB25" s="219"/>
      <c r="GC25" s="218"/>
      <c r="GD25" s="219"/>
      <c r="GE25" s="218"/>
      <c r="GF25" s="219"/>
      <c r="GG25" s="218"/>
      <c r="GH25" s="220"/>
      <c r="GI25" s="221"/>
      <c r="GJ25" s="219"/>
      <c r="GK25" s="219"/>
      <c r="GL25" s="219"/>
      <c r="GM25" s="219"/>
      <c r="GN25" s="219"/>
      <c r="GO25" s="219"/>
      <c r="GP25" s="219"/>
      <c r="GQ25" s="219"/>
      <c r="GR25" s="219"/>
      <c r="GS25" s="219"/>
      <c r="GT25" s="219"/>
      <c r="GU25" s="219"/>
      <c r="GV25" s="219"/>
      <c r="GW25" s="219"/>
      <c r="GX25" s="219"/>
      <c r="GY25" s="219"/>
      <c r="GZ25" s="219"/>
      <c r="HA25" s="219"/>
      <c r="HB25" s="219"/>
      <c r="HC25" s="219"/>
      <c r="HD25" s="219"/>
      <c r="HE25" s="219"/>
      <c r="HF25" s="222"/>
      <c r="HG25" s="220"/>
      <c r="HH25" s="219"/>
      <c r="HI25" s="219"/>
      <c r="HJ25" s="219"/>
      <c r="HK25" s="219"/>
      <c r="HL25" s="219"/>
      <c r="HM25" s="219"/>
      <c r="HN25" s="219"/>
      <c r="HO25" s="219"/>
      <c r="HP25" s="219"/>
      <c r="HQ25" s="219"/>
      <c r="HR25" s="219"/>
      <c r="HS25" s="219"/>
      <c r="HT25" s="219"/>
      <c r="HU25" s="219"/>
      <c r="HV25" s="219"/>
      <c r="HW25" s="219"/>
      <c r="HX25" s="219"/>
      <c r="HY25" s="219"/>
      <c r="HZ25" s="219"/>
      <c r="IA25" s="219"/>
      <c r="IB25" s="219"/>
      <c r="IC25" s="219"/>
      <c r="ID25" s="223"/>
      <c r="IE25" s="29"/>
      <c r="IF25" s="29"/>
      <c r="IG25" s="29"/>
      <c r="IH25" s="29"/>
      <c r="II25" s="29"/>
      <c r="IJ25" s="29"/>
      <c r="IK25" s="29"/>
      <c r="IL25" s="29"/>
      <c r="IM25" s="29"/>
      <c r="IN25" s="29"/>
      <c r="IO25" s="29"/>
      <c r="IP25" s="29"/>
      <c r="IQ25" s="29"/>
      <c r="IR25" s="29"/>
      <c r="IS25" s="29"/>
      <c r="IT25" s="29"/>
      <c r="IU25" s="29"/>
      <c r="IV25" s="29"/>
      <c r="IW25" s="29"/>
      <c r="IX25" s="29"/>
      <c r="IY25" s="29"/>
      <c r="IZ25" s="29"/>
      <c r="JA25" s="29"/>
      <c r="JB25" s="29"/>
      <c r="JC25" s="29"/>
      <c r="JD25" s="29"/>
      <c r="JE25" s="29"/>
      <c r="JF25" s="29"/>
      <c r="JG25" s="29"/>
      <c r="JH25" s="29"/>
      <c r="JI25" s="29"/>
      <c r="JJ25" s="29"/>
      <c r="JK25" s="29"/>
      <c r="JL25" s="29"/>
      <c r="JM25" s="29"/>
      <c r="JN25" s="29"/>
      <c r="JO25" s="29"/>
      <c r="JP25" s="29"/>
      <c r="JQ25" s="29"/>
      <c r="JR25" s="29"/>
      <c r="JS25" s="29"/>
      <c r="JT25" s="29"/>
      <c r="JU25" s="29"/>
      <c r="JV25" s="29"/>
      <c r="JW25" s="29"/>
      <c r="JX25" s="29"/>
      <c r="JY25" s="29"/>
      <c r="JZ25" s="29"/>
      <c r="KA25" s="29"/>
      <c r="KB25" s="29"/>
      <c r="KC25" s="29"/>
      <c r="KD25" s="29"/>
      <c r="KE25" s="29"/>
      <c r="KF25" s="29"/>
      <c r="KG25" s="29"/>
      <c r="KH25" s="29"/>
      <c r="KI25" s="29"/>
      <c r="KJ25" s="29"/>
      <c r="KK25" s="29"/>
      <c r="KL25" s="29"/>
      <c r="KM25" s="29"/>
      <c r="KN25" s="29"/>
      <c r="KO25" s="29"/>
      <c r="KP25" s="29"/>
      <c r="KQ25" s="29"/>
      <c r="KR25" s="29"/>
      <c r="KS25" s="29"/>
      <c r="KT25" s="29"/>
      <c r="KU25" s="29"/>
      <c r="KV25" s="29"/>
      <c r="KW25" s="29"/>
      <c r="KX25" s="29"/>
      <c r="KY25" s="29"/>
      <c r="KZ25" s="29"/>
      <c r="LA25" s="29"/>
      <c r="LB25" s="29"/>
      <c r="LC25" s="29"/>
      <c r="LD25" s="29"/>
      <c r="LE25" s="29"/>
      <c r="LF25" s="29"/>
      <c r="LG25" s="29"/>
      <c r="LH25" s="29"/>
      <c r="LI25" s="29"/>
      <c r="LJ25" s="29"/>
      <c r="LK25" s="29"/>
    </row>
    <row r="26" spans="1:323" s="70" customFormat="1">
      <c r="A26" s="195">
        <f t="shared" si="5"/>
        <v>22</v>
      </c>
      <c r="B26" s="196"/>
      <c r="C26" s="49"/>
      <c r="D26" s="50"/>
      <c r="E26" s="50"/>
      <c r="F26" s="51"/>
      <c r="G26" s="197"/>
      <c r="H26" s="53" t="str">
        <f t="shared" si="0"/>
        <v/>
      </c>
      <c r="I26" s="53"/>
      <c r="J26" s="53"/>
      <c r="K26" s="53"/>
      <c r="L26" s="53"/>
      <c r="M26" s="340" t="str">
        <f t="shared" si="2"/>
        <v/>
      </c>
      <c r="N26" s="278"/>
      <c r="O26" s="278"/>
      <c r="P26" s="278"/>
      <c r="Q26" s="278"/>
      <c r="R26" s="72"/>
      <c r="S26" s="170"/>
      <c r="T26" s="279"/>
      <c r="U26" s="198"/>
      <c r="V26" s="279"/>
      <c r="W26" s="199"/>
      <c r="X26" s="279"/>
      <c r="Y26" s="57"/>
      <c r="Z26" s="279"/>
      <c r="AA26" s="200"/>
      <c r="AB26" s="279"/>
      <c r="AC26" s="59"/>
      <c r="AD26" s="279"/>
      <c r="AE26" s="59"/>
      <c r="AF26" s="279"/>
      <c r="AG26" s="59"/>
      <c r="AH26" s="279"/>
      <c r="AI26" s="265"/>
      <c r="AJ26" s="279"/>
      <c r="AK26" s="59"/>
      <c r="AL26" s="279"/>
      <c r="AM26" s="59"/>
      <c r="AN26" s="279"/>
      <c r="AO26" s="59"/>
      <c r="AP26" s="279"/>
      <c r="AQ26" s="59"/>
      <c r="AR26" s="279"/>
      <c r="AS26" s="59"/>
      <c r="AT26" s="279"/>
      <c r="AU26" s="59"/>
      <c r="AV26" s="279"/>
      <c r="AW26" s="59"/>
      <c r="AX26" s="279"/>
      <c r="AY26" s="201"/>
      <c r="AZ26" s="279"/>
      <c r="BA26" s="73"/>
      <c r="BB26" s="279"/>
      <c r="BC26" s="73"/>
      <c r="BD26" s="279"/>
      <c r="BE26" s="73"/>
      <c r="BF26" s="279"/>
      <c r="BG26" s="73"/>
      <c r="BH26" s="279"/>
      <c r="BI26" s="73"/>
      <c r="BJ26" s="279"/>
      <c r="BK26" s="73"/>
      <c r="BL26" s="279"/>
      <c r="BM26" s="73"/>
      <c r="BN26" s="279"/>
      <c r="BO26" s="73"/>
      <c r="BP26" s="279"/>
      <c r="BQ26" s="73"/>
      <c r="BR26" s="279"/>
      <c r="BS26" s="73"/>
      <c r="BT26" s="279"/>
      <c r="BU26" s="141"/>
      <c r="BV26" s="279"/>
      <c r="BW26" s="202"/>
      <c r="BX26" s="279"/>
      <c r="BY26" s="73"/>
      <c r="BZ26" s="279"/>
      <c r="CA26" s="73"/>
      <c r="CB26" s="279"/>
      <c r="CC26" s="73"/>
      <c r="CD26" s="279"/>
      <c r="CE26" s="73"/>
      <c r="CF26" s="279"/>
      <c r="CG26" s="73"/>
      <c r="CH26" s="279"/>
      <c r="CI26" s="73"/>
      <c r="CJ26" s="279"/>
      <c r="CK26" s="73"/>
      <c r="CL26" s="279"/>
      <c r="CM26" s="73"/>
      <c r="CN26" s="279"/>
      <c r="CO26" s="73"/>
      <c r="CP26" s="279"/>
      <c r="CQ26" s="73"/>
      <c r="CR26" s="279"/>
      <c r="CS26" s="141"/>
      <c r="CT26" s="279"/>
      <c r="CU26" s="74"/>
      <c r="CV26" s="75"/>
      <c r="CW26" s="164"/>
      <c r="CX26" s="166"/>
      <c r="CY26" s="425"/>
      <c r="CZ26" s="60"/>
      <c r="DA26" s="205"/>
      <c r="DB26" s="61"/>
      <c r="DC26" s="254"/>
      <c r="DD26" s="60"/>
      <c r="DE26" s="254"/>
      <c r="DF26" s="75"/>
      <c r="DG26" s="254"/>
      <c r="DH26" s="77"/>
      <c r="DI26" s="266"/>
      <c r="DJ26" s="427">
        <f t="shared" si="3"/>
        <v>10000</v>
      </c>
      <c r="DK26" s="139"/>
      <c r="DL26" s="76"/>
      <c r="DM26" s="209"/>
      <c r="DN26" s="63"/>
      <c r="DO26" s="63"/>
      <c r="DP26" s="63"/>
      <c r="DQ26" s="63"/>
      <c r="DR26" s="63"/>
      <c r="DS26" s="63"/>
      <c r="DT26" s="63"/>
      <c r="DU26" s="64"/>
      <c r="DV26" s="76"/>
      <c r="DW26" s="76"/>
      <c r="DX26" s="209"/>
      <c r="DY26" s="63"/>
      <c r="DZ26" s="63"/>
      <c r="EA26" s="63"/>
      <c r="EB26" s="63"/>
      <c r="EC26" s="63"/>
      <c r="ED26" s="63"/>
      <c r="EE26" s="63"/>
      <c r="EF26" s="64"/>
      <c r="EG26" s="76"/>
      <c r="EH26" s="76"/>
      <c r="EI26" s="210"/>
      <c r="EJ26" s="167"/>
      <c r="EK26" s="67"/>
      <c r="EL26" s="67"/>
      <c r="EM26" s="79"/>
      <c r="EN26" s="78"/>
      <c r="EO26" s="78"/>
      <c r="EP26" s="78"/>
      <c r="EQ26" s="78"/>
      <c r="ER26" s="78"/>
      <c r="ES26" s="78"/>
      <c r="ET26" s="78"/>
      <c r="EU26" s="78"/>
      <c r="EV26" s="80"/>
      <c r="EW26" s="81"/>
      <c r="EX26" s="78"/>
      <c r="EY26" s="78"/>
      <c r="EZ26" s="78"/>
      <c r="FA26" s="79"/>
      <c r="FB26" s="78"/>
      <c r="FC26" s="78"/>
      <c r="FD26" s="80"/>
      <c r="FE26" s="211"/>
      <c r="FF26" s="69"/>
      <c r="FG26" s="213"/>
      <c r="FH26" s="214"/>
      <c r="FI26" s="215"/>
      <c r="FJ26" s="212"/>
      <c r="FK26" s="211"/>
      <c r="FL26" s="217"/>
      <c r="FM26" s="83"/>
      <c r="FN26" s="219"/>
      <c r="FO26" s="83"/>
      <c r="FP26" s="219"/>
      <c r="FQ26" s="218"/>
      <c r="FR26" s="219"/>
      <c r="FS26" s="218"/>
      <c r="FT26" s="219"/>
      <c r="FU26" s="218"/>
      <c r="FV26" s="219"/>
      <c r="FW26" s="218"/>
      <c r="FX26" s="219"/>
      <c r="FY26" s="218"/>
      <c r="FZ26" s="219"/>
      <c r="GA26" s="218"/>
      <c r="GB26" s="219"/>
      <c r="GC26" s="218"/>
      <c r="GD26" s="219"/>
      <c r="GE26" s="218"/>
      <c r="GF26" s="219"/>
      <c r="GG26" s="218"/>
      <c r="GH26" s="220"/>
      <c r="GI26" s="221"/>
      <c r="GJ26" s="219"/>
      <c r="GK26" s="219"/>
      <c r="GL26" s="219"/>
      <c r="GM26" s="219"/>
      <c r="GN26" s="219"/>
      <c r="GO26" s="219"/>
      <c r="GP26" s="219"/>
      <c r="GQ26" s="219"/>
      <c r="GR26" s="219"/>
      <c r="GS26" s="219"/>
      <c r="GT26" s="219"/>
      <c r="GU26" s="219"/>
      <c r="GV26" s="219"/>
      <c r="GW26" s="219"/>
      <c r="GX26" s="219"/>
      <c r="GY26" s="219"/>
      <c r="GZ26" s="219"/>
      <c r="HA26" s="219"/>
      <c r="HB26" s="219"/>
      <c r="HC26" s="219"/>
      <c r="HD26" s="219"/>
      <c r="HE26" s="219"/>
      <c r="HF26" s="222"/>
      <c r="HG26" s="220"/>
      <c r="HH26" s="219"/>
      <c r="HI26" s="219"/>
      <c r="HJ26" s="219"/>
      <c r="HK26" s="219"/>
      <c r="HL26" s="219"/>
      <c r="HM26" s="219"/>
      <c r="HN26" s="219"/>
      <c r="HO26" s="219"/>
      <c r="HP26" s="219"/>
      <c r="HQ26" s="219"/>
      <c r="HR26" s="219"/>
      <c r="HS26" s="219"/>
      <c r="HT26" s="219"/>
      <c r="HU26" s="219"/>
      <c r="HV26" s="219"/>
      <c r="HW26" s="219"/>
      <c r="HX26" s="219"/>
      <c r="HY26" s="219"/>
      <c r="HZ26" s="219"/>
      <c r="IA26" s="219"/>
      <c r="IB26" s="219"/>
      <c r="IC26" s="219"/>
      <c r="ID26" s="223"/>
      <c r="IE26" s="29"/>
      <c r="IF26" s="29"/>
      <c r="IG26" s="29"/>
      <c r="IH26" s="29"/>
      <c r="II26" s="29"/>
      <c r="IJ26" s="29"/>
      <c r="IK26" s="29"/>
      <c r="IL26" s="29"/>
      <c r="IM26" s="29"/>
      <c r="IN26" s="29"/>
      <c r="IO26" s="29"/>
      <c r="IP26" s="29"/>
      <c r="IQ26" s="29"/>
      <c r="IR26" s="29"/>
      <c r="IS26" s="29"/>
      <c r="IT26" s="29"/>
      <c r="IU26" s="29"/>
      <c r="IV26" s="29"/>
      <c r="IW26" s="29"/>
      <c r="IX26" s="29"/>
      <c r="IY26" s="29"/>
      <c r="IZ26" s="29"/>
      <c r="JA26" s="29"/>
      <c r="JB26" s="29"/>
      <c r="JC26" s="29"/>
      <c r="JD26" s="29"/>
      <c r="JE26" s="29"/>
      <c r="JF26" s="29"/>
      <c r="JG26" s="29"/>
      <c r="JH26" s="29"/>
      <c r="JI26" s="29"/>
      <c r="JJ26" s="29"/>
      <c r="JK26" s="29"/>
      <c r="JL26" s="29"/>
      <c r="JM26" s="29"/>
      <c r="JN26" s="29"/>
      <c r="JO26" s="29"/>
      <c r="JP26" s="29"/>
      <c r="JQ26" s="29"/>
      <c r="JR26" s="29"/>
      <c r="JS26" s="29"/>
      <c r="JT26" s="29"/>
      <c r="JU26" s="29"/>
      <c r="JV26" s="29"/>
      <c r="JW26" s="29"/>
      <c r="JX26" s="29"/>
      <c r="JY26" s="29"/>
      <c r="JZ26" s="29"/>
      <c r="KA26" s="29"/>
      <c r="KB26" s="29"/>
      <c r="KC26" s="29"/>
      <c r="KD26" s="29"/>
      <c r="KE26" s="29"/>
      <c r="KF26" s="29"/>
      <c r="KG26" s="29"/>
      <c r="KH26" s="29"/>
      <c r="KI26" s="29"/>
      <c r="KJ26" s="29"/>
      <c r="KK26" s="29"/>
      <c r="KL26" s="29"/>
      <c r="KM26" s="29"/>
      <c r="KN26" s="29"/>
      <c r="KO26" s="29"/>
      <c r="KP26" s="29"/>
      <c r="KQ26" s="29"/>
      <c r="KR26" s="29"/>
      <c r="KS26" s="29"/>
      <c r="KT26" s="29"/>
      <c r="KU26" s="29"/>
      <c r="KV26" s="29"/>
      <c r="KW26" s="29"/>
      <c r="KX26" s="29"/>
      <c r="KY26" s="29"/>
      <c r="KZ26" s="29"/>
      <c r="LA26" s="29"/>
      <c r="LB26" s="29"/>
      <c r="LC26" s="29"/>
      <c r="LD26" s="29"/>
      <c r="LE26" s="29"/>
      <c r="LF26" s="29"/>
      <c r="LG26" s="29"/>
      <c r="LH26" s="29"/>
      <c r="LI26" s="29"/>
      <c r="LJ26" s="29"/>
      <c r="LK26" s="29"/>
    </row>
    <row r="27" spans="1:323" s="70" customFormat="1">
      <c r="A27" s="195">
        <f t="shared" si="5"/>
        <v>23</v>
      </c>
      <c r="B27" s="196"/>
      <c r="C27" s="49"/>
      <c r="D27" s="50"/>
      <c r="E27" s="50"/>
      <c r="F27" s="51"/>
      <c r="G27" s="197"/>
      <c r="H27" s="53" t="str">
        <f t="shared" si="0"/>
        <v/>
      </c>
      <c r="I27" s="53"/>
      <c r="J27" s="53"/>
      <c r="K27" s="53"/>
      <c r="L27" s="53"/>
      <c r="M27" s="340" t="str">
        <f t="shared" si="2"/>
        <v/>
      </c>
      <c r="N27" s="278"/>
      <c r="O27" s="278"/>
      <c r="P27" s="278"/>
      <c r="Q27" s="278"/>
      <c r="R27" s="72"/>
      <c r="S27" s="170"/>
      <c r="T27" s="279"/>
      <c r="U27" s="198"/>
      <c r="V27" s="279"/>
      <c r="W27" s="199"/>
      <c r="X27" s="279"/>
      <c r="Y27" s="57"/>
      <c r="Z27" s="279"/>
      <c r="AA27" s="200"/>
      <c r="AB27" s="279"/>
      <c r="AC27" s="59"/>
      <c r="AD27" s="279"/>
      <c r="AE27" s="59"/>
      <c r="AF27" s="279"/>
      <c r="AG27" s="59"/>
      <c r="AH27" s="279"/>
      <c r="AI27" s="265"/>
      <c r="AJ27" s="279"/>
      <c r="AK27" s="59"/>
      <c r="AL27" s="279"/>
      <c r="AM27" s="59"/>
      <c r="AN27" s="279"/>
      <c r="AO27" s="59"/>
      <c r="AP27" s="279"/>
      <c r="AQ27" s="59"/>
      <c r="AR27" s="279"/>
      <c r="AS27" s="59"/>
      <c r="AT27" s="279"/>
      <c r="AU27" s="59"/>
      <c r="AV27" s="279"/>
      <c r="AW27" s="59"/>
      <c r="AX27" s="279"/>
      <c r="AY27" s="201"/>
      <c r="AZ27" s="279"/>
      <c r="BA27" s="73"/>
      <c r="BB27" s="279"/>
      <c r="BC27" s="73"/>
      <c r="BD27" s="279"/>
      <c r="BE27" s="73"/>
      <c r="BF27" s="279"/>
      <c r="BG27" s="73"/>
      <c r="BH27" s="279"/>
      <c r="BI27" s="73"/>
      <c r="BJ27" s="279"/>
      <c r="BK27" s="73"/>
      <c r="BL27" s="279"/>
      <c r="BM27" s="73"/>
      <c r="BN27" s="279"/>
      <c r="BO27" s="73"/>
      <c r="BP27" s="279"/>
      <c r="BQ27" s="73"/>
      <c r="BR27" s="279"/>
      <c r="BS27" s="73"/>
      <c r="BT27" s="279"/>
      <c r="BU27" s="141"/>
      <c r="BV27" s="279"/>
      <c r="BW27" s="202"/>
      <c r="BX27" s="279"/>
      <c r="BY27" s="73"/>
      <c r="BZ27" s="279"/>
      <c r="CA27" s="73"/>
      <c r="CB27" s="279"/>
      <c r="CC27" s="73"/>
      <c r="CD27" s="279"/>
      <c r="CE27" s="73"/>
      <c r="CF27" s="279"/>
      <c r="CG27" s="73"/>
      <c r="CH27" s="279"/>
      <c r="CI27" s="73"/>
      <c r="CJ27" s="279"/>
      <c r="CK27" s="73"/>
      <c r="CL27" s="279"/>
      <c r="CM27" s="73"/>
      <c r="CN27" s="279"/>
      <c r="CO27" s="73"/>
      <c r="CP27" s="279"/>
      <c r="CQ27" s="73"/>
      <c r="CR27" s="279"/>
      <c r="CS27" s="141"/>
      <c r="CT27" s="279"/>
      <c r="CU27" s="74"/>
      <c r="CV27" s="75"/>
      <c r="CW27" s="164"/>
      <c r="CX27" s="166"/>
      <c r="CY27" s="425"/>
      <c r="CZ27" s="60"/>
      <c r="DA27" s="205"/>
      <c r="DB27" s="61"/>
      <c r="DC27" s="254"/>
      <c r="DD27" s="60"/>
      <c r="DE27" s="254"/>
      <c r="DF27" s="75"/>
      <c r="DG27" s="254"/>
      <c r="DH27" s="77"/>
      <c r="DI27" s="266"/>
      <c r="DJ27" s="427">
        <f t="shared" si="3"/>
        <v>10000</v>
      </c>
      <c r="DK27" s="139"/>
      <c r="DL27" s="76"/>
      <c r="DM27" s="209"/>
      <c r="DN27" s="63"/>
      <c r="DO27" s="63"/>
      <c r="DP27" s="63"/>
      <c r="DQ27" s="63"/>
      <c r="DR27" s="63"/>
      <c r="DS27" s="63"/>
      <c r="DT27" s="63"/>
      <c r="DU27" s="64"/>
      <c r="DV27" s="76"/>
      <c r="DW27" s="76"/>
      <c r="DX27" s="209"/>
      <c r="DY27" s="63"/>
      <c r="DZ27" s="63"/>
      <c r="EA27" s="63"/>
      <c r="EB27" s="63"/>
      <c r="EC27" s="63"/>
      <c r="ED27" s="63"/>
      <c r="EE27" s="63"/>
      <c r="EF27" s="64"/>
      <c r="EG27" s="76"/>
      <c r="EH27" s="76"/>
      <c r="EI27" s="210"/>
      <c r="EJ27" s="167"/>
      <c r="EK27" s="67"/>
      <c r="EL27" s="67"/>
      <c r="EM27" s="79"/>
      <c r="EN27" s="78"/>
      <c r="EO27" s="78"/>
      <c r="EP27" s="78"/>
      <c r="EQ27" s="78"/>
      <c r="ER27" s="78"/>
      <c r="ES27" s="78"/>
      <c r="ET27" s="78"/>
      <c r="EU27" s="78"/>
      <c r="EV27" s="80"/>
      <c r="EW27" s="81"/>
      <c r="EX27" s="78"/>
      <c r="EY27" s="78"/>
      <c r="EZ27" s="78"/>
      <c r="FA27" s="79"/>
      <c r="FB27" s="78"/>
      <c r="FC27" s="78"/>
      <c r="FD27" s="80"/>
      <c r="FE27" s="211"/>
      <c r="FF27" s="69"/>
      <c r="FG27" s="213"/>
      <c r="FH27" s="214"/>
      <c r="FI27" s="215"/>
      <c r="FJ27" s="212"/>
      <c r="FK27" s="211"/>
      <c r="FL27" s="217"/>
      <c r="FM27" s="83"/>
      <c r="FN27" s="219"/>
      <c r="FO27" s="83"/>
      <c r="FP27" s="219"/>
      <c r="FQ27" s="218"/>
      <c r="FR27" s="219"/>
      <c r="FS27" s="218"/>
      <c r="FT27" s="219"/>
      <c r="FU27" s="218"/>
      <c r="FV27" s="219"/>
      <c r="FW27" s="218"/>
      <c r="FX27" s="219"/>
      <c r="FY27" s="218"/>
      <c r="FZ27" s="219"/>
      <c r="GA27" s="218"/>
      <c r="GB27" s="219"/>
      <c r="GC27" s="218"/>
      <c r="GD27" s="219"/>
      <c r="GE27" s="218"/>
      <c r="GF27" s="219"/>
      <c r="GG27" s="218"/>
      <c r="GH27" s="220"/>
      <c r="GI27" s="221"/>
      <c r="GJ27" s="219"/>
      <c r="GK27" s="219"/>
      <c r="GL27" s="219"/>
      <c r="GM27" s="219"/>
      <c r="GN27" s="219"/>
      <c r="GO27" s="219"/>
      <c r="GP27" s="219"/>
      <c r="GQ27" s="219"/>
      <c r="GR27" s="219"/>
      <c r="GS27" s="219"/>
      <c r="GT27" s="219"/>
      <c r="GU27" s="219"/>
      <c r="GV27" s="219"/>
      <c r="GW27" s="219"/>
      <c r="GX27" s="219"/>
      <c r="GY27" s="219"/>
      <c r="GZ27" s="219"/>
      <c r="HA27" s="219"/>
      <c r="HB27" s="219"/>
      <c r="HC27" s="219"/>
      <c r="HD27" s="219"/>
      <c r="HE27" s="219"/>
      <c r="HF27" s="222"/>
      <c r="HG27" s="220"/>
      <c r="HH27" s="219"/>
      <c r="HI27" s="219"/>
      <c r="HJ27" s="219"/>
      <c r="HK27" s="219"/>
      <c r="HL27" s="219"/>
      <c r="HM27" s="219"/>
      <c r="HN27" s="219"/>
      <c r="HO27" s="219"/>
      <c r="HP27" s="219"/>
      <c r="HQ27" s="219"/>
      <c r="HR27" s="219"/>
      <c r="HS27" s="219"/>
      <c r="HT27" s="219"/>
      <c r="HU27" s="219"/>
      <c r="HV27" s="219"/>
      <c r="HW27" s="219"/>
      <c r="HX27" s="219"/>
      <c r="HY27" s="219"/>
      <c r="HZ27" s="219"/>
      <c r="IA27" s="219"/>
      <c r="IB27" s="219"/>
      <c r="IC27" s="219"/>
      <c r="ID27" s="223"/>
      <c r="IE27" s="29"/>
      <c r="IF27" s="29"/>
      <c r="IG27" s="29"/>
      <c r="IH27" s="29"/>
      <c r="II27" s="29"/>
      <c r="IJ27" s="29"/>
      <c r="IK27" s="29"/>
      <c r="IL27" s="29"/>
      <c r="IM27" s="29"/>
      <c r="IN27" s="29"/>
      <c r="IO27" s="29"/>
      <c r="IP27" s="29"/>
      <c r="IQ27" s="29"/>
      <c r="IR27" s="29"/>
      <c r="IS27" s="29"/>
      <c r="IT27" s="29"/>
      <c r="IU27" s="29"/>
      <c r="IV27" s="29"/>
      <c r="IW27" s="29"/>
      <c r="IX27" s="29"/>
      <c r="IY27" s="29"/>
      <c r="IZ27" s="29"/>
      <c r="JA27" s="29"/>
      <c r="JB27" s="29"/>
      <c r="JC27" s="29"/>
      <c r="JD27" s="29"/>
      <c r="JE27" s="29"/>
      <c r="JF27" s="29"/>
      <c r="JG27" s="29"/>
      <c r="JH27" s="29"/>
      <c r="JI27" s="29"/>
      <c r="JJ27" s="29"/>
      <c r="JK27" s="29"/>
      <c r="JL27" s="29"/>
      <c r="JM27" s="29"/>
      <c r="JN27" s="29"/>
      <c r="JO27" s="29"/>
      <c r="JP27" s="29"/>
      <c r="JQ27" s="29"/>
      <c r="JR27" s="29"/>
      <c r="JS27" s="29"/>
      <c r="JT27" s="29"/>
      <c r="JU27" s="29"/>
      <c r="JV27" s="29"/>
      <c r="JW27" s="29"/>
      <c r="JX27" s="29"/>
      <c r="JY27" s="29"/>
      <c r="JZ27" s="29"/>
      <c r="KA27" s="29"/>
      <c r="KB27" s="29"/>
      <c r="KC27" s="29"/>
      <c r="KD27" s="29"/>
      <c r="KE27" s="29"/>
      <c r="KF27" s="29"/>
      <c r="KG27" s="29"/>
      <c r="KH27" s="29"/>
      <c r="KI27" s="29"/>
      <c r="KJ27" s="29"/>
      <c r="KK27" s="29"/>
      <c r="KL27" s="29"/>
      <c r="KM27" s="29"/>
      <c r="KN27" s="29"/>
      <c r="KO27" s="29"/>
      <c r="KP27" s="29"/>
      <c r="KQ27" s="29"/>
      <c r="KR27" s="29"/>
      <c r="KS27" s="29"/>
      <c r="KT27" s="29"/>
      <c r="KU27" s="29"/>
      <c r="KV27" s="29"/>
      <c r="KW27" s="29"/>
      <c r="KX27" s="29"/>
      <c r="KY27" s="29"/>
      <c r="KZ27" s="29"/>
      <c r="LA27" s="29"/>
      <c r="LB27" s="29"/>
      <c r="LC27" s="29"/>
      <c r="LD27" s="29"/>
      <c r="LE27" s="29"/>
      <c r="LF27" s="29"/>
      <c r="LG27" s="29"/>
      <c r="LH27" s="29"/>
      <c r="LI27" s="29"/>
      <c r="LJ27" s="29"/>
      <c r="LK27" s="29"/>
    </row>
    <row r="28" spans="1:323" s="70" customFormat="1">
      <c r="A28" s="195">
        <f t="shared" si="5"/>
        <v>24</v>
      </c>
      <c r="B28" s="196"/>
      <c r="C28" s="49"/>
      <c r="D28" s="50"/>
      <c r="E28" s="50"/>
      <c r="F28" s="51"/>
      <c r="G28" s="197"/>
      <c r="H28" s="53" t="str">
        <f t="shared" si="0"/>
        <v/>
      </c>
      <c r="I28" s="53"/>
      <c r="J28" s="53"/>
      <c r="K28" s="53"/>
      <c r="L28" s="53"/>
      <c r="M28" s="340" t="str">
        <f t="shared" si="2"/>
        <v/>
      </c>
      <c r="N28" s="278"/>
      <c r="O28" s="278"/>
      <c r="P28" s="278"/>
      <c r="Q28" s="278"/>
      <c r="R28" s="72"/>
      <c r="S28" s="170"/>
      <c r="T28" s="279"/>
      <c r="U28" s="198"/>
      <c r="V28" s="279"/>
      <c r="W28" s="199"/>
      <c r="X28" s="279"/>
      <c r="Y28" s="57"/>
      <c r="Z28" s="279"/>
      <c r="AA28" s="200"/>
      <c r="AB28" s="279"/>
      <c r="AC28" s="59"/>
      <c r="AD28" s="279"/>
      <c r="AE28" s="59"/>
      <c r="AF28" s="279"/>
      <c r="AG28" s="59"/>
      <c r="AH28" s="279"/>
      <c r="AI28" s="265"/>
      <c r="AJ28" s="279"/>
      <c r="AK28" s="59"/>
      <c r="AL28" s="279"/>
      <c r="AM28" s="59"/>
      <c r="AN28" s="279"/>
      <c r="AO28" s="59"/>
      <c r="AP28" s="279"/>
      <c r="AQ28" s="59"/>
      <c r="AR28" s="279"/>
      <c r="AS28" s="59"/>
      <c r="AT28" s="279"/>
      <c r="AU28" s="59"/>
      <c r="AV28" s="279"/>
      <c r="AW28" s="59"/>
      <c r="AX28" s="279"/>
      <c r="AY28" s="201"/>
      <c r="AZ28" s="279"/>
      <c r="BA28" s="73"/>
      <c r="BB28" s="279"/>
      <c r="BC28" s="73"/>
      <c r="BD28" s="279"/>
      <c r="BE28" s="73"/>
      <c r="BF28" s="279"/>
      <c r="BG28" s="73"/>
      <c r="BH28" s="279"/>
      <c r="BI28" s="73"/>
      <c r="BJ28" s="279"/>
      <c r="BK28" s="73"/>
      <c r="BL28" s="279"/>
      <c r="BM28" s="73"/>
      <c r="BN28" s="279"/>
      <c r="BO28" s="73"/>
      <c r="BP28" s="279"/>
      <c r="BQ28" s="73"/>
      <c r="BR28" s="279"/>
      <c r="BS28" s="73"/>
      <c r="BT28" s="279"/>
      <c r="BU28" s="141"/>
      <c r="BV28" s="279"/>
      <c r="BW28" s="202"/>
      <c r="BX28" s="279"/>
      <c r="BY28" s="73"/>
      <c r="BZ28" s="279"/>
      <c r="CA28" s="73"/>
      <c r="CB28" s="279"/>
      <c r="CC28" s="73"/>
      <c r="CD28" s="279"/>
      <c r="CE28" s="73"/>
      <c r="CF28" s="279"/>
      <c r="CG28" s="73"/>
      <c r="CH28" s="279"/>
      <c r="CI28" s="73"/>
      <c r="CJ28" s="279"/>
      <c r="CK28" s="73"/>
      <c r="CL28" s="279"/>
      <c r="CM28" s="73"/>
      <c r="CN28" s="279"/>
      <c r="CO28" s="73"/>
      <c r="CP28" s="279"/>
      <c r="CQ28" s="73"/>
      <c r="CR28" s="279"/>
      <c r="CS28" s="141"/>
      <c r="CT28" s="279"/>
      <c r="CU28" s="74"/>
      <c r="CV28" s="75"/>
      <c r="CW28" s="164"/>
      <c r="CX28" s="166"/>
      <c r="CY28" s="425"/>
      <c r="CZ28" s="60"/>
      <c r="DA28" s="205"/>
      <c r="DB28" s="61"/>
      <c r="DC28" s="254"/>
      <c r="DD28" s="60"/>
      <c r="DE28" s="254"/>
      <c r="DF28" s="75"/>
      <c r="DG28" s="254"/>
      <c r="DH28" s="77"/>
      <c r="DI28" s="266"/>
      <c r="DJ28" s="427">
        <f t="shared" si="3"/>
        <v>10000</v>
      </c>
      <c r="DK28" s="139"/>
      <c r="DL28" s="76"/>
      <c r="DM28" s="209"/>
      <c r="DN28" s="63"/>
      <c r="DO28" s="63"/>
      <c r="DP28" s="63"/>
      <c r="DQ28" s="63"/>
      <c r="DR28" s="63"/>
      <c r="DS28" s="63"/>
      <c r="DT28" s="63"/>
      <c r="DU28" s="64"/>
      <c r="DV28" s="76"/>
      <c r="DW28" s="76"/>
      <c r="DX28" s="209"/>
      <c r="DY28" s="63"/>
      <c r="DZ28" s="63"/>
      <c r="EA28" s="63"/>
      <c r="EB28" s="63"/>
      <c r="EC28" s="63"/>
      <c r="ED28" s="63"/>
      <c r="EE28" s="63"/>
      <c r="EF28" s="64"/>
      <c r="EG28" s="76"/>
      <c r="EH28" s="76"/>
      <c r="EI28" s="210"/>
      <c r="EJ28" s="167"/>
      <c r="EK28" s="67"/>
      <c r="EL28" s="67"/>
      <c r="EM28" s="79"/>
      <c r="EN28" s="78"/>
      <c r="EO28" s="78"/>
      <c r="EP28" s="78"/>
      <c r="EQ28" s="78"/>
      <c r="ER28" s="78"/>
      <c r="ES28" s="78"/>
      <c r="ET28" s="78"/>
      <c r="EU28" s="78"/>
      <c r="EV28" s="80"/>
      <c r="EW28" s="81"/>
      <c r="EX28" s="78"/>
      <c r="EY28" s="78"/>
      <c r="EZ28" s="78"/>
      <c r="FA28" s="79"/>
      <c r="FB28" s="78"/>
      <c r="FC28" s="78"/>
      <c r="FD28" s="80"/>
      <c r="FE28" s="211"/>
      <c r="FF28" s="69"/>
      <c r="FG28" s="213"/>
      <c r="FH28" s="214"/>
      <c r="FI28" s="215"/>
      <c r="FJ28" s="212"/>
      <c r="FK28" s="211"/>
      <c r="FL28" s="217"/>
      <c r="FM28" s="83"/>
      <c r="FN28" s="219"/>
      <c r="FO28" s="83"/>
      <c r="FP28" s="219"/>
      <c r="FQ28" s="218"/>
      <c r="FR28" s="219"/>
      <c r="FS28" s="218"/>
      <c r="FT28" s="219"/>
      <c r="FU28" s="218"/>
      <c r="FV28" s="219"/>
      <c r="FW28" s="218"/>
      <c r="FX28" s="219"/>
      <c r="FY28" s="218"/>
      <c r="FZ28" s="219"/>
      <c r="GA28" s="218"/>
      <c r="GB28" s="219"/>
      <c r="GC28" s="218"/>
      <c r="GD28" s="219"/>
      <c r="GE28" s="218"/>
      <c r="GF28" s="219"/>
      <c r="GG28" s="218"/>
      <c r="GH28" s="220"/>
      <c r="GI28" s="221"/>
      <c r="GJ28" s="219"/>
      <c r="GK28" s="219"/>
      <c r="GL28" s="219"/>
      <c r="GM28" s="219"/>
      <c r="GN28" s="219"/>
      <c r="GO28" s="219"/>
      <c r="GP28" s="219"/>
      <c r="GQ28" s="219"/>
      <c r="GR28" s="219"/>
      <c r="GS28" s="219"/>
      <c r="GT28" s="219"/>
      <c r="GU28" s="219"/>
      <c r="GV28" s="219"/>
      <c r="GW28" s="219"/>
      <c r="GX28" s="219"/>
      <c r="GY28" s="219"/>
      <c r="GZ28" s="219"/>
      <c r="HA28" s="219"/>
      <c r="HB28" s="219"/>
      <c r="HC28" s="219"/>
      <c r="HD28" s="219"/>
      <c r="HE28" s="219"/>
      <c r="HF28" s="222"/>
      <c r="HG28" s="220"/>
      <c r="HH28" s="219"/>
      <c r="HI28" s="219"/>
      <c r="HJ28" s="219"/>
      <c r="HK28" s="219"/>
      <c r="HL28" s="219"/>
      <c r="HM28" s="219"/>
      <c r="HN28" s="219"/>
      <c r="HO28" s="219"/>
      <c r="HP28" s="219"/>
      <c r="HQ28" s="219"/>
      <c r="HR28" s="219"/>
      <c r="HS28" s="219"/>
      <c r="HT28" s="219"/>
      <c r="HU28" s="219"/>
      <c r="HV28" s="219"/>
      <c r="HW28" s="219"/>
      <c r="HX28" s="219"/>
      <c r="HY28" s="219"/>
      <c r="HZ28" s="219"/>
      <c r="IA28" s="219"/>
      <c r="IB28" s="219"/>
      <c r="IC28" s="219"/>
      <c r="ID28" s="223"/>
      <c r="IE28" s="29"/>
      <c r="IF28" s="29"/>
      <c r="IG28" s="29"/>
      <c r="IH28" s="29"/>
      <c r="II28" s="29"/>
      <c r="IJ28" s="29"/>
      <c r="IK28" s="29"/>
      <c r="IL28" s="29"/>
      <c r="IM28" s="29"/>
      <c r="IN28" s="29"/>
      <c r="IO28" s="29"/>
      <c r="IP28" s="29"/>
      <c r="IQ28" s="29"/>
      <c r="IR28" s="29"/>
      <c r="IS28" s="29"/>
      <c r="IT28" s="29"/>
      <c r="IU28" s="29"/>
      <c r="IV28" s="29"/>
      <c r="IW28" s="29"/>
      <c r="IX28" s="29"/>
      <c r="IY28" s="29"/>
      <c r="IZ28" s="29"/>
      <c r="JA28" s="29"/>
      <c r="JB28" s="29"/>
      <c r="JC28" s="29"/>
      <c r="JD28" s="29"/>
      <c r="JE28" s="29"/>
      <c r="JF28" s="29"/>
      <c r="JG28" s="29"/>
      <c r="JH28" s="29"/>
      <c r="JI28" s="29"/>
      <c r="JJ28" s="29"/>
      <c r="JK28" s="29"/>
      <c r="JL28" s="29"/>
      <c r="JM28" s="29"/>
      <c r="JN28" s="29"/>
      <c r="JO28" s="29"/>
      <c r="JP28" s="29"/>
      <c r="JQ28" s="29"/>
      <c r="JR28" s="29"/>
      <c r="JS28" s="29"/>
      <c r="JT28" s="29"/>
      <c r="JU28" s="29"/>
      <c r="JV28" s="29"/>
      <c r="JW28" s="29"/>
      <c r="JX28" s="29"/>
      <c r="JY28" s="29"/>
      <c r="JZ28" s="29"/>
      <c r="KA28" s="29"/>
      <c r="KB28" s="29"/>
      <c r="KC28" s="29"/>
      <c r="KD28" s="29"/>
      <c r="KE28" s="29"/>
      <c r="KF28" s="29"/>
      <c r="KG28" s="29"/>
      <c r="KH28" s="29"/>
      <c r="KI28" s="29"/>
      <c r="KJ28" s="29"/>
      <c r="KK28" s="29"/>
      <c r="KL28" s="29"/>
      <c r="KM28" s="29"/>
      <c r="KN28" s="29"/>
      <c r="KO28" s="29"/>
      <c r="KP28" s="29"/>
      <c r="KQ28" s="29"/>
      <c r="KR28" s="29"/>
      <c r="KS28" s="29"/>
      <c r="KT28" s="29"/>
      <c r="KU28" s="29"/>
      <c r="KV28" s="29"/>
      <c r="KW28" s="29"/>
      <c r="KX28" s="29"/>
      <c r="KY28" s="29"/>
      <c r="KZ28" s="29"/>
      <c r="LA28" s="29"/>
      <c r="LB28" s="29"/>
      <c r="LC28" s="29"/>
      <c r="LD28" s="29"/>
      <c r="LE28" s="29"/>
      <c r="LF28" s="29"/>
      <c r="LG28" s="29"/>
      <c r="LH28" s="29"/>
      <c r="LI28" s="29"/>
      <c r="LJ28" s="29"/>
      <c r="LK28" s="29"/>
    </row>
    <row r="29" spans="1:323" s="70" customFormat="1">
      <c r="A29" s="195">
        <f t="shared" si="5"/>
        <v>25</v>
      </c>
      <c r="B29" s="196"/>
      <c r="C29" s="49"/>
      <c r="D29" s="50"/>
      <c r="E29" s="50"/>
      <c r="F29" s="51"/>
      <c r="G29" s="197"/>
      <c r="H29" s="53" t="str">
        <f t="shared" si="0"/>
        <v/>
      </c>
      <c r="I29" s="53"/>
      <c r="J29" s="53"/>
      <c r="K29" s="53"/>
      <c r="L29" s="53"/>
      <c r="M29" s="340" t="str">
        <f t="shared" si="2"/>
        <v/>
      </c>
      <c r="N29" s="278"/>
      <c r="O29" s="278"/>
      <c r="P29" s="278"/>
      <c r="Q29" s="278"/>
      <c r="R29" s="72"/>
      <c r="S29" s="170"/>
      <c r="T29" s="279"/>
      <c r="U29" s="198"/>
      <c r="V29" s="163"/>
      <c r="W29" s="199"/>
      <c r="X29" s="56"/>
      <c r="Y29" s="57"/>
      <c r="Z29" s="57"/>
      <c r="AA29" s="200"/>
      <c r="AB29" s="58"/>
      <c r="AC29" s="59"/>
      <c r="AD29" s="58"/>
      <c r="AE29" s="59"/>
      <c r="AF29" s="58"/>
      <c r="AG29" s="59"/>
      <c r="AH29" s="58"/>
      <c r="AI29" s="265"/>
      <c r="AJ29" s="168"/>
      <c r="AK29" s="59"/>
      <c r="AL29" s="73"/>
      <c r="AM29" s="59"/>
      <c r="AN29" s="73"/>
      <c r="AO29" s="59"/>
      <c r="AP29" s="73"/>
      <c r="AQ29" s="59"/>
      <c r="AR29" s="73"/>
      <c r="AS29" s="59"/>
      <c r="AT29" s="73"/>
      <c r="AU29" s="59"/>
      <c r="AV29" s="73"/>
      <c r="AW29" s="59"/>
      <c r="AX29" s="141"/>
      <c r="AY29" s="201"/>
      <c r="AZ29" s="141"/>
      <c r="BA29" s="73"/>
      <c r="BB29" s="73"/>
      <c r="BC29" s="73"/>
      <c r="BD29" s="73"/>
      <c r="BE29" s="73"/>
      <c r="BF29" s="73"/>
      <c r="BG29" s="73"/>
      <c r="BH29" s="73"/>
      <c r="BI29" s="73"/>
      <c r="BJ29" s="73"/>
      <c r="BK29" s="73"/>
      <c r="BL29" s="73"/>
      <c r="BM29" s="73"/>
      <c r="BN29" s="73"/>
      <c r="BO29" s="73"/>
      <c r="BP29" s="73"/>
      <c r="BQ29" s="73"/>
      <c r="BR29" s="73"/>
      <c r="BS29" s="73"/>
      <c r="BT29" s="73"/>
      <c r="BU29" s="141"/>
      <c r="BV29" s="141"/>
      <c r="BW29" s="202"/>
      <c r="BX29" s="73"/>
      <c r="BY29" s="73"/>
      <c r="BZ29" s="73"/>
      <c r="CA29" s="73"/>
      <c r="CB29" s="73"/>
      <c r="CC29" s="73"/>
      <c r="CD29" s="73"/>
      <c r="CE29" s="73"/>
      <c r="CF29" s="73"/>
      <c r="CG29" s="73"/>
      <c r="CH29" s="73"/>
      <c r="CI29" s="73"/>
      <c r="CJ29" s="73"/>
      <c r="CK29" s="73"/>
      <c r="CL29" s="73"/>
      <c r="CM29" s="73"/>
      <c r="CN29" s="73"/>
      <c r="CO29" s="73"/>
      <c r="CP29" s="73"/>
      <c r="CQ29" s="73"/>
      <c r="CR29" s="73"/>
      <c r="CS29" s="141"/>
      <c r="CT29" s="203"/>
      <c r="CU29" s="74"/>
      <c r="CV29" s="75"/>
      <c r="CW29" s="164"/>
      <c r="CX29" s="166"/>
      <c r="CY29" s="425"/>
      <c r="CZ29" s="60"/>
      <c r="DA29" s="205"/>
      <c r="DB29" s="61"/>
      <c r="DC29" s="254"/>
      <c r="DD29" s="60"/>
      <c r="DE29" s="254"/>
      <c r="DF29" s="75"/>
      <c r="DG29" s="254"/>
      <c r="DH29" s="77"/>
      <c r="DI29" s="266"/>
      <c r="DJ29" s="427">
        <f t="shared" si="3"/>
        <v>10000</v>
      </c>
      <c r="DK29" s="139"/>
      <c r="DL29" s="76"/>
      <c r="DM29" s="209"/>
      <c r="DN29" s="63"/>
      <c r="DO29" s="63"/>
      <c r="DP29" s="63"/>
      <c r="DQ29" s="63"/>
      <c r="DR29" s="63"/>
      <c r="DS29" s="63"/>
      <c r="DT29" s="63"/>
      <c r="DU29" s="64"/>
      <c r="DV29" s="76"/>
      <c r="DW29" s="76"/>
      <c r="DX29" s="209"/>
      <c r="DY29" s="63"/>
      <c r="DZ29" s="63"/>
      <c r="EA29" s="63"/>
      <c r="EB29" s="63"/>
      <c r="EC29" s="63"/>
      <c r="ED29" s="63"/>
      <c r="EE29" s="63"/>
      <c r="EF29" s="64"/>
      <c r="EG29" s="76"/>
      <c r="EH29" s="76"/>
      <c r="EI29" s="210"/>
      <c r="EJ29" s="167"/>
      <c r="EK29" s="67"/>
      <c r="EL29" s="67"/>
      <c r="EM29" s="79"/>
      <c r="EN29" s="78"/>
      <c r="EO29" s="78"/>
      <c r="EP29" s="78"/>
      <c r="EQ29" s="78"/>
      <c r="ER29" s="78"/>
      <c r="ES29" s="78"/>
      <c r="ET29" s="78"/>
      <c r="EU29" s="78"/>
      <c r="EV29" s="80"/>
      <c r="EW29" s="81"/>
      <c r="EX29" s="78"/>
      <c r="EY29" s="78"/>
      <c r="EZ29" s="78"/>
      <c r="FA29" s="79"/>
      <c r="FB29" s="78"/>
      <c r="FC29" s="78"/>
      <c r="FD29" s="80"/>
      <c r="FE29" s="211"/>
      <c r="FF29" s="69"/>
      <c r="FG29" s="213"/>
      <c r="FH29" s="214"/>
      <c r="FI29" s="215"/>
      <c r="FJ29" s="212"/>
      <c r="FK29" s="211"/>
      <c r="FL29" s="217"/>
      <c r="FM29" s="83"/>
      <c r="FN29" s="219"/>
      <c r="FO29" s="83"/>
      <c r="FP29" s="219"/>
      <c r="FQ29" s="218"/>
      <c r="FR29" s="219"/>
      <c r="FS29" s="218"/>
      <c r="FT29" s="219"/>
      <c r="FU29" s="218"/>
      <c r="FV29" s="219"/>
      <c r="FW29" s="218"/>
      <c r="FX29" s="219"/>
      <c r="FY29" s="218"/>
      <c r="FZ29" s="219"/>
      <c r="GA29" s="218"/>
      <c r="GB29" s="219"/>
      <c r="GC29" s="218"/>
      <c r="GD29" s="219"/>
      <c r="GE29" s="218"/>
      <c r="GF29" s="219"/>
      <c r="GG29" s="218"/>
      <c r="GH29" s="220"/>
      <c r="GI29" s="221"/>
      <c r="GJ29" s="219"/>
      <c r="GK29" s="219"/>
      <c r="GL29" s="219"/>
      <c r="GM29" s="219"/>
      <c r="GN29" s="219"/>
      <c r="GO29" s="219"/>
      <c r="GP29" s="219"/>
      <c r="GQ29" s="219"/>
      <c r="GR29" s="219"/>
      <c r="GS29" s="219"/>
      <c r="GT29" s="219"/>
      <c r="GU29" s="219"/>
      <c r="GV29" s="219"/>
      <c r="GW29" s="219"/>
      <c r="GX29" s="219"/>
      <c r="GY29" s="219"/>
      <c r="GZ29" s="219"/>
      <c r="HA29" s="219"/>
      <c r="HB29" s="219"/>
      <c r="HC29" s="219"/>
      <c r="HD29" s="219"/>
      <c r="HE29" s="219"/>
      <c r="HF29" s="222"/>
      <c r="HG29" s="220"/>
      <c r="HH29" s="219"/>
      <c r="HI29" s="219"/>
      <c r="HJ29" s="219"/>
      <c r="HK29" s="219"/>
      <c r="HL29" s="219"/>
      <c r="HM29" s="219"/>
      <c r="HN29" s="219"/>
      <c r="HO29" s="219"/>
      <c r="HP29" s="219"/>
      <c r="HQ29" s="219"/>
      <c r="HR29" s="219"/>
      <c r="HS29" s="219"/>
      <c r="HT29" s="219"/>
      <c r="HU29" s="219"/>
      <c r="HV29" s="219"/>
      <c r="HW29" s="219"/>
      <c r="HX29" s="219"/>
      <c r="HY29" s="219"/>
      <c r="HZ29" s="219"/>
      <c r="IA29" s="219"/>
      <c r="IB29" s="219"/>
      <c r="IC29" s="219"/>
      <c r="ID29" s="223"/>
      <c r="IE29" s="29"/>
      <c r="IF29" s="29"/>
      <c r="IG29" s="29"/>
      <c r="IH29" s="29"/>
      <c r="II29" s="29"/>
      <c r="IJ29" s="29"/>
      <c r="IK29" s="29"/>
      <c r="IL29" s="29"/>
      <c r="IM29" s="29"/>
      <c r="IN29" s="29"/>
      <c r="IO29" s="29"/>
      <c r="IP29" s="29"/>
      <c r="IQ29" s="29"/>
      <c r="IR29" s="29"/>
      <c r="IS29" s="29"/>
      <c r="IT29" s="29"/>
      <c r="IU29" s="29"/>
      <c r="IV29" s="29"/>
      <c r="IW29" s="29"/>
      <c r="IX29" s="29"/>
      <c r="IY29" s="29"/>
      <c r="IZ29" s="29"/>
      <c r="JA29" s="29"/>
      <c r="JB29" s="29"/>
      <c r="JC29" s="29"/>
      <c r="JD29" s="29"/>
      <c r="JE29" s="29"/>
      <c r="JF29" s="29"/>
      <c r="JG29" s="29"/>
      <c r="JH29" s="29"/>
      <c r="JI29" s="29"/>
      <c r="JJ29" s="29"/>
      <c r="JK29" s="29"/>
      <c r="JL29" s="29"/>
      <c r="JM29" s="29"/>
      <c r="JN29" s="29"/>
      <c r="JO29" s="29"/>
      <c r="JP29" s="29"/>
      <c r="JQ29" s="29"/>
      <c r="JR29" s="29"/>
      <c r="JS29" s="29"/>
      <c r="JT29" s="29"/>
      <c r="JU29" s="29"/>
      <c r="JV29" s="29"/>
      <c r="JW29" s="29"/>
      <c r="JX29" s="29"/>
      <c r="JY29" s="29"/>
      <c r="JZ29" s="29"/>
      <c r="KA29" s="29"/>
      <c r="KB29" s="29"/>
      <c r="KC29" s="29"/>
      <c r="KD29" s="29"/>
      <c r="KE29" s="29"/>
      <c r="KF29" s="29"/>
      <c r="KG29" s="29"/>
      <c r="KH29" s="29"/>
      <c r="KI29" s="29"/>
      <c r="KJ29" s="29"/>
      <c r="KK29" s="29"/>
      <c r="KL29" s="29"/>
      <c r="KM29" s="29"/>
      <c r="KN29" s="29"/>
      <c r="KO29" s="29"/>
      <c r="KP29" s="29"/>
      <c r="KQ29" s="29"/>
      <c r="KR29" s="29"/>
      <c r="KS29" s="29"/>
      <c r="KT29" s="29"/>
      <c r="KU29" s="29"/>
      <c r="KV29" s="29"/>
      <c r="KW29" s="29"/>
      <c r="KX29" s="29"/>
      <c r="KY29" s="29"/>
      <c r="KZ29" s="29"/>
      <c r="LA29" s="29"/>
      <c r="LB29" s="29"/>
      <c r="LC29" s="29"/>
      <c r="LD29" s="29"/>
      <c r="LE29" s="29"/>
      <c r="LF29" s="29"/>
      <c r="LG29" s="29"/>
      <c r="LH29" s="29"/>
      <c r="LI29" s="29"/>
      <c r="LJ29" s="29"/>
      <c r="LK29" s="29"/>
    </row>
    <row r="30" spans="1:323" s="70" customFormat="1">
      <c r="A30" s="234"/>
      <c r="B30" s="226"/>
      <c r="C30" s="227"/>
      <c r="D30" s="90" t="s">
        <v>79</v>
      </c>
      <c r="E30" s="90"/>
      <c r="F30" s="91"/>
      <c r="G30" s="226"/>
      <c r="H30" s="227"/>
      <c r="I30" s="227"/>
      <c r="J30" s="227"/>
      <c r="K30" s="227"/>
      <c r="L30" s="227"/>
      <c r="M30" s="235"/>
      <c r="N30" s="236"/>
      <c r="O30" s="236"/>
      <c r="P30" s="236"/>
      <c r="Q30" s="236"/>
      <c r="R30" s="237"/>
      <c r="S30" s="238">
        <f>SUM(S5:S29)</f>
        <v>40000</v>
      </c>
      <c r="T30" s="93"/>
      <c r="U30" s="146">
        <f t="shared" ref="U30" si="6">SUM(U5:U29)</f>
        <v>8000</v>
      </c>
      <c r="V30" s="98"/>
      <c r="W30" s="239"/>
      <c r="X30" s="93"/>
      <c r="Y30" s="94"/>
      <c r="Z30" s="94"/>
      <c r="AA30" s="145">
        <f t="shared" ref="AA30" si="7">SUM(AA5:AA29)</f>
        <v>6000</v>
      </c>
      <c r="AB30" s="95"/>
      <c r="AC30" s="99">
        <f t="shared" ref="AC30" si="8">SUM(AC5:AC29)</f>
        <v>6000</v>
      </c>
      <c r="AD30" s="95"/>
      <c r="AE30" s="99">
        <f t="shared" ref="AE30" si="9">SUM(AE5:AE29)</f>
        <v>6000</v>
      </c>
      <c r="AF30" s="95"/>
      <c r="AG30" s="99">
        <f t="shared" ref="AG30" si="10">SUM(AG5:AG29)</f>
        <v>6000</v>
      </c>
      <c r="AH30" s="95"/>
      <c r="AI30" s="99">
        <f t="shared" ref="AI30" si="11">SUM(AI5:AI29)</f>
        <v>6000</v>
      </c>
      <c r="AJ30" s="95"/>
      <c r="AK30" s="99">
        <f t="shared" ref="AK30" si="12">SUM(AK5:AK29)</f>
        <v>6000</v>
      </c>
      <c r="AL30" s="95"/>
      <c r="AM30" s="99">
        <f t="shared" ref="AM30" si="13">SUM(AM5:AM29)</f>
        <v>6000</v>
      </c>
      <c r="AN30" s="95"/>
      <c r="AO30" s="99">
        <f t="shared" ref="AO30" si="14">SUM(AO5:AO29)</f>
        <v>6000</v>
      </c>
      <c r="AP30" s="95"/>
      <c r="AQ30" s="99">
        <f t="shared" ref="AQ30" si="15">SUM(AQ5:AQ29)</f>
        <v>3000</v>
      </c>
      <c r="AR30" s="95"/>
      <c r="AS30" s="99">
        <f t="shared" ref="AS30" si="16">SUM(AS5:AS29)</f>
        <v>0</v>
      </c>
      <c r="AT30" s="95"/>
      <c r="AU30" s="99">
        <f t="shared" ref="AU30" si="17">SUM(AU5:AU29)</f>
        <v>0</v>
      </c>
      <c r="AV30" s="95"/>
      <c r="AW30" s="99">
        <f t="shared" ref="AW30" si="18">SUM(AW5:AW29)</f>
        <v>0</v>
      </c>
      <c r="AX30" s="94"/>
      <c r="AY30" s="239"/>
      <c r="AZ30" s="94"/>
      <c r="BA30" s="95"/>
      <c r="BB30" s="95"/>
      <c r="BC30" s="95"/>
      <c r="BD30" s="95"/>
      <c r="BE30" s="95"/>
      <c r="BF30" s="95"/>
      <c r="BG30" s="95"/>
      <c r="BH30" s="95"/>
      <c r="BI30" s="95"/>
      <c r="BJ30" s="95"/>
      <c r="BK30" s="95"/>
      <c r="BL30" s="95"/>
      <c r="BM30" s="95"/>
      <c r="BN30" s="95"/>
      <c r="BO30" s="95"/>
      <c r="BP30" s="95"/>
      <c r="BQ30" s="95"/>
      <c r="BR30" s="95"/>
      <c r="BS30" s="95"/>
      <c r="BT30" s="95"/>
      <c r="BU30" s="94"/>
      <c r="BV30" s="94"/>
      <c r="BW30" s="240"/>
      <c r="BX30" s="95"/>
      <c r="BY30" s="95"/>
      <c r="BZ30" s="95"/>
      <c r="CA30" s="95"/>
      <c r="CB30" s="95"/>
      <c r="CC30" s="95"/>
      <c r="CD30" s="95"/>
      <c r="CE30" s="95"/>
      <c r="CF30" s="95"/>
      <c r="CG30" s="95"/>
      <c r="CH30" s="95"/>
      <c r="CI30" s="95"/>
      <c r="CJ30" s="95"/>
      <c r="CK30" s="95"/>
      <c r="CL30" s="95"/>
      <c r="CM30" s="95"/>
      <c r="CN30" s="95"/>
      <c r="CO30" s="95"/>
      <c r="CP30" s="95"/>
      <c r="CQ30" s="95"/>
      <c r="CR30" s="95"/>
      <c r="CS30" s="94"/>
      <c r="CT30" s="241"/>
      <c r="CU30" s="89"/>
      <c r="CV30" s="227"/>
      <c r="CW30" s="267"/>
      <c r="CX30" s="242"/>
      <c r="CY30" s="234"/>
      <c r="CZ30" s="234"/>
      <c r="DA30" s="243"/>
      <c r="DB30" s="226">
        <f>SUM(DB5:DB29)</f>
        <v>850</v>
      </c>
      <c r="DC30" s="236"/>
      <c r="DD30" s="234">
        <f t="shared" ref="DD30" si="19">SUM(DD5:DD29)</f>
        <v>9150</v>
      </c>
      <c r="DE30" s="236"/>
      <c r="DF30" s="227">
        <f t="shared" ref="DF30" si="20">SUM(DF5:DF29)</f>
        <v>0</v>
      </c>
      <c r="DG30" s="236"/>
      <c r="DH30" s="227">
        <f t="shared" ref="DH30" si="21">SUM(DH5:DH29)</f>
        <v>0</v>
      </c>
      <c r="DI30" s="253"/>
      <c r="DJ30" s="268"/>
      <c r="DK30" s="145">
        <f>SUM(DK5:DK29)</f>
        <v>1919</v>
      </c>
      <c r="DL30" s="94"/>
      <c r="DM30" s="240"/>
      <c r="DN30" s="95"/>
      <c r="DO30" s="95"/>
      <c r="DP30" s="95"/>
      <c r="DQ30" s="95"/>
      <c r="DR30" s="95"/>
      <c r="DS30" s="95"/>
      <c r="DT30" s="95"/>
      <c r="DU30" s="96"/>
      <c r="DV30" s="94"/>
      <c r="DW30" s="94"/>
      <c r="DX30" s="240"/>
      <c r="DY30" s="95"/>
      <c r="DZ30" s="95"/>
      <c r="EA30" s="95"/>
      <c r="EB30" s="95"/>
      <c r="EC30" s="95"/>
      <c r="ED30" s="95"/>
      <c r="EE30" s="95"/>
      <c r="EF30" s="96"/>
      <c r="EG30" s="94"/>
      <c r="EH30" s="94"/>
      <c r="EI30" s="244"/>
      <c r="EJ30" s="234"/>
      <c r="EK30" s="227"/>
      <c r="EL30" s="227"/>
      <c r="EM30" s="245"/>
      <c r="EN30" s="246"/>
      <c r="EO30" s="246"/>
      <c r="EP30" s="246"/>
      <c r="EQ30" s="246"/>
      <c r="ER30" s="246"/>
      <c r="ES30" s="246"/>
      <c r="ET30" s="246"/>
      <c r="EU30" s="246"/>
      <c r="EV30" s="247"/>
      <c r="EW30" s="248"/>
      <c r="EX30" s="246"/>
      <c r="EY30" s="246"/>
      <c r="EZ30" s="246"/>
      <c r="FA30" s="245"/>
      <c r="FB30" s="246"/>
      <c r="FC30" s="246"/>
      <c r="FD30" s="247"/>
      <c r="FE30" s="269">
        <f>SUM(FE5:FE29)</f>
        <v>0</v>
      </c>
      <c r="FF30" s="96"/>
      <c r="FG30" s="94"/>
      <c r="FH30" s="98"/>
      <c r="FI30" s="240"/>
      <c r="FJ30" s="93"/>
      <c r="FK30" s="269">
        <f t="shared" ref="FK30" si="22">SUM(FK5:FK29)</f>
        <v>0</v>
      </c>
      <c r="FL30" s="98"/>
      <c r="FM30" s="270">
        <f t="shared" ref="FM30" si="23">SUM(FM5:FM29)</f>
        <v>0</v>
      </c>
      <c r="FN30" s="95"/>
      <c r="FO30" s="270">
        <f t="shared" ref="FO30" si="24">SUM(FO5:FO29)</f>
        <v>0</v>
      </c>
      <c r="FP30" s="95"/>
      <c r="FQ30" s="270">
        <f t="shared" ref="FQ30" si="25">SUM(FQ5:FQ29)</f>
        <v>0</v>
      </c>
      <c r="FR30" s="95"/>
      <c r="FS30" s="270">
        <f t="shared" ref="FS30" si="26">SUM(FS5:FS29)</f>
        <v>0</v>
      </c>
      <c r="FT30" s="95"/>
      <c r="FU30" s="270">
        <f t="shared" ref="FU30" si="27">SUM(FU5:FU29)</f>
        <v>0</v>
      </c>
      <c r="FV30" s="95"/>
      <c r="FW30" s="270">
        <f t="shared" ref="FW30" si="28">SUM(FW5:FW29)</f>
        <v>0</v>
      </c>
      <c r="FX30" s="95"/>
      <c r="FY30" s="270">
        <f t="shared" ref="FY30" si="29">SUM(FY5:FY29)</f>
        <v>0</v>
      </c>
      <c r="FZ30" s="95"/>
      <c r="GA30" s="270">
        <f t="shared" ref="GA30" si="30">SUM(GA5:GA29)</f>
        <v>0</v>
      </c>
      <c r="GB30" s="95"/>
      <c r="GC30" s="270">
        <f t="shared" ref="GC30" si="31">SUM(GC5:GC29)</f>
        <v>0</v>
      </c>
      <c r="GD30" s="95"/>
      <c r="GE30" s="270">
        <f t="shared" ref="GE30" si="32">SUM(GE5:GE29)</f>
        <v>0</v>
      </c>
      <c r="GF30" s="95"/>
      <c r="GG30" s="270">
        <f t="shared" ref="GG30" si="33">SUM(GG5:GG29)</f>
        <v>0</v>
      </c>
      <c r="GH30" s="94"/>
      <c r="GI30" s="240"/>
      <c r="GJ30" s="95"/>
      <c r="GK30" s="95"/>
      <c r="GL30" s="95"/>
      <c r="GM30" s="95"/>
      <c r="GN30" s="95"/>
      <c r="GO30" s="95"/>
      <c r="GP30" s="95"/>
      <c r="GQ30" s="95"/>
      <c r="GR30" s="95"/>
      <c r="GS30" s="95"/>
      <c r="GT30" s="95"/>
      <c r="GU30" s="95"/>
      <c r="GV30" s="95"/>
      <c r="GW30" s="95"/>
      <c r="GX30" s="95"/>
      <c r="GY30" s="95"/>
      <c r="GZ30" s="95"/>
      <c r="HA30" s="95"/>
      <c r="HB30" s="95"/>
      <c r="HC30" s="95"/>
      <c r="HD30" s="95"/>
      <c r="HE30" s="95"/>
      <c r="HF30" s="96"/>
      <c r="HG30" s="94"/>
      <c r="HH30" s="95"/>
      <c r="HI30" s="95"/>
      <c r="HJ30" s="95"/>
      <c r="HK30" s="95"/>
      <c r="HL30" s="95"/>
      <c r="HM30" s="95"/>
      <c r="HN30" s="95"/>
      <c r="HO30" s="95"/>
      <c r="HP30" s="95"/>
      <c r="HQ30" s="95"/>
      <c r="HR30" s="95"/>
      <c r="HS30" s="95"/>
      <c r="HT30" s="95"/>
      <c r="HU30" s="95"/>
      <c r="HV30" s="95"/>
      <c r="HW30" s="95"/>
      <c r="HX30" s="95"/>
      <c r="HY30" s="95"/>
      <c r="HZ30" s="95"/>
      <c r="IA30" s="95"/>
      <c r="IB30" s="95"/>
      <c r="IC30" s="95"/>
      <c r="ID30" s="97"/>
      <c r="IE30" s="29"/>
      <c r="IF30" s="29"/>
      <c r="IG30" s="29"/>
      <c r="IH30" s="29"/>
      <c r="II30" s="29"/>
      <c r="IJ30" s="29"/>
      <c r="IK30" s="29"/>
      <c r="IL30" s="29"/>
      <c r="IM30" s="29"/>
      <c r="IN30" s="29"/>
      <c r="IO30" s="29"/>
      <c r="IP30" s="29"/>
      <c r="IQ30" s="29"/>
      <c r="IR30" s="29"/>
      <c r="IS30" s="29"/>
      <c r="IT30" s="29"/>
      <c r="IU30" s="29"/>
      <c r="IV30" s="29"/>
      <c r="IW30" s="29"/>
      <c r="IX30" s="29"/>
      <c r="IY30" s="29"/>
      <c r="IZ30" s="29"/>
      <c r="JA30" s="29"/>
      <c r="JB30" s="29"/>
      <c r="JC30" s="29"/>
      <c r="JD30" s="29"/>
      <c r="JE30" s="29"/>
      <c r="JF30" s="29"/>
      <c r="JG30" s="29"/>
      <c r="JH30" s="29"/>
      <c r="JI30" s="29"/>
      <c r="JJ30" s="29"/>
      <c r="JK30" s="29"/>
      <c r="JL30" s="29"/>
      <c r="JM30" s="29"/>
      <c r="JN30" s="29"/>
      <c r="JO30" s="29"/>
      <c r="JP30" s="29"/>
      <c r="JQ30" s="29"/>
      <c r="JR30" s="29"/>
      <c r="JS30" s="29"/>
      <c r="JT30" s="29"/>
      <c r="JU30" s="29"/>
      <c r="JV30" s="29"/>
      <c r="JW30" s="29"/>
      <c r="JX30" s="29"/>
      <c r="JY30" s="29"/>
      <c r="JZ30" s="29"/>
      <c r="KA30" s="29"/>
      <c r="KB30" s="29"/>
      <c r="KC30" s="29"/>
      <c r="KD30" s="29"/>
      <c r="KE30" s="29"/>
      <c r="KF30" s="29"/>
      <c r="KG30" s="29"/>
      <c r="KH30" s="29"/>
      <c r="KI30" s="29"/>
      <c r="KJ30" s="29"/>
      <c r="KK30" s="29"/>
      <c r="KL30" s="29"/>
      <c r="KM30" s="29"/>
      <c r="KN30" s="29"/>
      <c r="KO30" s="29"/>
      <c r="KP30" s="29"/>
      <c r="KQ30" s="29"/>
      <c r="KR30" s="29"/>
      <c r="KS30" s="29"/>
      <c r="KT30" s="29"/>
      <c r="KU30" s="29"/>
      <c r="KV30" s="29"/>
      <c r="KW30" s="29"/>
      <c r="KX30" s="29"/>
      <c r="KY30" s="29"/>
      <c r="KZ30" s="29"/>
      <c r="LA30" s="29"/>
      <c r="LB30" s="29"/>
      <c r="LC30" s="29"/>
      <c r="LD30" s="29"/>
      <c r="LE30" s="29"/>
      <c r="LF30" s="29"/>
      <c r="LG30" s="29"/>
      <c r="LH30" s="29"/>
      <c r="LI30" s="29"/>
      <c r="LJ30" s="29"/>
      <c r="LK30" s="29"/>
    </row>
    <row r="31" spans="1:323" s="70" customFormat="1">
      <c r="A31" s="234"/>
      <c r="B31" s="226"/>
      <c r="C31" s="227"/>
      <c r="D31" s="90" t="s">
        <v>77</v>
      </c>
      <c r="E31" s="90"/>
      <c r="F31" s="91"/>
      <c r="G31" s="89"/>
      <c r="H31" s="88"/>
      <c r="I31" s="88"/>
      <c r="J31" s="88"/>
      <c r="K31" s="88"/>
      <c r="L31" s="88"/>
      <c r="M31" s="92"/>
      <c r="N31" s="273"/>
      <c r="O31" s="236"/>
      <c r="P31" s="253"/>
      <c r="Q31" s="253"/>
      <c r="R31" s="146"/>
      <c r="S31" s="238"/>
      <c r="T31" s="93"/>
      <c r="U31" s="146"/>
      <c r="V31" s="98"/>
      <c r="W31" s="239"/>
      <c r="X31" s="93"/>
      <c r="Y31" s="94"/>
      <c r="Z31" s="94"/>
      <c r="AA31" s="145">
        <f>SUM(AA30:AX30)</f>
        <v>51000</v>
      </c>
      <c r="AB31" s="95"/>
      <c r="AC31" s="99"/>
      <c r="AD31" s="95"/>
      <c r="AE31" s="99"/>
      <c r="AF31" s="95"/>
      <c r="AG31" s="99"/>
      <c r="AH31" s="95"/>
      <c r="AI31" s="271"/>
      <c r="AJ31" s="272"/>
      <c r="AK31" s="99"/>
      <c r="AL31" s="100"/>
      <c r="AM31" s="99"/>
      <c r="AN31" s="100"/>
      <c r="AO31" s="99"/>
      <c r="AP31" s="100"/>
      <c r="AQ31" s="99"/>
      <c r="AR31" s="100"/>
      <c r="AS31" s="99"/>
      <c r="AT31" s="100"/>
      <c r="AU31" s="99"/>
      <c r="AV31" s="100"/>
      <c r="AW31" s="99"/>
      <c r="AX31" s="101"/>
      <c r="AY31" s="249"/>
      <c r="AZ31" s="101"/>
      <c r="BA31" s="100"/>
      <c r="BB31" s="100"/>
      <c r="BC31" s="100"/>
      <c r="BD31" s="100"/>
      <c r="BE31" s="100"/>
      <c r="BF31" s="100"/>
      <c r="BG31" s="100"/>
      <c r="BH31" s="100"/>
      <c r="BI31" s="100"/>
      <c r="BJ31" s="100"/>
      <c r="BK31" s="100"/>
      <c r="BL31" s="100"/>
      <c r="BM31" s="100"/>
      <c r="BN31" s="100"/>
      <c r="BO31" s="100"/>
      <c r="BP31" s="100"/>
      <c r="BQ31" s="100"/>
      <c r="BR31" s="100"/>
      <c r="BS31" s="100"/>
      <c r="BT31" s="100"/>
      <c r="BU31" s="101"/>
      <c r="BV31" s="101"/>
      <c r="BW31" s="250"/>
      <c r="BX31" s="100"/>
      <c r="BY31" s="100"/>
      <c r="BZ31" s="100"/>
      <c r="CA31" s="100"/>
      <c r="CB31" s="100"/>
      <c r="CC31" s="100"/>
      <c r="CD31" s="100"/>
      <c r="CE31" s="100"/>
      <c r="CF31" s="100"/>
      <c r="CG31" s="100"/>
      <c r="CH31" s="100"/>
      <c r="CI31" s="100"/>
      <c r="CJ31" s="100"/>
      <c r="CK31" s="100"/>
      <c r="CL31" s="100"/>
      <c r="CM31" s="100"/>
      <c r="CN31" s="100"/>
      <c r="CO31" s="100"/>
      <c r="CP31" s="100"/>
      <c r="CQ31" s="100"/>
      <c r="CR31" s="100"/>
      <c r="CS31" s="101"/>
      <c r="CT31" s="251"/>
      <c r="CU31" s="89"/>
      <c r="CV31" s="227"/>
      <c r="CW31" s="267"/>
      <c r="CX31" s="242"/>
      <c r="CY31" s="234"/>
      <c r="CZ31" s="234"/>
      <c r="DA31" s="243"/>
      <c r="DB31" s="226">
        <f>SUM(DB30:DH30)</f>
        <v>10000</v>
      </c>
      <c r="DC31" s="236"/>
      <c r="DD31" s="234"/>
      <c r="DE31" s="236"/>
      <c r="DF31" s="227"/>
      <c r="DG31" s="236"/>
      <c r="DH31" s="99"/>
      <c r="DI31" s="147"/>
      <c r="DJ31" s="268"/>
      <c r="DK31" s="145"/>
      <c r="DL31" s="94"/>
      <c r="DM31" s="240"/>
      <c r="DN31" s="95"/>
      <c r="DO31" s="95"/>
      <c r="DP31" s="95"/>
      <c r="DQ31" s="95"/>
      <c r="DR31" s="95"/>
      <c r="DS31" s="95"/>
      <c r="DT31" s="95"/>
      <c r="DU31" s="96"/>
      <c r="DV31" s="94"/>
      <c r="DW31" s="94"/>
      <c r="DX31" s="240"/>
      <c r="DY31" s="95"/>
      <c r="DZ31" s="95"/>
      <c r="EA31" s="95"/>
      <c r="EB31" s="95"/>
      <c r="EC31" s="95"/>
      <c r="ED31" s="95"/>
      <c r="EE31" s="95"/>
      <c r="EF31" s="96"/>
      <c r="EG31" s="94"/>
      <c r="EH31" s="94"/>
      <c r="EI31" s="244"/>
      <c r="EJ31" s="234"/>
      <c r="EK31" s="227"/>
      <c r="EL31" s="227"/>
      <c r="EM31" s="245"/>
      <c r="EN31" s="246"/>
      <c r="EO31" s="246"/>
      <c r="EP31" s="246"/>
      <c r="EQ31" s="246"/>
      <c r="ER31" s="246"/>
      <c r="ES31" s="246"/>
      <c r="ET31" s="246"/>
      <c r="EU31" s="246"/>
      <c r="EV31" s="247"/>
      <c r="EW31" s="248"/>
      <c r="EX31" s="246"/>
      <c r="EY31" s="246"/>
      <c r="EZ31" s="246"/>
      <c r="FA31" s="245"/>
      <c r="FB31" s="246"/>
      <c r="FC31" s="246"/>
      <c r="FD31" s="247"/>
      <c r="FE31" s="269">
        <f>SUM(FE30,U30)</f>
        <v>8000</v>
      </c>
      <c r="FF31" s="96"/>
      <c r="FG31" s="94"/>
      <c r="FH31" s="98"/>
      <c r="FI31" s="240"/>
      <c r="FJ31" s="93"/>
      <c r="FK31" s="269">
        <f>SUM(FK30:GH30)</f>
        <v>0</v>
      </c>
      <c r="FL31" s="252"/>
      <c r="FM31" s="99"/>
      <c r="FN31" s="236"/>
      <c r="FO31" s="99"/>
      <c r="FP31" s="236"/>
      <c r="FQ31" s="90"/>
      <c r="FR31" s="236"/>
      <c r="FS31" s="90"/>
      <c r="FT31" s="236"/>
      <c r="FU31" s="90"/>
      <c r="FV31" s="236"/>
      <c r="FW31" s="90"/>
      <c r="FX31" s="236"/>
      <c r="FY31" s="90"/>
      <c r="FZ31" s="236"/>
      <c r="GA31" s="90"/>
      <c r="GB31" s="236"/>
      <c r="GC31" s="90"/>
      <c r="GD31" s="236"/>
      <c r="GE31" s="90"/>
      <c r="GF31" s="236"/>
      <c r="GG31" s="90"/>
      <c r="GH31" s="253"/>
      <c r="GI31" s="256"/>
      <c r="GJ31" s="236"/>
      <c r="GK31" s="236"/>
      <c r="GL31" s="236"/>
      <c r="GM31" s="236"/>
      <c r="GN31" s="236"/>
      <c r="GO31" s="236"/>
      <c r="GP31" s="236"/>
      <c r="GQ31" s="236"/>
      <c r="GR31" s="236"/>
      <c r="GS31" s="236"/>
      <c r="GT31" s="236"/>
      <c r="GU31" s="236"/>
      <c r="GV31" s="236"/>
      <c r="GW31" s="236"/>
      <c r="GX31" s="236"/>
      <c r="GY31" s="236"/>
      <c r="GZ31" s="236"/>
      <c r="HA31" s="236"/>
      <c r="HB31" s="236"/>
      <c r="HC31" s="236"/>
      <c r="HD31" s="236"/>
      <c r="HE31" s="236"/>
      <c r="HF31" s="257"/>
      <c r="HG31" s="253"/>
      <c r="HH31" s="236"/>
      <c r="HI31" s="236"/>
      <c r="HJ31" s="236"/>
      <c r="HK31" s="236"/>
      <c r="HL31" s="236"/>
      <c r="HM31" s="236"/>
      <c r="HN31" s="236"/>
      <c r="HO31" s="236"/>
      <c r="HP31" s="236"/>
      <c r="HQ31" s="236"/>
      <c r="HR31" s="236"/>
      <c r="HS31" s="236"/>
      <c r="HT31" s="236"/>
      <c r="HU31" s="236"/>
      <c r="HV31" s="236"/>
      <c r="HW31" s="236"/>
      <c r="HX31" s="236"/>
      <c r="HY31" s="236"/>
      <c r="HZ31" s="236"/>
      <c r="IA31" s="236"/>
      <c r="IB31" s="236"/>
      <c r="IC31" s="236"/>
      <c r="ID31" s="258"/>
      <c r="IE31" s="29"/>
      <c r="IF31" s="29"/>
      <c r="IG31" s="29"/>
      <c r="IH31" s="29"/>
      <c r="II31" s="29"/>
      <c r="IJ31" s="29"/>
      <c r="IK31" s="29"/>
      <c r="IL31" s="29"/>
      <c r="IM31" s="29"/>
      <c r="IN31" s="29"/>
      <c r="IO31" s="29"/>
      <c r="IP31" s="29"/>
      <c r="IQ31" s="29"/>
      <c r="IR31" s="29"/>
      <c r="IS31" s="29"/>
      <c r="IT31" s="29"/>
      <c r="IU31" s="29"/>
      <c r="IV31" s="29"/>
      <c r="IW31" s="29"/>
      <c r="IX31" s="29"/>
      <c r="IY31" s="29"/>
      <c r="IZ31" s="29"/>
      <c r="JA31" s="29"/>
      <c r="JB31" s="29"/>
      <c r="JC31" s="29"/>
      <c r="JD31" s="29"/>
      <c r="JE31" s="29"/>
      <c r="JF31" s="29"/>
      <c r="JG31" s="29"/>
      <c r="JH31" s="29"/>
      <c r="JI31" s="29"/>
      <c r="JJ31" s="29"/>
      <c r="JK31" s="29"/>
      <c r="JL31" s="29"/>
      <c r="JM31" s="29"/>
      <c r="JN31" s="29"/>
      <c r="JO31" s="29"/>
      <c r="JP31" s="29"/>
      <c r="JQ31" s="29"/>
      <c r="JR31" s="29"/>
      <c r="JS31" s="29"/>
      <c r="JT31" s="29"/>
      <c r="JU31" s="29"/>
      <c r="JV31" s="29"/>
      <c r="JW31" s="29"/>
      <c r="JX31" s="29"/>
      <c r="JY31" s="29"/>
      <c r="JZ31" s="29"/>
      <c r="KA31" s="29"/>
      <c r="KB31" s="29"/>
      <c r="KC31" s="29"/>
      <c r="KD31" s="29"/>
      <c r="KE31" s="29"/>
      <c r="KF31" s="29"/>
      <c r="KG31" s="29"/>
      <c r="KH31" s="29"/>
      <c r="KI31" s="29"/>
      <c r="KJ31" s="29"/>
      <c r="KK31" s="29"/>
      <c r="KL31" s="29"/>
      <c r="KM31" s="29"/>
      <c r="KN31" s="29"/>
      <c r="KO31" s="29"/>
      <c r="KP31" s="29"/>
      <c r="KQ31" s="29"/>
      <c r="KR31" s="29"/>
      <c r="KS31" s="29"/>
      <c r="KT31" s="29"/>
      <c r="KU31" s="29"/>
      <c r="KV31" s="29"/>
      <c r="KW31" s="29"/>
      <c r="KX31" s="29"/>
      <c r="KY31" s="29"/>
      <c r="KZ31" s="29"/>
      <c r="LA31" s="29"/>
      <c r="LB31" s="29"/>
      <c r="LC31" s="29"/>
      <c r="LD31" s="29"/>
      <c r="LE31" s="29"/>
      <c r="LF31" s="29"/>
      <c r="LG31" s="29"/>
      <c r="LH31" s="29"/>
      <c r="LI31" s="29"/>
      <c r="LJ31" s="29"/>
      <c r="LK31" s="29"/>
    </row>
    <row r="32" spans="1:323" s="260" customFormat="1">
      <c r="A32" s="341"/>
      <c r="B32" s="342"/>
      <c r="C32" s="343"/>
      <c r="D32" s="344" t="s">
        <v>125</v>
      </c>
      <c r="E32" s="344"/>
      <c r="F32" s="345"/>
      <c r="G32" s="346"/>
      <c r="H32" s="347"/>
      <c r="I32" s="347"/>
      <c r="J32" s="347"/>
      <c r="K32" s="347"/>
      <c r="L32" s="347"/>
      <c r="M32" s="348"/>
      <c r="N32" s="259"/>
      <c r="O32" s="259"/>
      <c r="P32" s="349"/>
      <c r="Q32" s="349"/>
      <c r="R32" s="350"/>
      <c r="S32" s="351">
        <f>SUM(S5)</f>
        <v>21000</v>
      </c>
      <c r="T32" s="352"/>
      <c r="U32" s="353"/>
      <c r="V32" s="354"/>
      <c r="W32" s="355"/>
      <c r="X32" s="352"/>
      <c r="Y32" s="356"/>
      <c r="Z32" s="356"/>
      <c r="AA32" s="357">
        <f>SUM(AA5)</f>
        <v>3000</v>
      </c>
      <c r="AB32" s="358"/>
      <c r="AC32" s="359"/>
      <c r="AD32" s="358"/>
      <c r="AE32" s="360"/>
      <c r="AF32" s="358"/>
      <c r="AG32" s="360"/>
      <c r="AH32" s="358"/>
      <c r="AI32" s="360"/>
      <c r="AJ32" s="361"/>
      <c r="AK32" s="360"/>
      <c r="AL32" s="361"/>
      <c r="AM32" s="360"/>
      <c r="AN32" s="361"/>
      <c r="AO32" s="360"/>
      <c r="AP32" s="361"/>
      <c r="AQ32" s="360"/>
      <c r="AR32" s="361"/>
      <c r="AS32" s="360"/>
      <c r="AT32" s="361"/>
      <c r="AU32" s="360"/>
      <c r="AV32" s="361"/>
      <c r="AW32" s="360"/>
      <c r="AX32" s="362"/>
      <c r="AY32" s="363"/>
      <c r="AZ32" s="362"/>
      <c r="BA32" s="361"/>
      <c r="BB32" s="361"/>
      <c r="BC32" s="361"/>
      <c r="BD32" s="361"/>
      <c r="BE32" s="361"/>
      <c r="BF32" s="361"/>
      <c r="BG32" s="361"/>
      <c r="BH32" s="361"/>
      <c r="BI32" s="361"/>
      <c r="BJ32" s="361"/>
      <c r="BK32" s="361"/>
      <c r="BL32" s="361"/>
      <c r="BM32" s="361"/>
      <c r="BN32" s="361"/>
      <c r="BO32" s="361"/>
      <c r="BP32" s="361"/>
      <c r="BQ32" s="361"/>
      <c r="BR32" s="361"/>
      <c r="BS32" s="361"/>
      <c r="BT32" s="361"/>
      <c r="BU32" s="362"/>
      <c r="BV32" s="362"/>
      <c r="BW32" s="364"/>
      <c r="BX32" s="361"/>
      <c r="BY32" s="361"/>
      <c r="BZ32" s="361"/>
      <c r="CA32" s="361"/>
      <c r="CB32" s="361"/>
      <c r="CC32" s="361"/>
      <c r="CD32" s="361"/>
      <c r="CE32" s="361"/>
      <c r="CF32" s="361"/>
      <c r="CG32" s="361"/>
      <c r="CH32" s="361"/>
      <c r="CI32" s="361"/>
      <c r="CJ32" s="361"/>
      <c r="CK32" s="361"/>
      <c r="CL32" s="361"/>
      <c r="CM32" s="361"/>
      <c r="CN32" s="361"/>
      <c r="CO32" s="361"/>
      <c r="CP32" s="361"/>
      <c r="CQ32" s="361"/>
      <c r="CR32" s="361"/>
      <c r="CS32" s="362"/>
      <c r="CT32" s="365"/>
      <c r="CU32" s="366"/>
      <c r="CV32" s="343"/>
      <c r="CW32" s="367"/>
      <c r="CX32" s="368"/>
      <c r="CY32" s="369"/>
      <c r="CZ32" s="341"/>
      <c r="DA32" s="370"/>
      <c r="DB32" s="371"/>
      <c r="DC32" s="372"/>
      <c r="DD32" s="373"/>
      <c r="DE32" s="372"/>
      <c r="DF32" s="344"/>
      <c r="DG32" s="372"/>
      <c r="DH32" s="360"/>
      <c r="DI32" s="374"/>
      <c r="DJ32" s="375"/>
      <c r="DK32" s="357"/>
      <c r="DL32" s="356"/>
      <c r="DM32" s="376"/>
      <c r="DN32" s="358"/>
      <c r="DO32" s="358"/>
      <c r="DP32" s="358"/>
      <c r="DQ32" s="358"/>
      <c r="DR32" s="358"/>
      <c r="DS32" s="358"/>
      <c r="DT32" s="358"/>
      <c r="DU32" s="377"/>
      <c r="DV32" s="356"/>
      <c r="DW32" s="356"/>
      <c r="DX32" s="376"/>
      <c r="DY32" s="358"/>
      <c r="DZ32" s="358"/>
      <c r="EA32" s="358"/>
      <c r="EB32" s="358"/>
      <c r="EC32" s="358"/>
      <c r="ED32" s="358"/>
      <c r="EE32" s="358"/>
      <c r="EF32" s="377"/>
      <c r="EG32" s="356"/>
      <c r="EH32" s="356"/>
      <c r="EI32" s="378"/>
      <c r="EJ32" s="341"/>
      <c r="EK32" s="343"/>
      <c r="EL32" s="343"/>
      <c r="EM32" s="379"/>
      <c r="EN32" s="380"/>
      <c r="EO32" s="380"/>
      <c r="EP32" s="380"/>
      <c r="EQ32" s="380"/>
      <c r="ER32" s="380"/>
      <c r="ES32" s="380"/>
      <c r="ET32" s="380"/>
      <c r="EU32" s="380"/>
      <c r="EV32" s="381"/>
      <c r="EW32" s="382"/>
      <c r="EX32" s="380"/>
      <c r="EY32" s="380"/>
      <c r="EZ32" s="380"/>
      <c r="FA32" s="379"/>
      <c r="FB32" s="380"/>
      <c r="FC32" s="380"/>
      <c r="FD32" s="381"/>
      <c r="FE32" s="383">
        <f>SUM(FE5)</f>
        <v>0</v>
      </c>
      <c r="FF32" s="377"/>
      <c r="FG32" s="356"/>
      <c r="FH32" s="354"/>
      <c r="FI32" s="376"/>
      <c r="FJ32" s="352"/>
      <c r="FK32" s="384"/>
      <c r="FL32" s="349"/>
      <c r="FM32" s="360"/>
      <c r="FN32" s="259"/>
      <c r="FO32" s="360"/>
      <c r="FP32" s="259"/>
      <c r="FQ32" s="344"/>
      <c r="FR32" s="259"/>
      <c r="FS32" s="344"/>
      <c r="FT32" s="259"/>
      <c r="FU32" s="344"/>
      <c r="FV32" s="259"/>
      <c r="FW32" s="344"/>
      <c r="FX32" s="259"/>
      <c r="FY32" s="344"/>
      <c r="FZ32" s="259"/>
      <c r="GA32" s="344"/>
      <c r="GB32" s="259"/>
      <c r="GC32" s="344"/>
      <c r="GD32" s="259"/>
      <c r="GE32" s="344"/>
      <c r="GF32" s="259"/>
      <c r="GG32" s="344"/>
      <c r="GH32" s="261"/>
      <c r="GI32" s="262"/>
      <c r="GJ32" s="259"/>
      <c r="GK32" s="259"/>
      <c r="GL32" s="259"/>
      <c r="GM32" s="259"/>
      <c r="GN32" s="259"/>
      <c r="GO32" s="259"/>
      <c r="GP32" s="259"/>
      <c r="GQ32" s="259"/>
      <c r="GR32" s="259"/>
      <c r="GS32" s="259"/>
      <c r="GT32" s="259"/>
      <c r="GU32" s="259"/>
      <c r="GV32" s="259"/>
      <c r="GW32" s="259"/>
      <c r="GX32" s="259"/>
      <c r="GY32" s="259"/>
      <c r="GZ32" s="259"/>
      <c r="HA32" s="259"/>
      <c r="HB32" s="259"/>
      <c r="HC32" s="259"/>
      <c r="HD32" s="259"/>
      <c r="HE32" s="259"/>
      <c r="HF32" s="263"/>
      <c r="HG32" s="261"/>
      <c r="HH32" s="259"/>
      <c r="HI32" s="259"/>
      <c r="HJ32" s="259"/>
      <c r="HK32" s="259"/>
      <c r="HL32" s="259"/>
      <c r="HM32" s="259"/>
      <c r="HN32" s="259"/>
      <c r="HO32" s="259"/>
      <c r="HP32" s="259"/>
      <c r="HQ32" s="259"/>
      <c r="HR32" s="259"/>
      <c r="HS32" s="259"/>
      <c r="HT32" s="259"/>
      <c r="HU32" s="259"/>
      <c r="HV32" s="259"/>
      <c r="HW32" s="259"/>
      <c r="HX32" s="259"/>
      <c r="HY32" s="259"/>
      <c r="HZ32" s="259"/>
      <c r="IA32" s="259"/>
      <c r="IB32" s="259"/>
      <c r="IC32" s="259"/>
      <c r="ID32" s="264"/>
      <c r="IE32" s="29"/>
      <c r="IF32" s="29"/>
      <c r="IG32" s="29"/>
      <c r="IH32" s="29"/>
      <c r="II32" s="29"/>
      <c r="IJ32" s="29"/>
      <c r="IK32" s="29"/>
      <c r="IL32" s="29"/>
      <c r="IM32" s="29"/>
      <c r="IN32" s="29"/>
      <c r="IO32" s="29"/>
      <c r="IP32" s="29"/>
      <c r="IQ32" s="29"/>
      <c r="IR32" s="29"/>
      <c r="IS32" s="29"/>
      <c r="IT32" s="29"/>
      <c r="IU32" s="29"/>
      <c r="IV32" s="29"/>
      <c r="IW32" s="29"/>
      <c r="IX32" s="29"/>
      <c r="IY32" s="29"/>
      <c r="IZ32" s="29"/>
      <c r="JA32" s="29"/>
      <c r="JB32" s="29"/>
      <c r="JC32" s="29"/>
      <c r="JD32" s="29"/>
      <c r="JE32" s="29"/>
      <c r="JF32" s="29"/>
      <c r="JG32" s="29"/>
      <c r="JH32" s="29"/>
      <c r="JI32" s="29"/>
      <c r="JJ32" s="29"/>
      <c r="JK32" s="29"/>
      <c r="JL32" s="29"/>
      <c r="JM32" s="29"/>
      <c r="JN32" s="29"/>
      <c r="JO32" s="29"/>
      <c r="JP32" s="29"/>
      <c r="JQ32" s="29"/>
      <c r="JR32" s="29"/>
      <c r="JS32" s="29"/>
      <c r="JT32" s="29"/>
      <c r="JU32" s="29"/>
      <c r="JV32" s="29"/>
      <c r="JW32" s="29"/>
      <c r="JX32" s="29"/>
      <c r="JY32" s="29"/>
      <c r="JZ32" s="29"/>
      <c r="KA32" s="29"/>
      <c r="KB32" s="29"/>
      <c r="KC32" s="29"/>
      <c r="KD32" s="29"/>
      <c r="KE32" s="29"/>
      <c r="KF32" s="29"/>
      <c r="KG32" s="29"/>
      <c r="KH32" s="29"/>
      <c r="KI32" s="29"/>
      <c r="KJ32" s="29"/>
      <c r="KK32" s="29"/>
      <c r="KL32" s="29"/>
      <c r="KM32" s="29"/>
      <c r="KN32" s="29"/>
      <c r="KO32" s="29"/>
      <c r="KP32" s="29"/>
      <c r="KQ32" s="29"/>
      <c r="KR32" s="29"/>
      <c r="KS32" s="29"/>
      <c r="KT32" s="29"/>
      <c r="KU32" s="29"/>
      <c r="KV32" s="29"/>
      <c r="KW32" s="29"/>
      <c r="KX32" s="29"/>
      <c r="KY32" s="29"/>
      <c r="KZ32" s="29"/>
      <c r="LA32" s="29"/>
      <c r="LB32" s="29"/>
      <c r="LC32" s="29"/>
      <c r="LD32" s="29"/>
      <c r="LE32" s="29"/>
      <c r="LF32" s="29"/>
      <c r="LG32" s="29"/>
      <c r="LH32" s="29"/>
      <c r="LI32" s="29"/>
      <c r="LJ32" s="29"/>
      <c r="LK32" s="29"/>
    </row>
    <row r="33" spans="1:323" s="260" customFormat="1">
      <c r="A33" s="385"/>
      <c r="B33" s="342"/>
      <c r="C33" s="343"/>
      <c r="D33" s="344" t="s">
        <v>130</v>
      </c>
      <c r="E33" s="344"/>
      <c r="F33" s="345"/>
      <c r="G33" s="385"/>
      <c r="H33" s="386"/>
      <c r="I33" s="387"/>
      <c r="J33" s="386"/>
      <c r="K33" s="386"/>
      <c r="L33" s="386"/>
      <c r="M33" s="386"/>
      <c r="N33" s="388"/>
      <c r="O33" s="388"/>
      <c r="P33" s="389"/>
      <c r="Q33" s="389"/>
      <c r="R33" s="390"/>
      <c r="S33" s="391"/>
      <c r="T33" s="392"/>
      <c r="U33" s="393"/>
      <c r="V33" s="394"/>
      <c r="W33" s="395"/>
      <c r="X33" s="396"/>
      <c r="Y33" s="393"/>
      <c r="Z33" s="393"/>
      <c r="AA33" s="397"/>
      <c r="AB33" s="398"/>
      <c r="AC33" s="399"/>
      <c r="AD33" s="399"/>
      <c r="AE33" s="399"/>
      <c r="AF33" s="399"/>
      <c r="AG33" s="399"/>
      <c r="AH33" s="399"/>
      <c r="AI33" s="399"/>
      <c r="AJ33" s="399"/>
      <c r="AK33" s="399"/>
      <c r="AL33" s="399"/>
      <c r="AM33" s="399"/>
      <c r="AN33" s="399"/>
      <c r="AO33" s="400"/>
      <c r="AP33" s="400"/>
      <c r="AQ33" s="400"/>
      <c r="AR33" s="400"/>
      <c r="AS33" s="400"/>
      <c r="AT33" s="400"/>
      <c r="AU33" s="400"/>
      <c r="AV33" s="400"/>
      <c r="AW33" s="400"/>
      <c r="AX33" s="401"/>
      <c r="AY33" s="402"/>
      <c r="AZ33" s="401"/>
      <c r="BA33" s="400"/>
      <c r="BB33" s="400"/>
      <c r="BC33" s="400"/>
      <c r="BD33" s="400"/>
      <c r="BE33" s="400"/>
      <c r="BF33" s="400"/>
      <c r="BG33" s="400"/>
      <c r="BH33" s="400"/>
      <c r="BI33" s="400"/>
      <c r="BJ33" s="400"/>
      <c r="BK33" s="400"/>
      <c r="BL33" s="400"/>
      <c r="BM33" s="400"/>
      <c r="BN33" s="400"/>
      <c r="BO33" s="400"/>
      <c r="BP33" s="400"/>
      <c r="BQ33" s="400"/>
      <c r="BR33" s="400"/>
      <c r="BS33" s="400"/>
      <c r="BT33" s="400"/>
      <c r="BU33" s="401"/>
      <c r="BV33" s="401"/>
      <c r="BW33" s="403"/>
      <c r="BX33" s="400"/>
      <c r="BY33" s="400"/>
      <c r="BZ33" s="400"/>
      <c r="CA33" s="400"/>
      <c r="CB33" s="400"/>
      <c r="CC33" s="400"/>
      <c r="CD33" s="400"/>
      <c r="CE33" s="400"/>
      <c r="CF33" s="400"/>
      <c r="CG33" s="400"/>
      <c r="CH33" s="400"/>
      <c r="CI33" s="400"/>
      <c r="CJ33" s="400"/>
      <c r="CK33" s="400"/>
      <c r="CL33" s="400"/>
      <c r="CM33" s="400"/>
      <c r="CN33" s="400"/>
      <c r="CO33" s="400"/>
      <c r="CP33" s="400"/>
      <c r="CQ33" s="400"/>
      <c r="CR33" s="400"/>
      <c r="CS33" s="401"/>
      <c r="CT33" s="404"/>
      <c r="CU33" s="385"/>
      <c r="CV33" s="405"/>
      <c r="CW33" s="386"/>
      <c r="CX33" s="406"/>
      <c r="CY33" s="407"/>
      <c r="CZ33" s="408"/>
      <c r="DA33" s="409"/>
      <c r="DB33" s="403"/>
      <c r="DC33" s="405"/>
      <c r="DD33" s="405"/>
      <c r="DE33" s="405"/>
      <c r="DF33" s="405"/>
      <c r="DG33" s="405"/>
      <c r="DH33" s="399"/>
      <c r="DI33" s="399"/>
      <c r="DJ33" s="393"/>
      <c r="DK33" s="397"/>
      <c r="DL33" s="410"/>
      <c r="DM33" s="411"/>
      <c r="DN33" s="398"/>
      <c r="DO33" s="398"/>
      <c r="DP33" s="398"/>
      <c r="DQ33" s="398"/>
      <c r="DR33" s="398"/>
      <c r="DS33" s="398"/>
      <c r="DT33" s="398"/>
      <c r="DU33" s="412"/>
      <c r="DV33" s="410"/>
      <c r="DW33" s="410"/>
      <c r="DX33" s="411"/>
      <c r="DY33" s="398"/>
      <c r="DZ33" s="398"/>
      <c r="EA33" s="398"/>
      <c r="EB33" s="398"/>
      <c r="EC33" s="398"/>
      <c r="ED33" s="398"/>
      <c r="EE33" s="398"/>
      <c r="EF33" s="412"/>
      <c r="EG33" s="410"/>
      <c r="EH33" s="410"/>
      <c r="EI33" s="413"/>
      <c r="EJ33" s="408"/>
      <c r="EK33" s="408"/>
      <c r="EL33" s="388"/>
      <c r="EM33" s="414"/>
      <c r="EN33" s="388"/>
      <c r="EO33" s="388"/>
      <c r="EP33" s="388"/>
      <c r="EQ33" s="388"/>
      <c r="ER33" s="388"/>
      <c r="ES33" s="388"/>
      <c r="ET33" s="388"/>
      <c r="EU33" s="388"/>
      <c r="EV33" s="415"/>
      <c r="EW33" s="416"/>
      <c r="EX33" s="388"/>
      <c r="EY33" s="388"/>
      <c r="EZ33" s="388"/>
      <c r="FA33" s="389"/>
      <c r="FB33" s="388"/>
      <c r="FC33" s="388"/>
      <c r="FD33" s="415"/>
      <c r="FE33" s="393" t="e">
        <f>FE32+'代租 '!#REF!</f>
        <v>#REF!</v>
      </c>
      <c r="FF33" s="417"/>
      <c r="FG33" s="418"/>
      <c r="FH33" s="419"/>
      <c r="FI33" s="420"/>
      <c r="FJ33" s="421"/>
      <c r="FK33" s="422">
        <f>FK32+'代租 '!FC18</f>
        <v>0</v>
      </c>
      <c r="FL33" s="393"/>
      <c r="FM33" s="399"/>
      <c r="FN33" s="399"/>
      <c r="FO33" s="399"/>
      <c r="FP33" s="399"/>
      <c r="FQ33" s="399"/>
      <c r="FR33" s="399"/>
      <c r="FS33" s="399"/>
      <c r="FT33" s="399"/>
      <c r="FU33" s="399"/>
      <c r="FV33" s="399"/>
      <c r="FW33" s="399"/>
      <c r="FX33" s="399"/>
      <c r="FY33" s="399"/>
      <c r="FZ33" s="399"/>
      <c r="GA33" s="399"/>
      <c r="GB33" s="399"/>
      <c r="GC33" s="399"/>
      <c r="GD33" s="399"/>
      <c r="GE33" s="399"/>
      <c r="GF33" s="399"/>
      <c r="GG33" s="399"/>
      <c r="GH33" s="393"/>
      <c r="GI33" s="262"/>
      <c r="GJ33" s="259"/>
      <c r="GK33" s="259"/>
      <c r="GL33" s="259"/>
      <c r="GM33" s="259"/>
      <c r="GN33" s="259"/>
      <c r="GO33" s="259"/>
      <c r="GP33" s="259"/>
      <c r="GQ33" s="259"/>
      <c r="GR33" s="259"/>
      <c r="GS33" s="259"/>
      <c r="GT33" s="259"/>
      <c r="GU33" s="259"/>
      <c r="GV33" s="259"/>
      <c r="GW33" s="259"/>
      <c r="GX33" s="259"/>
      <c r="GY33" s="259"/>
      <c r="GZ33" s="259"/>
      <c r="HA33" s="259"/>
      <c r="HB33" s="259"/>
      <c r="HC33" s="259"/>
      <c r="HD33" s="259"/>
      <c r="HE33" s="259"/>
      <c r="HF33" s="263"/>
      <c r="HG33" s="261"/>
      <c r="HH33" s="259"/>
      <c r="HI33" s="259"/>
      <c r="HJ33" s="259"/>
      <c r="HK33" s="259"/>
      <c r="HL33" s="259"/>
      <c r="HM33" s="259"/>
      <c r="HN33" s="259"/>
      <c r="HO33" s="259"/>
      <c r="HP33" s="259"/>
      <c r="HQ33" s="259"/>
      <c r="HR33" s="259"/>
      <c r="HS33" s="259"/>
      <c r="HT33" s="259"/>
      <c r="HU33" s="259"/>
      <c r="HV33" s="259"/>
      <c r="HW33" s="259"/>
      <c r="HX33" s="259"/>
      <c r="HY33" s="259"/>
      <c r="HZ33" s="259"/>
      <c r="IA33" s="259"/>
      <c r="IB33" s="259"/>
      <c r="IC33" s="259"/>
      <c r="ID33" s="264"/>
      <c r="IE33" s="29"/>
      <c r="IF33" s="29"/>
      <c r="IG33" s="29"/>
      <c r="IH33" s="29"/>
      <c r="II33" s="29"/>
      <c r="IJ33" s="29"/>
      <c r="IK33" s="29"/>
      <c r="IL33" s="29"/>
      <c r="IM33" s="29"/>
      <c r="IN33" s="29"/>
      <c r="IO33" s="29"/>
      <c r="IP33" s="29"/>
      <c r="IQ33" s="29"/>
      <c r="IR33" s="29"/>
      <c r="IS33" s="29"/>
      <c r="IT33" s="29"/>
      <c r="IU33" s="29"/>
      <c r="IV33" s="29"/>
      <c r="IW33" s="29"/>
      <c r="IX33" s="29"/>
      <c r="IY33" s="29"/>
      <c r="IZ33" s="29"/>
      <c r="JA33" s="29"/>
      <c r="JB33" s="29"/>
      <c r="JC33" s="29"/>
      <c r="JD33" s="29"/>
      <c r="JE33" s="29"/>
      <c r="JF33" s="29"/>
      <c r="JG33" s="29"/>
      <c r="JH33" s="29"/>
      <c r="JI33" s="29"/>
      <c r="JJ33" s="29"/>
      <c r="JK33" s="29"/>
      <c r="JL33" s="29"/>
      <c r="JM33" s="29"/>
      <c r="JN33" s="29"/>
      <c r="JO33" s="29"/>
      <c r="JP33" s="29"/>
      <c r="JQ33" s="29"/>
      <c r="JR33" s="29"/>
      <c r="JS33" s="29"/>
      <c r="JT33" s="29"/>
      <c r="JU33" s="29"/>
      <c r="JV33" s="29"/>
      <c r="JW33" s="29"/>
      <c r="JX33" s="29"/>
      <c r="JY33" s="29"/>
      <c r="JZ33" s="29"/>
      <c r="KA33" s="29"/>
      <c r="KB33" s="29"/>
      <c r="KC33" s="29"/>
      <c r="KD33" s="29"/>
      <c r="KE33" s="29"/>
      <c r="KF33" s="29"/>
      <c r="KG33" s="29"/>
      <c r="KH33" s="29"/>
      <c r="KI33" s="29"/>
      <c r="KJ33" s="29"/>
      <c r="KK33" s="29"/>
      <c r="KL33" s="29"/>
      <c r="KM33" s="29"/>
      <c r="KN33" s="29"/>
      <c r="KO33" s="29"/>
      <c r="KP33" s="29"/>
      <c r="KQ33" s="29"/>
      <c r="KR33" s="29"/>
      <c r="KS33" s="29"/>
      <c r="KT33" s="29"/>
      <c r="KU33" s="29"/>
      <c r="KV33" s="29"/>
      <c r="KW33" s="29"/>
      <c r="KX33" s="29"/>
      <c r="KY33" s="29"/>
      <c r="KZ33" s="29"/>
      <c r="LA33" s="29"/>
      <c r="LB33" s="29"/>
      <c r="LC33" s="29"/>
      <c r="LD33" s="29"/>
      <c r="LE33" s="29"/>
      <c r="LF33" s="29"/>
      <c r="LG33" s="29"/>
      <c r="LH33" s="29"/>
      <c r="LI33" s="29"/>
      <c r="LJ33" s="29"/>
      <c r="LK33" s="29"/>
    </row>
  </sheetData>
  <mergeCells count="175">
    <mergeCell ref="C1:C4"/>
    <mergeCell ref="D1:F1"/>
    <mergeCell ref="E2:E4"/>
    <mergeCell ref="F2:F4"/>
    <mergeCell ref="CU1:EH1"/>
    <mergeCell ref="GE3:GF3"/>
    <mergeCell ref="GG3:GH3"/>
    <mergeCell ref="GA3:GB3"/>
    <mergeCell ref="GC3:GD3"/>
    <mergeCell ref="FA3:FA4"/>
    <mergeCell ref="EI1:ID1"/>
    <mergeCell ref="GI2:HF2"/>
    <mergeCell ref="GI3:GJ3"/>
    <mergeCell ref="GK3:GL3"/>
    <mergeCell ref="GM3:GN3"/>
    <mergeCell ref="GO3:GP3"/>
    <mergeCell ref="GQ3:GR3"/>
    <mergeCell ref="GS3:GT3"/>
    <mergeCell ref="GU3:GV3"/>
    <mergeCell ref="GW3:GX3"/>
    <mergeCell ref="GY3:GZ3"/>
    <mergeCell ref="HA3:HB3"/>
    <mergeCell ref="HC3:HD3"/>
    <mergeCell ref="HE3:HF3"/>
    <mergeCell ref="FG3:FG4"/>
    <mergeCell ref="FH3:FH4"/>
    <mergeCell ref="FI2:FJ2"/>
    <mergeCell ref="FI3:FI4"/>
    <mergeCell ref="FJ3:FJ4"/>
    <mergeCell ref="EK3:EK4"/>
    <mergeCell ref="EL3:EL4"/>
    <mergeCell ref="EM3:EM4"/>
    <mergeCell ref="HG2:ID2"/>
    <mergeCell ref="HG3:HH3"/>
    <mergeCell ref="HI3:HJ3"/>
    <mergeCell ref="HK3:HL3"/>
    <mergeCell ref="HM3:HN3"/>
    <mergeCell ref="HO3:HP3"/>
    <mergeCell ref="HQ3:HR3"/>
    <mergeCell ref="HS3:HT3"/>
    <mergeCell ref="HU3:HV3"/>
    <mergeCell ref="HW3:HX3"/>
    <mergeCell ref="HY3:HZ3"/>
    <mergeCell ref="IA3:IB3"/>
    <mergeCell ref="IC3:ID3"/>
    <mergeCell ref="FK2:GH2"/>
    <mergeCell ref="FS3:FT3"/>
    <mergeCell ref="FU3:FV3"/>
    <mergeCell ref="DX2:EE2"/>
    <mergeCell ref="EF2:EF4"/>
    <mergeCell ref="EG2:EH2"/>
    <mergeCell ref="DX3:DY3"/>
    <mergeCell ref="DZ3:EA3"/>
    <mergeCell ref="EB3:EC3"/>
    <mergeCell ref="ED3:EE3"/>
    <mergeCell ref="EG3:EG4"/>
    <mergeCell ref="EH3:EH4"/>
    <mergeCell ref="FW3:FX3"/>
    <mergeCell ref="EI3:EI4"/>
    <mergeCell ref="EJ3:EJ4"/>
    <mergeCell ref="EW2:FA2"/>
    <mergeCell ref="EW3:EW4"/>
    <mergeCell ref="EX3:EX4"/>
    <mergeCell ref="FY3:FZ3"/>
    <mergeCell ref="FE3:FE4"/>
    <mergeCell ref="FF3:FF4"/>
    <mergeCell ref="FK3:FL3"/>
    <mergeCell ref="FQ3:FR3"/>
    <mergeCell ref="FG2:FH2"/>
    <mergeCell ref="FM3:FN3"/>
    <mergeCell ref="FO3:FP3"/>
    <mergeCell ref="FE2:FF2"/>
    <mergeCell ref="EY3:EY4"/>
    <mergeCell ref="EZ3:EZ4"/>
    <mergeCell ref="EI2:EM2"/>
    <mergeCell ref="EN2:EV2"/>
    <mergeCell ref="EN3:EP3"/>
    <mergeCell ref="EQ3:ES3"/>
    <mergeCell ref="ET3:EV3"/>
    <mergeCell ref="FB2:FD2"/>
    <mergeCell ref="FB3:FD3"/>
    <mergeCell ref="DJ2:DJ4"/>
    <mergeCell ref="CC3:CD3"/>
    <mergeCell ref="CV3:CV4"/>
    <mergeCell ref="CW3:CW4"/>
    <mergeCell ref="CX3:CX4"/>
    <mergeCell ref="CY3:CY4"/>
    <mergeCell ref="DB3:DC3"/>
    <mergeCell ref="DL3:DL4"/>
    <mergeCell ref="DK3:DK4"/>
    <mergeCell ref="DK2:DL2"/>
    <mergeCell ref="CZ2:CZ4"/>
    <mergeCell ref="CQ3:CR3"/>
    <mergeCell ref="CS3:CT3"/>
    <mergeCell ref="DA2:DA4"/>
    <mergeCell ref="DD3:DE3"/>
    <mergeCell ref="DB2:DI2"/>
    <mergeCell ref="DH3:DI3"/>
    <mergeCell ref="CU2:CU4"/>
    <mergeCell ref="CV2:CY2"/>
    <mergeCell ref="DF3:DG3"/>
    <mergeCell ref="DM2:DT2"/>
    <mergeCell ref="DU2:DU4"/>
    <mergeCell ref="DV2:DW2"/>
    <mergeCell ref="DM3:DN3"/>
    <mergeCell ref="DO3:DP3"/>
    <mergeCell ref="DQ3:DR3"/>
    <mergeCell ref="DS3:DT3"/>
    <mergeCell ref="DV3:DV4"/>
    <mergeCell ref="DW3:DW4"/>
    <mergeCell ref="G2:G4"/>
    <mergeCell ref="H2:H4"/>
    <mergeCell ref="I2:I4"/>
    <mergeCell ref="J2:J4"/>
    <mergeCell ref="L2:L4"/>
    <mergeCell ref="AO3:AP3"/>
    <mergeCell ref="AQ3:AR3"/>
    <mergeCell ref="AS3:AT3"/>
    <mergeCell ref="AU3:AV3"/>
    <mergeCell ref="V3:V4"/>
    <mergeCell ref="AA3:AB3"/>
    <mergeCell ref="AC3:AD3"/>
    <mergeCell ref="K2:K4"/>
    <mergeCell ref="P2:P4"/>
    <mergeCell ref="Q2:Q4"/>
    <mergeCell ref="S2:T2"/>
    <mergeCell ref="U2:V2"/>
    <mergeCell ref="AE3:AF3"/>
    <mergeCell ref="S3:S4"/>
    <mergeCell ref="T3:T4"/>
    <mergeCell ref="U3:U4"/>
    <mergeCell ref="BG3:BH3"/>
    <mergeCell ref="BI3:BJ3"/>
    <mergeCell ref="CM3:CN3"/>
    <mergeCell ref="CO3:CP3"/>
    <mergeCell ref="AG3:AH3"/>
    <mergeCell ref="BW2:CT2"/>
    <mergeCell ref="BW3:BX3"/>
    <mergeCell ref="BY3:BZ3"/>
    <mergeCell ref="CA3:CB3"/>
    <mergeCell ref="BK3:BL3"/>
    <mergeCell ref="BM3:BN3"/>
    <mergeCell ref="BO3:BP3"/>
    <mergeCell ref="BQ3:BR3"/>
    <mergeCell ref="BS3:BT3"/>
    <mergeCell ref="BU3:BV3"/>
    <mergeCell ref="AY2:BV2"/>
    <mergeCell ref="AY3:AZ3"/>
    <mergeCell ref="BA3:BB3"/>
    <mergeCell ref="BC3:BD3"/>
    <mergeCell ref="BE3:BF3"/>
    <mergeCell ref="A1:A4"/>
    <mergeCell ref="B1:B4"/>
    <mergeCell ref="G1:R1"/>
    <mergeCell ref="W2:X2"/>
    <mergeCell ref="W3:W4"/>
    <mergeCell ref="X3:X4"/>
    <mergeCell ref="Y2:Z2"/>
    <mergeCell ref="Y3:Y4"/>
    <mergeCell ref="Z3:Z4"/>
    <mergeCell ref="D2:D4"/>
    <mergeCell ref="N2:N4"/>
    <mergeCell ref="O2:O4"/>
    <mergeCell ref="R2:R4"/>
    <mergeCell ref="M2:M4"/>
    <mergeCell ref="S1:CT1"/>
    <mergeCell ref="CE3:CF3"/>
    <mergeCell ref="CG3:CH3"/>
    <mergeCell ref="CI3:CJ3"/>
    <mergeCell ref="CK3:CL3"/>
    <mergeCell ref="AW3:AX3"/>
    <mergeCell ref="AI3:AJ3"/>
    <mergeCell ref="AK3:AL3"/>
    <mergeCell ref="AM3:AN3"/>
    <mergeCell ref="AA2:AX2"/>
  </mergeCells>
  <phoneticPr fontId="1" type="noConversion"/>
  <pageMargins left="0.7" right="0.7" top="0.75" bottom="0.75" header="0.3" footer="0.3"/>
  <pageSetup paperSize="9"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累積半月報</vt:lpstr>
      <vt:lpstr>半月報</vt:lpstr>
      <vt:lpstr>代租 </vt:lpstr>
      <vt:lpstr>包租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蔣明柔</dc:creator>
  <cp:lastModifiedBy>A14650</cp:lastModifiedBy>
  <cp:lastPrinted>2026-05-27T11:14:15Z</cp:lastPrinted>
  <dcterms:created xsi:type="dcterms:W3CDTF">2020-04-20T08:04:39Z</dcterms:created>
  <dcterms:modified xsi:type="dcterms:W3CDTF">2026-06-24T09:31:20Z</dcterms:modified>
</cp:coreProperties>
</file>