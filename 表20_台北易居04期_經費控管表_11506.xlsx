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易居月報\台北4期\台北易居4期_11506\"/>
    </mc:Choice>
  </mc:AlternateContent>
  <xr:revisionPtr revIDLastSave="0" documentId="13_ncr:1_{142AD563-2DBB-4031-84A3-E1886824BFEE}" xr6:coauthVersionLast="47" xr6:coauthVersionMax="47" xr10:uidLastSave="{00000000-0000-0000-0000-000000000000}"/>
  <bookViews>
    <workbookView xWindow="-108" yWindow="-108" windowWidth="23256" windowHeight="12456" tabRatio="841" firstSheet="2" activeTab="2" xr2:uid="{00000000-000D-0000-FFFF-FFFF00000000}"/>
  </bookViews>
  <sheets>
    <sheet name="累積半月報" sheetId="43" r:id="rId1"/>
    <sheet name="半月報" sheetId="45" state="hidden" r:id="rId2"/>
    <sheet name="代租 " sheetId="34" r:id="rId3"/>
    <sheet name="包租 " sheetId="35" r:id="rId4"/>
  </sheets>
  <definedNames>
    <definedName name="_xlnm._FilterDatabase" localSheetId="2" hidden="1">'代租 '!$O$1:$O$271</definedName>
    <definedName name="_xlnm._FilterDatabase" localSheetId="3" hidden="1">'包租 '!$A$4:$IW$4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H105" i="34" l="1"/>
  <c r="O105" i="34"/>
  <c r="H105" i="34"/>
  <c r="A105" i="34"/>
  <c r="DH104" i="34"/>
  <c r="O104" i="34"/>
  <c r="H104" i="34"/>
  <c r="A104" i="34"/>
  <c r="DH103" i="34"/>
  <c r="O103" i="34"/>
  <c r="H103" i="34"/>
  <c r="A103" i="34"/>
  <c r="DH102" i="34"/>
  <c r="O102" i="34"/>
  <c r="H102" i="34"/>
  <c r="A102" i="34"/>
  <c r="DH101" i="34"/>
  <c r="O101" i="34"/>
  <c r="H101" i="34"/>
  <c r="A101" i="34"/>
  <c r="Y56" i="34"/>
  <c r="AA55" i="34"/>
  <c r="AE54" i="34"/>
  <c r="AI53" i="34"/>
  <c r="AK52" i="34"/>
  <c r="AO77" i="34"/>
  <c r="AM80" i="34"/>
  <c r="AM79" i="34"/>
  <c r="AM78" i="34"/>
  <c r="AI83" i="34"/>
  <c r="AI82" i="34"/>
  <c r="AI81" i="34"/>
  <c r="AG86" i="34"/>
  <c r="AG85" i="34"/>
  <c r="AG84" i="34"/>
  <c r="AA87" i="34"/>
  <c r="Y88" i="34"/>
  <c r="AK89" i="34"/>
  <c r="AI91" i="34"/>
  <c r="AI90" i="34"/>
  <c r="AG92" i="34"/>
  <c r="AE95" i="34"/>
  <c r="AE94" i="34"/>
  <c r="AE93" i="34"/>
  <c r="AC96" i="34"/>
  <c r="AA97" i="34"/>
  <c r="W98" i="34"/>
  <c r="U99" i="34"/>
  <c r="U100" i="34"/>
  <c r="DH100" i="34"/>
  <c r="O100" i="34"/>
  <c r="H100" i="34"/>
  <c r="A100" i="34"/>
  <c r="DH99" i="34"/>
  <c r="O99" i="34"/>
  <c r="H99" i="34"/>
  <c r="A99" i="34"/>
  <c r="O98" i="34"/>
  <c r="DH98" i="34"/>
  <c r="H98" i="34"/>
  <c r="A98" i="34"/>
  <c r="Y96" i="34"/>
  <c r="W97" i="34"/>
  <c r="BO7" i="35"/>
  <c r="BI6" i="35"/>
  <c r="DH56" i="34"/>
  <c r="O56" i="34"/>
  <c r="H56" i="34"/>
  <c r="A56" i="34"/>
  <c r="DH88" i="34"/>
  <c r="O88" i="34"/>
  <c r="H88" i="34"/>
  <c r="A88" i="34"/>
  <c r="AO69" i="34"/>
  <c r="BM7" i="35"/>
  <c r="BG6" i="35"/>
  <c r="O55" i="34"/>
  <c r="DH55" i="34"/>
  <c r="A55" i="34"/>
  <c r="DH97" i="34"/>
  <c r="O97" i="34"/>
  <c r="H97" i="34"/>
  <c r="A97" i="34"/>
  <c r="DH87" i="34" l="1"/>
  <c r="O87" i="34"/>
  <c r="H87" i="34"/>
  <c r="A87" i="34"/>
  <c r="BI7" i="35"/>
  <c r="BC6" i="35"/>
  <c r="DH96" i="34" l="1"/>
  <c r="O96" i="34"/>
  <c r="H96" i="34"/>
  <c r="A96" i="34"/>
  <c r="U54" i="34"/>
  <c r="Y53" i="34"/>
  <c r="AA52" i="34"/>
  <c r="AM50" i="34"/>
  <c r="AO68" i="34"/>
  <c r="AK70" i="34"/>
  <c r="AK69" i="34"/>
  <c r="AI73" i="34"/>
  <c r="AI72" i="34"/>
  <c r="AI71" i="34"/>
  <c r="AG76" i="34"/>
  <c r="AG75" i="34"/>
  <c r="AG74" i="34"/>
  <c r="AE77" i="34"/>
  <c r="AC80" i="34"/>
  <c r="AC79" i="34"/>
  <c r="AC78" i="34"/>
  <c r="Y83" i="34"/>
  <c r="Y82" i="34"/>
  <c r="Y81" i="34"/>
  <c r="W86" i="34"/>
  <c r="W85" i="34"/>
  <c r="W84" i="34"/>
  <c r="AA89" i="34"/>
  <c r="Y91" i="34"/>
  <c r="Y90" i="34"/>
  <c r="W92" i="34"/>
  <c r="U94" i="34"/>
  <c r="U93" i="34"/>
  <c r="U95" i="34"/>
  <c r="DH54" i="34"/>
  <c r="O54" i="34"/>
  <c r="A54" i="34"/>
  <c r="DH95" i="34"/>
  <c r="O95" i="34"/>
  <c r="H95" i="34"/>
  <c r="A95" i="34"/>
  <c r="DH94" i="34"/>
  <c r="O94" i="34"/>
  <c r="H94" i="34"/>
  <c r="A94" i="34"/>
  <c r="DH93" i="34"/>
  <c r="O93" i="34"/>
  <c r="H93" i="34"/>
  <c r="A93" i="34"/>
  <c r="DH86" i="34"/>
  <c r="O86" i="34"/>
  <c r="H86" i="34"/>
  <c r="A86" i="34"/>
  <c r="O85" i="34"/>
  <c r="DH85" i="34"/>
  <c r="H85" i="34"/>
  <c r="A85" i="34"/>
  <c r="DH84" i="34"/>
  <c r="O84" i="34"/>
  <c r="H84" i="34"/>
  <c r="A84" i="34"/>
  <c r="DH92" i="34"/>
  <c r="O92" i="34"/>
  <c r="H92" i="34"/>
  <c r="A92" i="34"/>
  <c r="DH83" i="34"/>
  <c r="O83" i="34"/>
  <c r="H83" i="34"/>
  <c r="A83" i="34"/>
  <c r="DH82" i="34"/>
  <c r="O82" i="34"/>
  <c r="H82" i="34"/>
  <c r="A82" i="34"/>
  <c r="O91" i="34"/>
  <c r="DH90" i="34"/>
  <c r="O90" i="34"/>
  <c r="H90" i="34"/>
  <c r="A90" i="34"/>
  <c r="DH81" i="34"/>
  <c r="O81" i="34"/>
  <c r="H81" i="34"/>
  <c r="A81" i="34"/>
  <c r="DH53" i="34"/>
  <c r="A53" i="34"/>
  <c r="BA7" i="35"/>
  <c r="AU6" i="35"/>
  <c r="DH52" i="34" l="1"/>
  <c r="DH89" i="34"/>
  <c r="O89" i="34"/>
  <c r="H89" i="34"/>
  <c r="A89" i="34"/>
  <c r="A52" i="34"/>
  <c r="O52" i="34"/>
  <c r="H52" i="34"/>
  <c r="DH80" i="34"/>
  <c r="O80" i="34"/>
  <c r="H80" i="34"/>
  <c r="A80" i="34"/>
  <c r="DH51" i="34"/>
  <c r="O51" i="34"/>
  <c r="H51" i="34"/>
  <c r="A51" i="34"/>
  <c r="O7" i="35"/>
  <c r="DJ7" i="35"/>
  <c r="A7" i="35"/>
  <c r="DH79" i="34"/>
  <c r="O79" i="34"/>
  <c r="H79" i="34"/>
  <c r="A79" i="34"/>
  <c r="DH78" i="34" l="1"/>
  <c r="O78" i="34"/>
  <c r="H78" i="34"/>
  <c r="A78" i="34"/>
  <c r="U77" i="34"/>
  <c r="DH77" i="34"/>
  <c r="O77" i="34"/>
  <c r="H77" i="34"/>
  <c r="A77" i="34"/>
  <c r="U76" i="34"/>
  <c r="W76" i="34" s="1"/>
  <c r="U75" i="34"/>
  <c r="W75" i="34" s="1"/>
  <c r="U74" i="34"/>
  <c r="W74" i="34" s="1"/>
  <c r="DH76" i="34" l="1"/>
  <c r="O76" i="34"/>
  <c r="H76" i="34"/>
  <c r="A76" i="34"/>
  <c r="DH74" i="34"/>
  <c r="O74" i="34"/>
  <c r="H74" i="34"/>
  <c r="A74" i="34"/>
  <c r="DH75" i="34"/>
  <c r="O75" i="34"/>
  <c r="H75" i="34"/>
  <c r="A75" i="34"/>
  <c r="U73" i="34"/>
  <c r="W73" i="34" s="1"/>
  <c r="Y73" i="34" s="1"/>
  <c r="U72" i="34"/>
  <c r="W72" i="34" s="1"/>
  <c r="Y72" i="34" s="1"/>
  <c r="U71" i="34"/>
  <c r="W71" i="34" s="1"/>
  <c r="Y71" i="34" s="1"/>
  <c r="AU5" i="35"/>
  <c r="AW5" i="35" s="1"/>
  <c r="AO6" i="35"/>
  <c r="AQ6" i="35" s="1"/>
  <c r="AS6" i="35" s="1"/>
  <c r="DH71" i="34"/>
  <c r="O71" i="34"/>
  <c r="H71" i="34"/>
  <c r="A71" i="34"/>
  <c r="DH73" i="34"/>
  <c r="O73" i="34"/>
  <c r="H73" i="34"/>
  <c r="A73" i="34"/>
  <c r="DH72" i="34"/>
  <c r="O72" i="34"/>
  <c r="H72" i="34"/>
  <c r="A72" i="34"/>
  <c r="U70" i="34"/>
  <c r="W70" i="34" s="1"/>
  <c r="Y70" i="34" s="1"/>
  <c r="AA70" i="34" s="1"/>
  <c r="U69" i="34"/>
  <c r="W69" i="34" s="1"/>
  <c r="Y69" i="34" s="1"/>
  <c r="AA69" i="34" s="1"/>
  <c r="Y68" i="34"/>
  <c r="AA68" i="34" s="1"/>
  <c r="AC68" i="34" s="1"/>
  <c r="AE68" i="34" s="1"/>
  <c r="AA67" i="34"/>
  <c r="AC67" i="34" s="1"/>
  <c r="AE67" i="34" s="1"/>
  <c r="AG67" i="34" s="1"/>
  <c r="AC66" i="34"/>
  <c r="AE66" i="34" s="1"/>
  <c r="AG66" i="34" s="1"/>
  <c r="AI66" i="34" s="1"/>
  <c r="AC65" i="34"/>
  <c r="AE65" i="34" s="1"/>
  <c r="AG65" i="34" s="1"/>
  <c r="AI65" i="34" s="1"/>
  <c r="AC64" i="34"/>
  <c r="AE64" i="34" s="1"/>
  <c r="AG64" i="34" s="1"/>
  <c r="AI64" i="34" s="1"/>
  <c r="AE63" i="34"/>
  <c r="AG63" i="34" s="1"/>
  <c r="AI63" i="34" s="1"/>
  <c r="AK63" i="34" s="1"/>
  <c r="AE62" i="34"/>
  <c r="AG62" i="34" s="1"/>
  <c r="AI62" i="34" s="1"/>
  <c r="AK62" i="34" s="1"/>
  <c r="AE61" i="34"/>
  <c r="AG61" i="34" s="1"/>
  <c r="AI61" i="34" s="1"/>
  <c r="AG60" i="34"/>
  <c r="AI60" i="34" s="1"/>
  <c r="AK60" i="34" s="1"/>
  <c r="AM60" i="34" s="1"/>
  <c r="AG59" i="34"/>
  <c r="AI59" i="34" s="1"/>
  <c r="AK59" i="34" s="1"/>
  <c r="AM59" i="34" s="1"/>
  <c r="AI58" i="34"/>
  <c r="AK58" i="34" s="1"/>
  <c r="AM58" i="34" s="1"/>
  <c r="AO58" i="34" s="1"/>
  <c r="AI57" i="34"/>
  <c r="AK57" i="34" s="1"/>
  <c r="AM57" i="34" s="1"/>
  <c r="AO57" i="34" s="1"/>
  <c r="W50" i="34"/>
  <c r="Y50" i="34" s="1"/>
  <c r="AA50" i="34" s="1"/>
  <c r="AC50" i="34" s="1"/>
  <c r="AA49" i="34"/>
  <c r="AC49" i="34" s="1"/>
  <c r="AE49" i="34" s="1"/>
  <c r="AG49" i="34" s="1"/>
  <c r="AC48" i="34"/>
  <c r="AE48" i="34" s="1"/>
  <c r="AG48" i="34" s="1"/>
  <c r="AI48" i="34" s="1"/>
  <c r="AE47" i="34"/>
  <c r="AG47" i="34" s="1"/>
  <c r="AI47" i="34" s="1"/>
  <c r="AK47" i="34" s="1"/>
  <c r="AE46" i="34"/>
  <c r="AG46" i="34" s="1"/>
  <c r="AI46" i="34" s="1"/>
  <c r="AK46" i="34" s="1"/>
  <c r="AE45" i="34"/>
  <c r="AG45" i="34" s="1"/>
  <c r="AI45" i="34" s="1"/>
  <c r="AK45" i="34" s="1"/>
  <c r="AG44" i="34"/>
  <c r="AI44" i="34" s="1"/>
  <c r="AK44" i="34" s="1"/>
  <c r="AM44" i="34" s="1"/>
  <c r="AG43" i="34"/>
  <c r="AI43" i="34" s="1"/>
  <c r="AK43" i="34" s="1"/>
  <c r="AM43" i="34" s="1"/>
  <c r="AG42" i="34"/>
  <c r="AI42" i="34" s="1"/>
  <c r="AK42" i="34" s="1"/>
  <c r="AM42" i="34" s="1"/>
  <c r="AG41" i="34"/>
  <c r="AI41" i="34" s="1"/>
  <c r="AK41" i="34" s="1"/>
  <c r="AM41" i="34" s="1"/>
  <c r="AG40" i="34"/>
  <c r="AI40" i="34" s="1"/>
  <c r="AK40" i="34" s="1"/>
  <c r="AM40" i="34" s="1"/>
  <c r="AK38" i="34"/>
  <c r="AM38" i="34" s="1"/>
  <c r="AO38" i="34" s="1"/>
  <c r="AK37" i="34"/>
  <c r="AM37" i="34" s="1"/>
  <c r="AO37" i="34" s="1"/>
  <c r="AK36" i="34"/>
  <c r="AM36" i="34" s="1"/>
  <c r="AO36" i="34" s="1"/>
  <c r="AM35" i="34"/>
  <c r="AO35" i="34" s="1"/>
  <c r="AM33" i="34"/>
  <c r="AO33" i="34" s="1"/>
  <c r="AM31" i="34"/>
  <c r="AO31" i="34" s="1"/>
  <c r="AO30" i="34"/>
  <c r="AO29" i="34"/>
  <c r="AO28" i="34"/>
  <c r="DH70" i="34" l="1"/>
  <c r="O70" i="34"/>
  <c r="H70" i="34"/>
  <c r="A70" i="34"/>
  <c r="DH69" i="34"/>
  <c r="O69" i="34"/>
  <c r="H69" i="34"/>
  <c r="A69" i="34"/>
  <c r="DH50" i="34"/>
  <c r="O50" i="34"/>
  <c r="H50" i="34"/>
  <c r="A50" i="34"/>
  <c r="H49" i="34"/>
  <c r="O49" i="34"/>
  <c r="O68" i="34"/>
  <c r="DH68" i="34"/>
  <c r="H68" i="34"/>
  <c r="A68" i="34"/>
  <c r="O67" i="34"/>
  <c r="DH67" i="34"/>
  <c r="H67" i="34"/>
  <c r="A67" i="34"/>
  <c r="DH49" i="34" l="1"/>
  <c r="A49" i="34"/>
  <c r="O65" i="34"/>
  <c r="DH65" i="34"/>
  <c r="H65" i="34"/>
  <c r="A65" i="34"/>
  <c r="DH48" i="34" l="1"/>
  <c r="H48" i="34"/>
  <c r="O48" i="34"/>
  <c r="A48" i="34"/>
  <c r="O66" i="34"/>
  <c r="DH66" i="34"/>
  <c r="H66" i="34"/>
  <c r="A66" i="34"/>
  <c r="N16" i="34"/>
  <c r="N17" i="34"/>
  <c r="N18" i="34"/>
  <c r="N15" i="34"/>
  <c r="N6" i="34"/>
  <c r="N7" i="34"/>
  <c r="N8" i="34"/>
  <c r="N9" i="34"/>
  <c r="N10" i="34"/>
  <c r="N11" i="34"/>
  <c r="N12" i="34"/>
  <c r="N13" i="34"/>
  <c r="N14" i="34"/>
  <c r="N5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57" i="34"/>
  <c r="O58" i="34"/>
  <c r="O59" i="34"/>
  <c r="O60" i="34"/>
  <c r="O61" i="34"/>
  <c r="O62" i="34"/>
  <c r="O63" i="34"/>
  <c r="O64" i="34"/>
  <c r="DH64" i="34"/>
  <c r="H64" i="34"/>
  <c r="A64" i="34"/>
  <c r="DH63" i="34"/>
  <c r="H63" i="34"/>
  <c r="A63" i="34"/>
  <c r="DH62" i="34"/>
  <c r="H62" i="34"/>
  <c r="A62" i="34"/>
  <c r="DJ6" i="35"/>
  <c r="S6" i="35"/>
  <c r="H46" i="34"/>
  <c r="H47" i="34"/>
  <c r="DH47" i="34"/>
  <c r="A47" i="34"/>
  <c r="DH46" i="34"/>
  <c r="A46" i="34"/>
  <c r="A6" i="35"/>
  <c r="H6" i="35"/>
  <c r="DH61" i="34"/>
  <c r="H61" i="34"/>
  <c r="A61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57" i="34"/>
  <c r="H58" i="34"/>
  <c r="H59" i="34"/>
  <c r="H60" i="34"/>
  <c r="H45" i="34"/>
  <c r="DH44" i="34"/>
  <c r="A44" i="34"/>
  <c r="DH45" i="34"/>
  <c r="A45" i="34" l="1"/>
  <c r="DH59" i="34"/>
  <c r="A59" i="34"/>
  <c r="DH42" i="34"/>
  <c r="DH43" i="34"/>
  <c r="A43" i="34"/>
  <c r="A42" i="34"/>
  <c r="DH41" i="34"/>
  <c r="A41" i="34"/>
  <c r="DH40" i="34"/>
  <c r="A40" i="34"/>
  <c r="DH60" i="34"/>
  <c r="A60" i="34"/>
  <c r="DH58" i="34"/>
  <c r="A58" i="34"/>
  <c r="DH39" i="34"/>
  <c r="A39" i="34" l="1"/>
  <c r="DH57" i="34"/>
  <c r="A57" i="34"/>
  <c r="DJ5" i="35" l="1"/>
  <c r="A5" i="35" l="1"/>
  <c r="A106" i="34"/>
  <c r="A38" i="34"/>
  <c r="A37" i="34"/>
  <c r="A36" i="34"/>
  <c r="A35" i="34"/>
  <c r="A34" i="34"/>
  <c r="A32" i="34"/>
  <c r="A33" i="34"/>
  <c r="A31" i="34"/>
  <c r="DH12" i="34" l="1"/>
  <c r="DH13" i="34"/>
  <c r="DH14" i="34"/>
  <c r="DH15" i="34"/>
  <c r="DH16" i="34"/>
  <c r="DH17" i="34"/>
  <c r="DH27" i="34"/>
  <c r="DH28" i="34"/>
  <c r="DH29" i="34"/>
  <c r="DH30" i="34"/>
  <c r="DH31" i="34"/>
  <c r="DH32" i="34"/>
  <c r="DH33" i="34"/>
  <c r="DH34" i="34"/>
  <c r="DH35" i="34"/>
  <c r="DH36" i="34"/>
  <c r="DH37" i="34"/>
  <c r="DH38" i="34"/>
  <c r="DH26" i="34"/>
  <c r="DH25" i="34"/>
  <c r="DH24" i="34"/>
  <c r="DH23" i="34" l="1"/>
  <c r="DH22" i="34"/>
  <c r="DH21" i="34"/>
  <c r="DH20" i="34"/>
  <c r="DH19" i="34"/>
  <c r="DH18" i="34"/>
  <c r="DH11" i="34"/>
  <c r="DH10" i="34"/>
  <c r="DH9" i="34"/>
  <c r="DH8" i="34"/>
  <c r="DH7" i="34"/>
  <c r="DH5" i="34"/>
  <c r="DH6" i="34"/>
  <c r="A20" i="34"/>
  <c r="A21" i="34"/>
  <c r="A22" i="34"/>
  <c r="A23" i="34"/>
  <c r="A24" i="34"/>
  <c r="A25" i="34"/>
  <c r="A26" i="34"/>
  <c r="A27" i="34"/>
  <c r="A28" i="34"/>
  <c r="A29" i="34"/>
  <c r="A30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5" i="34"/>
  <c r="C9" i="45"/>
  <c r="B9" i="45"/>
  <c r="G9" i="45"/>
  <c r="I7" i="43" l="1"/>
  <c r="K7" i="45"/>
  <c r="H7" i="45"/>
  <c r="FD51" i="35"/>
  <c r="FD52" i="35" s="1"/>
  <c r="E8" i="45" s="1"/>
  <c r="AA51" i="35"/>
  <c r="I8" i="45" s="1"/>
  <c r="S51" i="35"/>
  <c r="H8" i="45" s="1"/>
  <c r="GF49" i="35"/>
  <c r="GD49" i="35"/>
  <c r="GB49" i="35"/>
  <c r="FZ49" i="35"/>
  <c r="FX49" i="35"/>
  <c r="FV49" i="35"/>
  <c r="FT49" i="35"/>
  <c r="FR49" i="35"/>
  <c r="FP49" i="35"/>
  <c r="FN49" i="35"/>
  <c r="FL49" i="35"/>
  <c r="FJ49" i="35"/>
  <c r="FD49" i="35"/>
  <c r="DK49" i="35"/>
  <c r="L8" i="43" s="1"/>
  <c r="DH49" i="35"/>
  <c r="DF49" i="35"/>
  <c r="DD49" i="35"/>
  <c r="DB49" i="35"/>
  <c r="AW49" i="35"/>
  <c r="AU49" i="35"/>
  <c r="AS49" i="35"/>
  <c r="AQ49" i="35"/>
  <c r="AO49" i="35"/>
  <c r="AM49" i="35"/>
  <c r="AK49" i="35"/>
  <c r="AI49" i="35"/>
  <c r="AG49" i="35"/>
  <c r="AE49" i="35"/>
  <c r="AC49" i="35"/>
  <c r="AA49" i="35"/>
  <c r="U49" i="35"/>
  <c r="S49" i="35"/>
  <c r="I8" i="43" s="1"/>
  <c r="E7" i="45"/>
  <c r="I7" i="45"/>
  <c r="L7" i="43"/>
  <c r="FA257" i="34"/>
  <c r="FJ52" i="35" s="1"/>
  <c r="F8" i="45" s="1"/>
  <c r="S257" i="34"/>
  <c r="K8" i="45" s="1"/>
  <c r="Q257" i="34"/>
  <c r="J8" i="45" s="1"/>
  <c r="FW255" i="34"/>
  <c r="FU255" i="34"/>
  <c r="FS255" i="34"/>
  <c r="FQ255" i="34"/>
  <c r="FO255" i="34"/>
  <c r="FM255" i="34"/>
  <c r="FK255" i="34"/>
  <c r="FI255" i="34"/>
  <c r="FG255" i="34"/>
  <c r="FE255" i="34"/>
  <c r="FC255" i="34"/>
  <c r="FA255" i="34"/>
  <c r="EU255" i="34"/>
  <c r="DF255" i="34"/>
  <c r="DD255" i="34"/>
  <c r="DB255" i="34"/>
  <c r="CZ255" i="34"/>
  <c r="CT255" i="34"/>
  <c r="AO255" i="34"/>
  <c r="AM255" i="34"/>
  <c r="AK255" i="34"/>
  <c r="AI255" i="34"/>
  <c r="AG255" i="34"/>
  <c r="AE255" i="34"/>
  <c r="AC255" i="34"/>
  <c r="AA255" i="34"/>
  <c r="Y255" i="34"/>
  <c r="W255" i="34"/>
  <c r="U255" i="34"/>
  <c r="S255" i="34"/>
  <c r="Q255" i="34"/>
  <c r="C8" i="43" s="1"/>
  <c r="F7" i="45"/>
  <c r="J7" i="45"/>
  <c r="E7" i="43"/>
  <c r="C7" i="43"/>
  <c r="K7" i="43" l="1"/>
  <c r="F7" i="43"/>
  <c r="S256" i="34"/>
  <c r="D8" i="43" s="1"/>
  <c r="D7" i="43"/>
  <c r="CZ256" i="34"/>
  <c r="E8" i="43" s="1"/>
  <c r="EU256" i="34"/>
  <c r="F8" i="43" s="1"/>
  <c r="DB50" i="35"/>
  <c r="K8" i="43" s="1"/>
  <c r="AA50" i="35"/>
  <c r="J8" i="43" s="1"/>
  <c r="FD50" i="35"/>
  <c r="M8" i="43" s="1"/>
  <c r="N7" i="43"/>
  <c r="FJ50" i="35"/>
  <c r="N8" i="43" s="1"/>
  <c r="J7" i="43"/>
  <c r="M7" i="43"/>
  <c r="G7" i="43"/>
  <c r="FA256" i="34"/>
  <c r="G8" i="43" s="1"/>
  <c r="L8" i="45"/>
  <c r="L7" i="45"/>
  <c r="E3" i="45"/>
  <c r="E6" i="45"/>
  <c r="D3" i="45"/>
  <c r="D9" i="45" s="1"/>
  <c r="I6" i="45"/>
  <c r="I3" i="45"/>
  <c r="H3" i="45"/>
  <c r="H6" i="45"/>
  <c r="F6" i="45"/>
  <c r="F9" i="45" s="1"/>
  <c r="H8" i="43" l="1"/>
  <c r="H7" i="43"/>
  <c r="O7" i="43"/>
  <c r="O8" i="43"/>
  <c r="I9" i="45"/>
  <c r="E9" i="45"/>
  <c r="H9" i="45"/>
  <c r="K6" i="45"/>
  <c r="J6" i="45"/>
  <c r="K3" i="45"/>
  <c r="J3" i="45"/>
  <c r="L4" i="45"/>
  <c r="L5" i="45"/>
  <c r="K9" i="45" l="1"/>
  <c r="J9" i="45"/>
  <c r="E10" i="45"/>
  <c r="L6" i="45"/>
  <c r="L3" i="45"/>
  <c r="L4" i="43"/>
  <c r="I4" i="43"/>
  <c r="L3" i="43"/>
  <c r="L6" i="43"/>
  <c r="I6" i="43"/>
  <c r="I3" i="43"/>
  <c r="L5" i="43"/>
  <c r="I5" i="43"/>
  <c r="C5" i="43"/>
  <c r="C3" i="43"/>
  <c r="C6" i="43"/>
  <c r="C4" i="43"/>
  <c r="L9" i="45" l="1"/>
  <c r="F5" i="43"/>
  <c r="E6" i="43"/>
  <c r="E3" i="43"/>
  <c r="F6" i="43"/>
  <c r="G5" i="43"/>
  <c r="F4" i="43"/>
  <c r="M6" i="43"/>
  <c r="M5" i="43"/>
  <c r="E5" i="43"/>
  <c r="E4" i="43"/>
  <c r="D5" i="43"/>
  <c r="G6" i="43"/>
  <c r="D4" i="43"/>
  <c r="G4" i="43"/>
  <c r="D6" i="43"/>
  <c r="K4" i="43"/>
  <c r="N5" i="43"/>
  <c r="J4" i="43"/>
  <c r="M4" i="43"/>
  <c r="J6" i="43"/>
  <c r="N6" i="43"/>
  <c r="K5" i="43"/>
  <c r="K6" i="43"/>
  <c r="N4" i="43"/>
  <c r="N3" i="43"/>
  <c r="M3" i="43"/>
  <c r="K3" i="43"/>
  <c r="J5" i="43"/>
  <c r="J3" i="43"/>
  <c r="G3" i="43"/>
  <c r="F3" i="43"/>
  <c r="D3" i="43"/>
  <c r="O6" i="43" l="1"/>
  <c r="O4" i="43"/>
  <c r="H5" i="43"/>
  <c r="H4" i="43"/>
  <c r="H6" i="43"/>
  <c r="O5" i="43"/>
  <c r="O3" i="43"/>
  <c r="H3" i="43"/>
  <c r="P3" i="43" l="1"/>
  <c r="L10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tc={C2E8A878-7A69-415F-BA4E-280E7D9D059D}</author>
    <author>tc={968DA5CA-0A0B-4EF4-86E1-4B388ED920E5}</author>
    <author>tc={91612DE7-7FA3-4A72-96FD-A7B9A583DCDE}</author>
    <author>tc={193417AE-D9DF-464C-994B-66D9B7507FC7}</author>
    <author>tc={AFD680E0-0B45-4F56-B63A-C32EEA72A3DC}</author>
    <author>tc={A8796190-6502-41FF-BD62-612EA63E5526}</author>
    <author>tc={E0892ADA-3E1B-4275-9A7F-596F2B37B391}</author>
  </authors>
  <commentList>
    <comment ref="DB11" authorId="0" shapeId="0" xr:uid="{C2E8A878-7A69-415F-BA4E-280E7D9D059D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20900</t>
        </r>
      </text>
    </comment>
    <comment ref="CZ12" authorId="1" shapeId="0" xr:uid="{968DA5CA-0A0B-4EF4-86E1-4B388ED920E5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10800</t>
        </r>
      </text>
    </comment>
    <comment ref="CZ14" authorId="2" shapeId="0" xr:uid="{91612DE7-7FA3-4A72-96FD-A7B9A583DCDE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65100</t>
        </r>
      </text>
    </comment>
    <comment ref="CZ31" authorId="3" shapeId="0" xr:uid="{193417AE-D9DF-464C-994B-66D9B7507FC7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Z32" authorId="4" shapeId="0" xr:uid="{AFD680E0-0B45-4F56-B63A-C32EEA72A3DC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10200</t>
        </r>
      </text>
    </comment>
    <comment ref="B51" authorId="5" shapeId="0" xr:uid="{A8796190-6502-41FF-BD62-612EA63E5526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共住案</t>
        </r>
      </text>
    </comment>
    <comment ref="B52" authorId="6" shapeId="0" xr:uid="{E0892ADA-3E1B-4275-9A7F-596F2B37B391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原 4-223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tc={DF9C5E26-C879-4E88-B854-490C29C8ACA6}</author>
    <author>tc={99DC9CD9-F3B1-4EA5-BD87-985BA9477964}</author>
  </authors>
  <commentList>
    <comment ref="D7" authorId="0" shapeId="0" xr:uid="{DF9C5E26-C879-4E88-B854-490C29C8ACA6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355 家</t>
        </r>
      </text>
    </comment>
    <comment ref="S7" authorId="1" shapeId="0" xr:uid="{99DC9CD9-F3B1-4EA5-BD87-985BA9477964}">
      <text>
        <r>
          <rPr>
            <sz val="12"/>
            <color theme="1"/>
            <rFont val="新細明體"/>
            <family val="2"/>
            <charset val="136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續約</t>
        </r>
      </text>
    </comment>
  </commentList>
</comments>
</file>

<file path=xl/sharedStrings.xml><?xml version="1.0" encoding="utf-8"?>
<sst xmlns="http://schemas.openxmlformats.org/spreadsheetml/2006/main" count="3670" uniqueCount="1279">
  <si>
    <t>業者</t>
    <phoneticPr fontId="1" type="noConversion"/>
  </si>
  <si>
    <t>媒合編號</t>
    <phoneticPr fontId="1" type="noConversion"/>
  </si>
  <si>
    <t>房東</t>
    <phoneticPr fontId="1" type="noConversion"/>
  </si>
  <si>
    <t>房客</t>
    <phoneticPr fontId="1" type="noConversion"/>
  </si>
  <si>
    <t>公證費</t>
    <phoneticPr fontId="1" type="noConversion"/>
  </si>
  <si>
    <t>代租代管</t>
    <phoneticPr fontId="1" type="noConversion"/>
  </si>
  <si>
    <t>序號</t>
    <phoneticPr fontId="1" type="noConversion"/>
  </si>
  <si>
    <t>開發費</t>
    <phoneticPr fontId="1" type="noConversion"/>
  </si>
  <si>
    <t>簽約租金</t>
    <phoneticPr fontId="1" type="noConversion"/>
  </si>
  <si>
    <t>身分別</t>
    <phoneticPr fontId="1" type="noConversion"/>
  </si>
  <si>
    <t>保險金額</t>
    <phoneticPr fontId="1" type="noConversion"/>
  </si>
  <si>
    <t>媒合費</t>
    <phoneticPr fontId="1" type="noConversion"/>
  </si>
  <si>
    <t>撥款日期</t>
  </si>
  <si>
    <t>撥款日期</t>
    <phoneticPr fontId="1" type="noConversion"/>
  </si>
  <si>
    <t>代管費</t>
    <phoneticPr fontId="1" type="noConversion"/>
  </si>
  <si>
    <t>修繕費</t>
    <phoneticPr fontId="1" type="noConversion"/>
  </si>
  <si>
    <t>租金補貼</t>
    <phoneticPr fontId="1" type="noConversion"/>
  </si>
  <si>
    <t>修繕費餘額</t>
    <phoneticPr fontId="1" type="noConversion"/>
  </si>
  <si>
    <t>包管費</t>
    <phoneticPr fontId="1" type="noConversion"/>
  </si>
  <si>
    <t>第一期</t>
    <phoneticPr fontId="1" type="noConversion"/>
  </si>
  <si>
    <t>第二期</t>
    <phoneticPr fontId="1" type="noConversion"/>
  </si>
  <si>
    <t>第三期</t>
    <phoneticPr fontId="1" type="noConversion"/>
  </si>
  <si>
    <t>第四期</t>
    <phoneticPr fontId="1" type="noConversion"/>
  </si>
  <si>
    <t>第五期</t>
    <phoneticPr fontId="1" type="noConversion"/>
  </si>
  <si>
    <t>第六期</t>
    <phoneticPr fontId="1" type="noConversion"/>
  </si>
  <si>
    <t>第七期</t>
    <phoneticPr fontId="1" type="noConversion"/>
  </si>
  <si>
    <t>第八期</t>
    <phoneticPr fontId="1" type="noConversion"/>
  </si>
  <si>
    <t>第九期</t>
    <phoneticPr fontId="1" type="noConversion"/>
  </si>
  <si>
    <t>第十期</t>
    <phoneticPr fontId="1" type="noConversion"/>
  </si>
  <si>
    <t>第十一期</t>
    <phoneticPr fontId="1" type="noConversion"/>
  </si>
  <si>
    <t>第十二期</t>
    <phoneticPr fontId="1" type="noConversion"/>
  </si>
  <si>
    <t>第一年(1)</t>
    <phoneticPr fontId="1" type="noConversion"/>
  </si>
  <si>
    <t>第一年(2)</t>
    <phoneticPr fontId="1" type="noConversion"/>
  </si>
  <si>
    <t>第一年(3)</t>
    <phoneticPr fontId="1" type="noConversion"/>
  </si>
  <si>
    <t>第一年(4)</t>
    <phoneticPr fontId="1" type="noConversion"/>
  </si>
  <si>
    <t>帳號</t>
    <phoneticPr fontId="1" type="noConversion"/>
  </si>
  <si>
    <t>銀行代碼
(7碼)</t>
    <phoneticPr fontId="1" type="noConversion"/>
  </si>
  <si>
    <t>通訊地址</t>
    <phoneticPr fontId="1" type="noConversion"/>
  </si>
  <si>
    <t>基本資料</t>
    <phoneticPr fontId="1" type="noConversion"/>
  </si>
  <si>
    <t>序號</t>
    <phoneticPr fontId="1" type="noConversion"/>
  </si>
  <si>
    <t>業者</t>
    <phoneticPr fontId="1" type="noConversion"/>
  </si>
  <si>
    <t>房東</t>
    <phoneticPr fontId="1" type="noConversion"/>
  </si>
  <si>
    <t>房客</t>
    <phoneticPr fontId="1" type="noConversion"/>
  </si>
  <si>
    <t>簽約租金</t>
    <phoneticPr fontId="1" type="noConversion"/>
  </si>
  <si>
    <t>開發費</t>
    <phoneticPr fontId="1" type="noConversion"/>
  </si>
  <si>
    <t>公證費</t>
    <phoneticPr fontId="1" type="noConversion"/>
  </si>
  <si>
    <t>包管費</t>
    <phoneticPr fontId="1" type="noConversion"/>
  </si>
  <si>
    <t>修繕費</t>
    <phoneticPr fontId="1" type="noConversion"/>
  </si>
  <si>
    <t>修繕費餘額</t>
    <phoneticPr fontId="1" type="noConversion"/>
  </si>
  <si>
    <t>租金補貼</t>
    <phoneticPr fontId="1" type="noConversion"/>
  </si>
  <si>
    <t>第一期</t>
    <phoneticPr fontId="1" type="noConversion"/>
  </si>
  <si>
    <t>第二期</t>
    <phoneticPr fontId="1" type="noConversion"/>
  </si>
  <si>
    <t>第三期</t>
    <phoneticPr fontId="1" type="noConversion"/>
  </si>
  <si>
    <t>第四期</t>
    <phoneticPr fontId="1" type="noConversion"/>
  </si>
  <si>
    <t>第五期</t>
    <phoneticPr fontId="1" type="noConversion"/>
  </si>
  <si>
    <t>第六期</t>
    <phoneticPr fontId="1" type="noConversion"/>
  </si>
  <si>
    <t>第七期</t>
    <phoneticPr fontId="1" type="noConversion"/>
  </si>
  <si>
    <t>第八期</t>
    <phoneticPr fontId="1" type="noConversion"/>
  </si>
  <si>
    <t>第九期</t>
    <phoneticPr fontId="1" type="noConversion"/>
  </si>
  <si>
    <t>第十期</t>
    <phoneticPr fontId="1" type="noConversion"/>
  </si>
  <si>
    <t>第十一期</t>
    <phoneticPr fontId="1" type="noConversion"/>
  </si>
  <si>
    <t>第十二期</t>
    <phoneticPr fontId="1" type="noConversion"/>
  </si>
  <si>
    <t>第一年(1)</t>
    <phoneticPr fontId="1" type="noConversion"/>
  </si>
  <si>
    <t>第一年(2)</t>
    <phoneticPr fontId="1" type="noConversion"/>
  </si>
  <si>
    <t>第一年(3)</t>
    <phoneticPr fontId="1" type="noConversion"/>
  </si>
  <si>
    <t>第一年(4)</t>
    <phoneticPr fontId="1" type="noConversion"/>
  </si>
  <si>
    <t>保險金額</t>
    <phoneticPr fontId="1" type="noConversion"/>
  </si>
  <si>
    <t>房屋座落地址</t>
    <phoneticPr fontId="1" type="noConversion"/>
  </si>
  <si>
    <t>行政區</t>
    <phoneticPr fontId="1" type="noConversion"/>
  </si>
  <si>
    <t>地段</t>
    <phoneticPr fontId="1" type="noConversion"/>
  </si>
  <si>
    <t>謄本面積
(m²)</t>
    <phoneticPr fontId="1" type="noConversion"/>
  </si>
  <si>
    <t>租賃範圍
(全部/部分)</t>
    <phoneticPr fontId="1" type="noConversion"/>
  </si>
  <si>
    <t>房屋座落地址</t>
    <phoneticPr fontId="1" type="noConversion"/>
  </si>
  <si>
    <t>行政區</t>
    <phoneticPr fontId="1" type="noConversion"/>
  </si>
  <si>
    <t>地段</t>
    <phoneticPr fontId="1" type="noConversion"/>
  </si>
  <si>
    <t>謄本面積
(m²)</t>
    <phoneticPr fontId="1" type="noConversion"/>
  </si>
  <si>
    <t>租賃契約資料</t>
    <phoneticPr fontId="1" type="noConversion"/>
  </si>
  <si>
    <t>總計</t>
    <phoneticPr fontId="1" type="noConversion"/>
  </si>
  <si>
    <t>包租包管</t>
    <phoneticPr fontId="1" type="noConversion"/>
  </si>
  <si>
    <t>各計</t>
    <phoneticPr fontId="1" type="noConversion"/>
  </si>
  <si>
    <t>縣市</t>
    <phoneticPr fontId="1" type="noConversion"/>
  </si>
  <si>
    <t>公證費</t>
  </si>
  <si>
    <t>修繕費</t>
    <phoneticPr fontId="1" type="noConversion"/>
  </si>
  <si>
    <t>租補費</t>
    <phoneticPr fontId="1" type="noConversion"/>
  </si>
  <si>
    <t>保險費</t>
    <phoneticPr fontId="1" type="noConversion"/>
  </si>
  <si>
    <t>業者</t>
    <phoneticPr fontId="1" type="noConversion"/>
  </si>
  <si>
    <t>總計</t>
    <phoneticPr fontId="1" type="noConversion"/>
  </si>
  <si>
    <t>合計</t>
    <phoneticPr fontId="1" type="noConversion"/>
  </si>
  <si>
    <t>第一年代管費</t>
    <phoneticPr fontId="1" type="noConversion"/>
  </si>
  <si>
    <t>第一年保險</t>
    <phoneticPr fontId="1" type="noConversion"/>
  </si>
  <si>
    <t>第二年代管費</t>
    <phoneticPr fontId="1" type="noConversion"/>
  </si>
  <si>
    <t>第三年代管費</t>
    <phoneticPr fontId="1" type="noConversion"/>
  </si>
  <si>
    <t>公證費(1)</t>
    <phoneticPr fontId="1" type="noConversion"/>
  </si>
  <si>
    <t>公證費(2)</t>
    <phoneticPr fontId="1" type="noConversion"/>
  </si>
  <si>
    <t>公證費(3)</t>
    <phoneticPr fontId="1" type="noConversion"/>
  </si>
  <si>
    <t>第二年(1)</t>
    <phoneticPr fontId="1" type="noConversion"/>
  </si>
  <si>
    <t>第二年(2)</t>
    <phoneticPr fontId="1" type="noConversion"/>
  </si>
  <si>
    <t>第二年(3)</t>
    <phoneticPr fontId="1" type="noConversion"/>
  </si>
  <si>
    <t>第二年(4)</t>
    <phoneticPr fontId="1" type="noConversion"/>
  </si>
  <si>
    <t>第三年(1)</t>
    <phoneticPr fontId="1" type="noConversion"/>
  </si>
  <si>
    <t>第三年(2)</t>
    <phoneticPr fontId="1" type="noConversion"/>
  </si>
  <si>
    <t>第三年(3)</t>
    <phoneticPr fontId="1" type="noConversion"/>
  </si>
  <si>
    <t>第三年(4)</t>
    <phoneticPr fontId="1" type="noConversion"/>
  </si>
  <si>
    <t>第一年租金補貼</t>
    <phoneticPr fontId="1" type="noConversion"/>
  </si>
  <si>
    <t>第二年租金補貼</t>
    <phoneticPr fontId="1" type="noConversion"/>
  </si>
  <si>
    <t>第三年租金補貼</t>
    <phoneticPr fontId="1" type="noConversion"/>
  </si>
  <si>
    <t>第一年包管費</t>
    <phoneticPr fontId="1" type="noConversion"/>
  </si>
  <si>
    <t>第二年包管費</t>
    <phoneticPr fontId="1" type="noConversion"/>
  </si>
  <si>
    <t>第三年包管費</t>
    <phoneticPr fontId="1" type="noConversion"/>
  </si>
  <si>
    <t>第二年保險</t>
    <phoneticPr fontId="1" type="noConversion"/>
  </si>
  <si>
    <t>第三年保險</t>
    <phoneticPr fontId="1" type="noConversion"/>
  </si>
  <si>
    <t>租約起日(xxx/xx/xx)</t>
    <phoneticPr fontId="1" type="noConversion"/>
  </si>
  <si>
    <t>總計撥付款項</t>
    <phoneticPr fontId="1" type="noConversion"/>
  </si>
  <si>
    <t>公證費合計</t>
    <phoneticPr fontId="1" type="noConversion"/>
  </si>
  <si>
    <t>代管費</t>
  </si>
  <si>
    <t>媒合費</t>
  </si>
  <si>
    <t>包管費</t>
  </si>
  <si>
    <t>開發費</t>
  </si>
  <si>
    <t>租金補助</t>
    <phoneticPr fontId="1" type="noConversion"/>
  </si>
  <si>
    <t>居家安全保險費</t>
    <phoneticPr fontId="1" type="noConversion"/>
  </si>
  <si>
    <t>各業者服務費(不含公證費)</t>
    <phoneticPr fontId="1" type="noConversion"/>
  </si>
  <si>
    <t>服務費（表單8）</t>
    <phoneticPr fontId="1" type="noConversion"/>
  </si>
  <si>
    <t>承租人補助費(表單7)</t>
    <phoneticPr fontId="1" type="noConversion"/>
  </si>
  <si>
    <t>出租人補助費(表單4)</t>
    <phoneticPr fontId="1" type="noConversion"/>
  </si>
  <si>
    <t>業者</t>
  </si>
  <si>
    <t>本期</t>
    <phoneticPr fontId="1" type="noConversion"/>
  </si>
  <si>
    <t>租約訖日(xxx/xx/xx)</t>
    <phoneticPr fontId="1" type="noConversion"/>
  </si>
  <si>
    <t>撥款日期(xxx-xx-xx)</t>
    <phoneticPr fontId="1" type="noConversion"/>
  </si>
  <si>
    <t>轉租
約起日(xxx/xx/xx)</t>
    <phoneticPr fontId="1" type="noConversion"/>
  </si>
  <si>
    <t>轉租
約訖日(xxx/xx/xx)</t>
    <phoneticPr fontId="1" type="noConversion"/>
  </si>
  <si>
    <t>本期(代＋包)</t>
    <phoneticPr fontId="1" type="noConversion"/>
  </si>
  <si>
    <t>房東姓名(代表人)</t>
    <phoneticPr fontId="1" type="noConversion"/>
  </si>
  <si>
    <t>身分證(代表人)</t>
    <phoneticPr fontId="1" type="noConversion"/>
  </si>
  <si>
    <t>代表人匯款資料</t>
    <phoneticPr fontId="1" type="noConversion"/>
  </si>
  <si>
    <t>房客姓名</t>
    <phoneticPr fontId="1" type="noConversion"/>
  </si>
  <si>
    <t>身分證</t>
    <phoneticPr fontId="1" type="noConversion"/>
  </si>
  <si>
    <t>房東姓名(共有人/共有人)</t>
    <phoneticPr fontId="1" type="noConversion"/>
  </si>
  <si>
    <t>身分證(共有人/共有人)</t>
    <phoneticPr fontId="1" type="noConversion"/>
  </si>
  <si>
    <t>共住人/共住人匯款資料</t>
    <phoneticPr fontId="1" type="noConversion"/>
  </si>
  <si>
    <t>建號(xxxxx-xxxx)</t>
    <phoneticPr fontId="1" type="noConversion"/>
  </si>
  <si>
    <t>地號(xxxx-xxxx/xxxx-xxxx)</t>
    <phoneticPr fontId="1" type="noConversion"/>
  </si>
  <si>
    <t>親屬姓名</t>
    <phoneticPr fontId="1" type="noConversion"/>
  </si>
  <si>
    <t>代表人家庭成員</t>
    <phoneticPr fontId="1" type="noConversion"/>
  </si>
  <si>
    <t>親屬姓名(1)</t>
    <phoneticPr fontId="1" type="noConversion"/>
  </si>
  <si>
    <t>親屬姓名(2)</t>
    <phoneticPr fontId="1" type="noConversion"/>
  </si>
  <si>
    <t>與代表人關係</t>
    <phoneticPr fontId="1" type="noConversion"/>
  </si>
  <si>
    <t>姓名</t>
    <phoneticPr fontId="1" type="noConversion"/>
  </si>
  <si>
    <t>親屬姓名(3)</t>
    <phoneticPr fontId="1" type="noConversion"/>
  </si>
  <si>
    <t>共住人家庭成員</t>
    <phoneticPr fontId="1" type="noConversion"/>
  </si>
  <si>
    <t>包租
約起日(xxx/xx/xx)</t>
    <phoneticPr fontId="1" type="noConversion"/>
  </si>
  <si>
    <t>包租
約訖日(xxx/xx/xx)</t>
    <phoneticPr fontId="1" type="noConversion"/>
  </si>
  <si>
    <t>轉期/換居</t>
    <phoneticPr fontId="1" type="noConversion"/>
  </si>
  <si>
    <t>自然/中止租約日期(xxx-xx-xx)</t>
    <phoneticPr fontId="1" type="noConversion"/>
  </si>
  <si>
    <t>第十三期</t>
  </si>
  <si>
    <t>第十三期</t>
    <phoneticPr fontId="1" type="noConversion"/>
  </si>
  <si>
    <t>第十四期</t>
  </si>
  <si>
    <t>第十四期</t>
    <phoneticPr fontId="1" type="noConversion"/>
  </si>
  <si>
    <t>第十五期</t>
  </si>
  <si>
    <t>第十五期</t>
    <phoneticPr fontId="1" type="noConversion"/>
  </si>
  <si>
    <t>第十六期</t>
  </si>
  <si>
    <t>第十六期</t>
    <phoneticPr fontId="1" type="noConversion"/>
  </si>
  <si>
    <t>第十七期</t>
  </si>
  <si>
    <t>第十七期</t>
    <phoneticPr fontId="1" type="noConversion"/>
  </si>
  <si>
    <t>第十八期</t>
  </si>
  <si>
    <t>第十八期</t>
    <phoneticPr fontId="1" type="noConversion"/>
  </si>
  <si>
    <t>第十九期</t>
  </si>
  <si>
    <t>第十九期</t>
    <phoneticPr fontId="1" type="noConversion"/>
  </si>
  <si>
    <t>第二十期</t>
  </si>
  <si>
    <t>第二十期</t>
    <phoneticPr fontId="1" type="noConversion"/>
  </si>
  <si>
    <t>第二十一期</t>
  </si>
  <si>
    <t>第二十一期</t>
    <phoneticPr fontId="1" type="noConversion"/>
  </si>
  <si>
    <t>第二十二期</t>
  </si>
  <si>
    <t>第二十二期</t>
    <phoneticPr fontId="1" type="noConversion"/>
  </si>
  <si>
    <t>第二十三期</t>
  </si>
  <si>
    <t>第二十三期</t>
    <phoneticPr fontId="1" type="noConversion"/>
  </si>
  <si>
    <t>第二十四期</t>
  </si>
  <si>
    <t>第二十四期</t>
    <phoneticPr fontId="1" type="noConversion"/>
  </si>
  <si>
    <t>第二十五期</t>
  </si>
  <si>
    <t>第二十五期</t>
    <phoneticPr fontId="1" type="noConversion"/>
  </si>
  <si>
    <t>第二十六期</t>
  </si>
  <si>
    <t>第二十六期</t>
    <phoneticPr fontId="1" type="noConversion"/>
  </si>
  <si>
    <t>第二十七期</t>
  </si>
  <si>
    <t>第二十七期</t>
    <phoneticPr fontId="1" type="noConversion"/>
  </si>
  <si>
    <t>第二十八期</t>
  </si>
  <si>
    <t>第二十八期</t>
    <phoneticPr fontId="1" type="noConversion"/>
  </si>
  <si>
    <t>第二十九期</t>
  </si>
  <si>
    <t>第二十九期</t>
    <phoneticPr fontId="1" type="noConversion"/>
  </si>
  <si>
    <t>第三十期</t>
  </si>
  <si>
    <t>第三十期</t>
    <phoneticPr fontId="1" type="noConversion"/>
  </si>
  <si>
    <t>第三十一期</t>
  </si>
  <si>
    <t>第三十一期</t>
    <phoneticPr fontId="1" type="noConversion"/>
  </si>
  <si>
    <t>第三十二期</t>
  </si>
  <si>
    <t>第三十二期</t>
    <phoneticPr fontId="1" type="noConversion"/>
  </si>
  <si>
    <t>第三十三期</t>
  </si>
  <si>
    <t>第三十三期</t>
    <phoneticPr fontId="1" type="noConversion"/>
  </si>
  <si>
    <t>第三十四期</t>
  </si>
  <si>
    <t>第三十四期</t>
    <phoneticPr fontId="1" type="noConversion"/>
  </si>
  <si>
    <t>第三十五期</t>
  </si>
  <si>
    <t>第三十五期</t>
    <phoneticPr fontId="1" type="noConversion"/>
  </si>
  <si>
    <t>第三十六期</t>
  </si>
  <si>
    <t>第三十六期</t>
    <phoneticPr fontId="1" type="noConversion"/>
  </si>
  <si>
    <t>第三十五期</t>
    <phoneticPr fontId="1" type="noConversion"/>
  </si>
  <si>
    <t>第三十六期</t>
    <phoneticPr fontId="1" type="noConversion"/>
  </si>
  <si>
    <t>異動原因
(例：自然終止、中止租約)</t>
    <phoneticPr fontId="1" type="noConversion"/>
  </si>
  <si>
    <t>業者名稱</t>
    <phoneticPr fontId="1" type="noConversion"/>
  </si>
  <si>
    <t>哪個縣市</t>
    <phoneticPr fontId="1" type="noConversion"/>
  </si>
  <si>
    <t>易居</t>
  </si>
  <si>
    <t>易居A2M10400002</t>
  </si>
  <si>
    <t>易居A2M10400007</t>
  </si>
  <si>
    <t>易居A2M10400011</t>
  </si>
  <si>
    <t>易居A2M10400013</t>
  </si>
  <si>
    <t>易居A2M10400014</t>
  </si>
  <si>
    <t>易居A2M10400027</t>
  </si>
  <si>
    <t>易居A2M10400030</t>
  </si>
  <si>
    <t>易居A2M10400037</t>
  </si>
  <si>
    <t>易居A2M10400045</t>
  </si>
  <si>
    <t>易居A2M10400046</t>
  </si>
  <si>
    <t>易居A2M10400053</t>
  </si>
  <si>
    <t>易居A2M10400060</t>
  </si>
  <si>
    <t>易居A2M10400064</t>
  </si>
  <si>
    <t>易居A2M10400104</t>
  </si>
  <si>
    <t>易居A2M10400117</t>
  </si>
  <si>
    <t>易居A2M10400123</t>
  </si>
  <si>
    <t>易居A2M10400145</t>
  </si>
  <si>
    <t>臺北市南港區中南街50號3樓</t>
  </si>
  <si>
    <t>南港段二小段</t>
  </si>
  <si>
    <t>0769-0001/0770-0000</t>
  </si>
  <si>
    <t>0113-000</t>
  </si>
  <si>
    <t>全部</t>
  </si>
  <si>
    <t>112-08-31</t>
  </si>
  <si>
    <t>112-09-15</t>
  </si>
  <si>
    <t>112-10-16</t>
  </si>
  <si>
    <t>112-11-15</t>
  </si>
  <si>
    <t>112-12-15</t>
  </si>
  <si>
    <t>112-01-15</t>
  </si>
  <si>
    <t>113-02-29</t>
  </si>
  <si>
    <t>113-03-29</t>
  </si>
  <si>
    <t>臺北市信義區吳興街361巷23弄3號4樓</t>
  </si>
  <si>
    <t>吳興段一小段</t>
  </si>
  <si>
    <t>0131-0000</t>
  </si>
  <si>
    <t>00403-000</t>
  </si>
  <si>
    <t>臺北市內湖區康樂街48巷25號5樓</t>
  </si>
  <si>
    <t>東湖段一小段</t>
  </si>
  <si>
    <t>0022-0023</t>
  </si>
  <si>
    <t>02793-000</t>
  </si>
  <si>
    <t>112-09-28</t>
  </si>
  <si>
    <t>112-10-31</t>
  </si>
  <si>
    <t>112-11-30</t>
  </si>
  <si>
    <t>112-12-29</t>
  </si>
  <si>
    <t>臺北市內湖區內湖路三段59巷7弄3號4樓</t>
  </si>
  <si>
    <t>碧湖段一小段</t>
  </si>
  <si>
    <t>0338-0000</t>
  </si>
  <si>
    <t>01044-000</t>
  </si>
  <si>
    <t>臺北市中山區新生北路三段34號9樓之5</t>
  </si>
  <si>
    <t>德惠段四小段</t>
  </si>
  <si>
    <t>0570-0000</t>
  </si>
  <si>
    <t>04194-000</t>
  </si>
  <si>
    <t>臺北市大安區敦化南路二段81巷65弄6號3樓</t>
  </si>
  <si>
    <t>通化段五小段</t>
  </si>
  <si>
    <t>0295-0000</t>
  </si>
  <si>
    <t>00287-000</t>
  </si>
  <si>
    <t>臺北市士林區葫蘆街23巷14號</t>
  </si>
  <si>
    <t>海光段三小段</t>
  </si>
  <si>
    <t>0402-0000</t>
  </si>
  <si>
    <t>30860-000</t>
  </si>
  <si>
    <t>臺北市北投區西安街一段187號3樓</t>
  </si>
  <si>
    <t>文林段三小段</t>
  </si>
  <si>
    <t>0271-0000</t>
  </si>
  <si>
    <t>33722-000</t>
  </si>
  <si>
    <t>臺北市士林區天母東路8巷27號2樓之2</t>
  </si>
  <si>
    <t>三玉段二小段</t>
  </si>
  <si>
    <t>0090-0000</t>
  </si>
  <si>
    <t>21131-000</t>
  </si>
  <si>
    <t>臺北市北投區知行路210巷8號</t>
  </si>
  <si>
    <t>關渡段二小段</t>
  </si>
  <si>
    <t>0475-0000</t>
  </si>
  <si>
    <t>20059-000</t>
  </si>
  <si>
    <t>臺北市萬華區艋舺大道55號2樓</t>
  </si>
  <si>
    <t>萬華區</t>
  </si>
  <si>
    <t>萬華段二小段</t>
  </si>
  <si>
    <t>0648-0000</t>
  </si>
  <si>
    <t>00760-000</t>
  </si>
  <si>
    <t>臺北市內湖區內湖路三段191巷4號5樓</t>
  </si>
  <si>
    <t>0700-0000</t>
  </si>
  <si>
    <t>00675-000</t>
  </si>
  <si>
    <t>臺北市中山區中山北路二段137巷1號2樓之1、2樓之2</t>
  </si>
  <si>
    <t>中山段一小段</t>
  </si>
  <si>
    <t>0822-0000</t>
  </si>
  <si>
    <t>04572-000</t>
  </si>
  <si>
    <t>臺北市士林區重慶北路四段49巷20弄8之1號</t>
  </si>
  <si>
    <t>福順段三小段</t>
  </si>
  <si>
    <t>0430-0000</t>
  </si>
  <si>
    <t>30181-000</t>
  </si>
  <si>
    <t>113-01-15</t>
  </si>
  <si>
    <t>台北市中正區重慶南路三段15巷5號3樓</t>
  </si>
  <si>
    <t>南海段三小段</t>
  </si>
  <si>
    <t>0772-0000</t>
  </si>
  <si>
    <t>00225-000</t>
  </si>
  <si>
    <t>112/12/31</t>
  </si>
  <si>
    <t>113/12/30</t>
  </si>
  <si>
    <t>113-01-31</t>
  </si>
  <si>
    <t>台北市士林區承德路四段48巷3號3樓</t>
  </si>
  <si>
    <t>百齡段五小段</t>
  </si>
  <si>
    <t>0560-0000</t>
  </si>
  <si>
    <t>50444-000</t>
  </si>
  <si>
    <t>台北市北投區開明街15號4樓</t>
  </si>
  <si>
    <t>開明段一小段</t>
  </si>
  <si>
    <t>10767-000</t>
  </si>
  <si>
    <t>0502-0000</t>
    <phoneticPr fontId="1" type="noConversion"/>
  </si>
  <si>
    <t>廖德璋</t>
  </si>
  <si>
    <t>F120557935</t>
  </si>
  <si>
    <t>1180774</t>
  </si>
  <si>
    <t>07745000091485</t>
  </si>
  <si>
    <t>新北市汐止區國興街22巷4號</t>
  </si>
  <si>
    <t>蘇范竹英</t>
  </si>
  <si>
    <t>J201653373</t>
  </si>
  <si>
    <t>1300156</t>
  </si>
  <si>
    <t>01500400000037</t>
  </si>
  <si>
    <t>新竹縣芎林鄉文山路646巷2號</t>
  </si>
  <si>
    <t>鄭婷華</t>
  </si>
  <si>
    <t>D221519733</t>
  </si>
  <si>
    <t>0130730</t>
  </si>
  <si>
    <t>073051008232</t>
  </si>
  <si>
    <t>臺北市內湖區內湖路一段591巷11弄4號5樓</t>
  </si>
  <si>
    <t>鍾問晟</t>
  </si>
  <si>
    <t>H122018264</t>
  </si>
  <si>
    <t>141540046580</t>
  </si>
  <si>
    <t>臺北市中正區羅斯福路一段99號4樓</t>
  </si>
  <si>
    <t>劉麗珠</t>
  </si>
  <si>
    <t>R222185652</t>
  </si>
  <si>
    <t>0211466021130</t>
  </si>
  <si>
    <t>臺北市內湖區內湖路二段254號3樓</t>
  </si>
  <si>
    <t>姚秋娟</t>
  </si>
  <si>
    <t>F222821494</t>
  </si>
  <si>
    <t>0532979092588</t>
  </si>
  <si>
    <t>新北市淡水區新市一路一段99巷29號14樓</t>
  </si>
  <si>
    <t>蕭證元</t>
  </si>
  <si>
    <t>A124073766</t>
  </si>
  <si>
    <t>20171590008234</t>
  </si>
  <si>
    <t>陳凱倫</t>
  </si>
  <si>
    <t>A224443751</t>
  </si>
  <si>
    <t>00420168168607</t>
  </si>
  <si>
    <t>臺北市北投區石牌里7鄰西安街一段187號3樓</t>
  </si>
  <si>
    <t>邱珮堯</t>
  </si>
  <si>
    <t>U221271947</t>
  </si>
  <si>
    <t>314540483912</t>
  </si>
  <si>
    <t>新北市土城區延安街42號11樓</t>
  </si>
  <si>
    <t>紀林素卿</t>
  </si>
  <si>
    <t>Y200508512</t>
  </si>
  <si>
    <t>00023400273791</t>
  </si>
  <si>
    <t>臺北市北投區關渡里4鄰大度路三段301巷61號</t>
  </si>
  <si>
    <t>陳進燈</t>
  </si>
  <si>
    <t>A121882227</t>
  </si>
  <si>
    <t>24414220511103</t>
  </si>
  <si>
    <t>連珮淇</t>
  </si>
  <si>
    <t>F226193820</t>
  </si>
  <si>
    <t>266540567261</t>
  </si>
  <si>
    <t>新北市新莊區福樂街72巷11號2樓</t>
  </si>
  <si>
    <t>林岳群</t>
  </si>
  <si>
    <t>A124234296</t>
  </si>
  <si>
    <t>0051404</t>
  </si>
  <si>
    <t>140008006233</t>
  </si>
  <si>
    <t>臺北市中山區中山北路二段137巷1號2樓之1</t>
  </si>
  <si>
    <t>謝介俊</t>
  </si>
  <si>
    <t>Q122055441</t>
  </si>
  <si>
    <t>001010314231</t>
  </si>
  <si>
    <t>臺北市士林區重慶北路四段81號6樓之4</t>
  </si>
  <si>
    <t>陳裕華</t>
  </si>
  <si>
    <t>A200132573</t>
  </si>
  <si>
    <t>0071727</t>
  </si>
  <si>
    <t>17250008556</t>
  </si>
  <si>
    <t>葉克柔</t>
  </si>
  <si>
    <t>F222145640</t>
  </si>
  <si>
    <t>0012840972597</t>
  </si>
  <si>
    <t>新北市汐止區民族五街16號16樓之2</t>
  </si>
  <si>
    <t>蔡梅鶯</t>
    <phoneticPr fontId="1" type="noConversion"/>
  </si>
  <si>
    <t>Q202183893</t>
    <phoneticPr fontId="1" type="noConversion"/>
  </si>
  <si>
    <t>8160027</t>
    <phoneticPr fontId="1" type="noConversion"/>
  </si>
  <si>
    <t>00222003270700</t>
    <phoneticPr fontId="1" type="noConversion"/>
  </si>
  <si>
    <t>台北市大安區通化街111號6樓</t>
    <phoneticPr fontId="1" type="noConversion"/>
  </si>
  <si>
    <t>113-02-15</t>
  </si>
  <si>
    <t>R124795707</t>
  </si>
  <si>
    <t>0076010</t>
  </si>
  <si>
    <t>60168114105</t>
  </si>
  <si>
    <t>劉月萍</t>
  </si>
  <si>
    <t>J220804998</t>
  </si>
  <si>
    <t>00613390629114</t>
  </si>
  <si>
    <t>陳奕臻</t>
  </si>
  <si>
    <t>F221559668</t>
  </si>
  <si>
    <t>00019110143701</t>
  </si>
  <si>
    <t>范煜祥</t>
  </si>
  <si>
    <t>A129343610</t>
  </si>
  <si>
    <t>長子</t>
  </si>
  <si>
    <t>范明煌</t>
  </si>
  <si>
    <t>A126022972</t>
  </si>
  <si>
    <t>次子</t>
  </si>
  <si>
    <t>范勻瑄</t>
  </si>
  <si>
    <t>A232119120</t>
  </si>
  <si>
    <t>孫女</t>
  </si>
  <si>
    <t>陳凱雲</t>
  </si>
  <si>
    <t>A224169803</t>
  </si>
  <si>
    <t>0129968207878</t>
  </si>
  <si>
    <t>游惠茹</t>
  </si>
  <si>
    <t>A220230641</t>
  </si>
  <si>
    <t>060536968601</t>
  </si>
  <si>
    <t>鄭麗英</t>
  </si>
  <si>
    <t>A222036221</t>
  </si>
  <si>
    <t>00010100973558</t>
  </si>
  <si>
    <t>王思涵</t>
  </si>
  <si>
    <t>A224335594</t>
  </si>
  <si>
    <t>長女</t>
  </si>
  <si>
    <t>王思淳</t>
  </si>
  <si>
    <t>A225951387</t>
  </si>
  <si>
    <t>參女</t>
  </si>
  <si>
    <t>黃婕凌</t>
  </si>
  <si>
    <t>E227335090</t>
  </si>
  <si>
    <t>張嘉財</t>
  </si>
  <si>
    <t>U120552889</t>
  </si>
  <si>
    <t>624530201959</t>
  </si>
  <si>
    <t>李采庭</t>
  </si>
  <si>
    <t>Q222595399</t>
  </si>
  <si>
    <t>0130187</t>
  </si>
  <si>
    <t>018505511545</t>
  </si>
  <si>
    <t>黃國軒</t>
  </si>
  <si>
    <t>A132510465</t>
  </si>
  <si>
    <t>長男</t>
  </si>
  <si>
    <t>黃唯禎</t>
  </si>
  <si>
    <t>A232090997</t>
  </si>
  <si>
    <t>楊婭鈺</t>
  </si>
  <si>
    <t>C221378035</t>
  </si>
  <si>
    <t>0163979765225</t>
  </si>
  <si>
    <t>張菀倫</t>
  </si>
  <si>
    <t>A228496525</t>
  </si>
  <si>
    <t>0122604</t>
  </si>
  <si>
    <t>360168306764</t>
  </si>
  <si>
    <t>莊志祥</t>
  </si>
  <si>
    <t>A124376940</t>
  </si>
  <si>
    <t>配偶</t>
  </si>
  <si>
    <t>莊雨霏</t>
  </si>
  <si>
    <t>A233002786</t>
  </si>
  <si>
    <t>莊晴嵐</t>
  </si>
  <si>
    <t>A233252713</t>
  </si>
  <si>
    <t>次女</t>
  </si>
  <si>
    <t>劉憓陵</t>
  </si>
  <si>
    <t>H221363413</t>
  </si>
  <si>
    <t>0417968133556</t>
  </si>
  <si>
    <t>秦忠成</t>
  </si>
  <si>
    <t>A120631566</t>
  </si>
  <si>
    <t>00025210200863</t>
  </si>
  <si>
    <t>董乃瑜</t>
  </si>
  <si>
    <t>B221735913</t>
  </si>
  <si>
    <t>00216540295118</t>
  </si>
  <si>
    <t>董南廷</t>
  </si>
  <si>
    <t>B124067321</t>
  </si>
  <si>
    <t>楊林寶鳳</t>
  </si>
  <si>
    <t>G201154220</t>
  </si>
  <si>
    <t>7000021</t>
  </si>
  <si>
    <t>楊正雄</t>
  </si>
  <si>
    <t>Y100268253</t>
  </si>
  <si>
    <t>黃洪菊妹</t>
  </si>
  <si>
    <t>K200057458</t>
  </si>
  <si>
    <t>00010680363558</t>
  </si>
  <si>
    <t>黃德鏜</t>
  </si>
  <si>
    <t>A103136937</t>
  </si>
  <si>
    <t>曾靖婷</t>
  </si>
  <si>
    <t>K222222226</t>
  </si>
  <si>
    <t>00013750605228</t>
  </si>
  <si>
    <t>吳小芳</t>
    <phoneticPr fontId="1" type="noConversion"/>
  </si>
  <si>
    <t>C220168124</t>
    <phoneticPr fontId="1" type="noConversion"/>
  </si>
  <si>
    <t>00014210160833</t>
    <phoneticPr fontId="1" type="noConversion"/>
  </si>
  <si>
    <t>7000021</t>
    <phoneticPr fontId="1" type="noConversion"/>
  </si>
  <si>
    <t>00024580048810</t>
    <phoneticPr fontId="1" type="noConversion"/>
  </si>
  <si>
    <t>余浩東</t>
    <phoneticPr fontId="1" type="noConversion"/>
  </si>
  <si>
    <t>F125954194</t>
    <phoneticPr fontId="1" type="noConversion"/>
  </si>
  <si>
    <t>兒子</t>
    <phoneticPr fontId="1" type="noConversion"/>
  </si>
  <si>
    <t>余培亞</t>
    <phoneticPr fontId="1" type="noConversion"/>
  </si>
  <si>
    <t>F126565280</t>
    <phoneticPr fontId="1" type="noConversion"/>
  </si>
  <si>
    <t>易居A2M10400146</t>
  </si>
  <si>
    <t>易居A2M10400147</t>
  </si>
  <si>
    <t>台北市中山區農安街227巷9弄4號4樓</t>
    <phoneticPr fontId="1" type="noConversion"/>
  </si>
  <si>
    <t>榮興段七小段</t>
    <phoneticPr fontId="1" type="noConversion"/>
  </si>
  <si>
    <t>00216-000</t>
    <phoneticPr fontId="1" type="noConversion"/>
  </si>
  <si>
    <t>全部</t>
    <phoneticPr fontId="1" type="noConversion"/>
  </si>
  <si>
    <t>陳願宗</t>
    <phoneticPr fontId="1" type="noConversion"/>
  </si>
  <si>
    <t>A125703950</t>
    <phoneticPr fontId="1" type="noConversion"/>
  </si>
  <si>
    <t>8222123</t>
    <phoneticPr fontId="1" type="noConversion"/>
  </si>
  <si>
    <t>123540031568</t>
    <phoneticPr fontId="1" type="noConversion"/>
  </si>
  <si>
    <t>新北市板橋區環河西路四段2235號10樓</t>
    <phoneticPr fontId="1" type="noConversion"/>
  </si>
  <si>
    <t>陳明宗</t>
    <phoneticPr fontId="1" type="noConversion"/>
  </si>
  <si>
    <t>A125765003</t>
    <phoneticPr fontId="1" type="noConversion"/>
  </si>
  <si>
    <t>彭秋桂</t>
    <phoneticPr fontId="1" type="noConversion"/>
  </si>
  <si>
    <t>A221331281</t>
    <phoneticPr fontId="1" type="noConversion"/>
  </si>
  <si>
    <t>8222145</t>
    <phoneticPr fontId="1" type="noConversion"/>
  </si>
  <si>
    <t>145540067934</t>
    <phoneticPr fontId="1" type="noConversion"/>
  </si>
  <si>
    <t>0015-0001</t>
    <phoneticPr fontId="1" type="noConversion"/>
  </si>
  <si>
    <t>李淑霞</t>
    <phoneticPr fontId="1" type="noConversion"/>
  </si>
  <si>
    <t>A222613639</t>
    <phoneticPr fontId="1" type="noConversion"/>
  </si>
  <si>
    <t>0130187</t>
    <phoneticPr fontId="1" type="noConversion"/>
  </si>
  <si>
    <t>018505205789</t>
    <phoneticPr fontId="1" type="noConversion"/>
  </si>
  <si>
    <t>新北市三重區永福街179巷24號2樓</t>
    <phoneticPr fontId="1" type="noConversion"/>
  </si>
  <si>
    <t>台北市大同區歸綏街209號4樓之5</t>
    <phoneticPr fontId="1" type="noConversion"/>
  </si>
  <si>
    <t>02473-000</t>
    <phoneticPr fontId="1" type="noConversion"/>
  </si>
  <si>
    <t>0484-0000</t>
    <phoneticPr fontId="1" type="noConversion"/>
  </si>
  <si>
    <t>蕭碧霞</t>
    <phoneticPr fontId="1" type="noConversion"/>
  </si>
  <si>
    <t>U200322823</t>
    <phoneticPr fontId="1" type="noConversion"/>
  </si>
  <si>
    <t>00913110178543</t>
    <phoneticPr fontId="1" type="noConversion"/>
  </si>
  <si>
    <t>臺北市大同區民族西路303巷5弄5號2樓</t>
    <phoneticPr fontId="1" type="noConversion"/>
  </si>
  <si>
    <t>臺北市文山區興隆路四段88號4樓</t>
    <phoneticPr fontId="1" type="noConversion"/>
  </si>
  <si>
    <t>易居A2M10400149</t>
    <phoneticPr fontId="1" type="noConversion"/>
  </si>
  <si>
    <t>易居A2M10400166</t>
    <phoneticPr fontId="1" type="noConversion"/>
  </si>
  <si>
    <t>易居A2M10400171</t>
    <phoneticPr fontId="1" type="noConversion"/>
  </si>
  <si>
    <t>01300-000</t>
    <phoneticPr fontId="1" type="noConversion"/>
  </si>
  <si>
    <t>0591-0000,0592-0000,0593-0000</t>
    <phoneticPr fontId="1" type="noConversion"/>
  </si>
  <si>
    <t>陳泓誠</t>
    <phoneticPr fontId="1" type="noConversion"/>
  </si>
  <si>
    <t>F123352638</t>
    <phoneticPr fontId="1" type="noConversion"/>
  </si>
  <si>
    <t>0060109</t>
    <phoneticPr fontId="1" type="noConversion"/>
  </si>
  <si>
    <t>0100765789642</t>
    <phoneticPr fontId="1" type="noConversion"/>
  </si>
  <si>
    <t>新北市三重區自強路二段78號</t>
    <phoneticPr fontId="1" type="noConversion"/>
  </si>
  <si>
    <t>李睿凌</t>
    <phoneticPr fontId="1" type="noConversion"/>
  </si>
  <si>
    <t>A226336633</t>
    <phoneticPr fontId="1" type="noConversion"/>
  </si>
  <si>
    <t>0130659</t>
    <phoneticPr fontId="1" type="noConversion"/>
  </si>
  <si>
    <t>065506103953</t>
    <phoneticPr fontId="1" type="noConversion"/>
  </si>
  <si>
    <t>丈夫</t>
    <phoneticPr fontId="1" type="noConversion"/>
  </si>
  <si>
    <t>林建傑</t>
    <phoneticPr fontId="1" type="noConversion"/>
  </si>
  <si>
    <t>A126014023</t>
    <phoneticPr fontId="1" type="noConversion"/>
  </si>
  <si>
    <t>母親</t>
    <phoneticPr fontId="1" type="noConversion"/>
  </si>
  <si>
    <t>黃淑慈</t>
    <phoneticPr fontId="1" type="noConversion"/>
  </si>
  <si>
    <t>F220491345</t>
    <phoneticPr fontId="1" type="noConversion"/>
  </si>
  <si>
    <t>女兒</t>
    <phoneticPr fontId="1" type="noConversion"/>
  </si>
  <si>
    <t>林芊愷</t>
    <phoneticPr fontId="1" type="noConversion"/>
  </si>
  <si>
    <t>A233056088</t>
    <phoneticPr fontId="1" type="noConversion"/>
  </si>
  <si>
    <t>0017-0000,0018-0000</t>
    <phoneticPr fontId="1" type="noConversion"/>
  </si>
  <si>
    <t>00430-000</t>
    <phoneticPr fontId="1" type="noConversion"/>
  </si>
  <si>
    <t>李昆山</t>
    <phoneticPr fontId="1" type="noConversion"/>
  </si>
  <si>
    <t>K120321091</t>
    <phoneticPr fontId="1" type="noConversion"/>
  </si>
  <si>
    <t>00027039003352</t>
    <phoneticPr fontId="1" type="noConversion"/>
  </si>
  <si>
    <t>新北市新店區三民路117巷8弄8號1樓</t>
    <phoneticPr fontId="1" type="noConversion"/>
  </si>
  <si>
    <t>李玉如</t>
    <phoneticPr fontId="1" type="noConversion"/>
  </si>
  <si>
    <t>A222772713</t>
    <phoneticPr fontId="1" type="noConversion"/>
  </si>
  <si>
    <t>0060936</t>
    <phoneticPr fontId="1" type="noConversion"/>
  </si>
  <si>
    <t>0936872076226</t>
    <phoneticPr fontId="1" type="noConversion"/>
  </si>
  <si>
    <t>30740-000</t>
    <phoneticPr fontId="1" type="noConversion"/>
  </si>
  <si>
    <t>0430-0000</t>
    <phoneticPr fontId="1" type="noConversion"/>
  </si>
  <si>
    <t>謝介俊</t>
    <phoneticPr fontId="1" type="noConversion"/>
  </si>
  <si>
    <t>Q122055441</t>
    <phoneticPr fontId="1" type="noConversion"/>
  </si>
  <si>
    <t>1080014</t>
    <phoneticPr fontId="1" type="noConversion"/>
  </si>
  <si>
    <t>001010314231</t>
    <phoneticPr fontId="1" type="noConversion"/>
  </si>
  <si>
    <t>臺北市士林區重慶北路四段81號6樓之4</t>
    <phoneticPr fontId="1" type="noConversion"/>
  </si>
  <si>
    <t>陳姵邑</t>
    <phoneticPr fontId="1" type="noConversion"/>
  </si>
  <si>
    <t>A222240323</t>
    <phoneticPr fontId="1" type="noConversion"/>
  </si>
  <si>
    <t>00011140527957</t>
    <phoneticPr fontId="1" type="noConversion"/>
  </si>
  <si>
    <t>113-05-15</t>
  </si>
  <si>
    <t>113-05-15</t>
    <phoneticPr fontId="1" type="noConversion"/>
  </si>
  <si>
    <t>文昌段二小段</t>
    <phoneticPr fontId="1" type="noConversion"/>
  </si>
  <si>
    <t>實踐段二小段</t>
    <phoneticPr fontId="1" type="noConversion"/>
  </si>
  <si>
    <t>福順段三小段</t>
    <phoneticPr fontId="1" type="noConversion"/>
  </si>
  <si>
    <t>易居A2M10400176</t>
    <phoneticPr fontId="1" type="noConversion"/>
  </si>
  <si>
    <t>臺北市大同區長安西路287號11樓之15</t>
    <phoneticPr fontId="1" type="noConversion"/>
  </si>
  <si>
    <t>0389-0000</t>
    <phoneticPr fontId="1" type="noConversion"/>
  </si>
  <si>
    <t>玉泉段二小段</t>
    <phoneticPr fontId="1" type="noConversion"/>
  </si>
  <si>
    <t>王裕貿</t>
    <phoneticPr fontId="1" type="noConversion"/>
  </si>
  <si>
    <t>A125721485</t>
    <phoneticPr fontId="1" type="noConversion"/>
  </si>
  <si>
    <t>0130420</t>
    <phoneticPr fontId="1" type="noConversion"/>
  </si>
  <si>
    <t>042508157449</t>
    <phoneticPr fontId="1" type="noConversion"/>
  </si>
  <si>
    <t>臺中市西區樂群街270號九樓之1</t>
    <phoneticPr fontId="1" type="noConversion"/>
  </si>
  <si>
    <t>林渝庭</t>
    <phoneticPr fontId="1" type="noConversion"/>
  </si>
  <si>
    <t>E224570024</t>
    <phoneticPr fontId="1" type="noConversion"/>
  </si>
  <si>
    <t>8220303</t>
    <phoneticPr fontId="1" type="noConversion"/>
  </si>
  <si>
    <t>303540376522</t>
    <phoneticPr fontId="1" type="noConversion"/>
  </si>
  <si>
    <t>113-04-30</t>
  </si>
  <si>
    <t>易居A2M10400182</t>
    <phoneticPr fontId="1" type="noConversion"/>
  </si>
  <si>
    <t>113-05-31</t>
    <phoneticPr fontId="1" type="noConversion"/>
  </si>
  <si>
    <t>臺北市北投區永興路二段33巷12弄19號2樓</t>
    <phoneticPr fontId="1" type="noConversion"/>
  </si>
  <si>
    <t>開明段一小段</t>
    <phoneticPr fontId="1" type="noConversion"/>
  </si>
  <si>
    <t>0738-0000</t>
    <phoneticPr fontId="1" type="noConversion"/>
  </si>
  <si>
    <t>10752-000</t>
    <phoneticPr fontId="1" type="noConversion"/>
  </si>
  <si>
    <t>02911-000</t>
    <phoneticPr fontId="1" type="noConversion"/>
  </si>
  <si>
    <t>游慈忠</t>
    <phoneticPr fontId="1" type="noConversion"/>
  </si>
  <si>
    <t>G121468956</t>
    <phoneticPr fontId="1" type="noConversion"/>
  </si>
  <si>
    <t>00740168914818</t>
    <phoneticPr fontId="1" type="noConversion"/>
  </si>
  <si>
    <t>0127406</t>
    <phoneticPr fontId="1" type="noConversion"/>
  </si>
  <si>
    <t>吳美緻</t>
    <phoneticPr fontId="1" type="noConversion"/>
  </si>
  <si>
    <t>P220822230</t>
    <phoneticPr fontId="1" type="noConversion"/>
  </si>
  <si>
    <t>20861000152206</t>
    <phoneticPr fontId="1" type="noConversion"/>
  </si>
  <si>
    <t>8120861</t>
    <phoneticPr fontId="1" type="noConversion"/>
  </si>
  <si>
    <t>易居A2M10400186</t>
    <phoneticPr fontId="1" type="noConversion"/>
  </si>
  <si>
    <t>華中段二小段</t>
    <phoneticPr fontId="1" type="noConversion"/>
  </si>
  <si>
    <t>0856-0000</t>
    <phoneticPr fontId="1" type="noConversion"/>
  </si>
  <si>
    <t>01847-000</t>
    <phoneticPr fontId="1" type="noConversion"/>
  </si>
  <si>
    <t>臺北市萬華區長泰街290號2樓</t>
    <phoneticPr fontId="1" type="noConversion"/>
  </si>
  <si>
    <t>謝昕倫</t>
    <phoneticPr fontId="1" type="noConversion"/>
  </si>
  <si>
    <t>F221904458</t>
    <phoneticPr fontId="1" type="noConversion"/>
  </si>
  <si>
    <t>0065355</t>
    <phoneticPr fontId="1" type="noConversion"/>
  </si>
  <si>
    <t>5355765311421</t>
    <phoneticPr fontId="1" type="noConversion"/>
  </si>
  <si>
    <t xml:space="preserve"> 新北市中和區景新街328號10樓之1</t>
    <phoneticPr fontId="1" type="noConversion"/>
  </si>
  <si>
    <t>黃亮文</t>
    <phoneticPr fontId="1" type="noConversion"/>
  </si>
  <si>
    <t>A103623319</t>
    <phoneticPr fontId="1" type="noConversion"/>
  </si>
  <si>
    <t>00013131283321</t>
    <phoneticPr fontId="1" type="noConversion"/>
  </si>
  <si>
    <t>洪秀蘭</t>
    <phoneticPr fontId="1" type="noConversion"/>
  </si>
  <si>
    <t>配偶</t>
    <phoneticPr fontId="1" type="noConversion"/>
  </si>
  <si>
    <t>F202337697</t>
    <phoneticPr fontId="1" type="noConversion"/>
  </si>
  <si>
    <t>黃仕杰</t>
    <phoneticPr fontId="1" type="noConversion"/>
  </si>
  <si>
    <t>A127294847</t>
    <phoneticPr fontId="1" type="noConversion"/>
  </si>
  <si>
    <t>易居A2M10400187</t>
  </si>
  <si>
    <t>臺北市內湖區康樂街61巷79弄2號2樓</t>
    <phoneticPr fontId="1" type="noConversion"/>
  </si>
  <si>
    <t>東湖段一小段</t>
    <phoneticPr fontId="1" type="noConversion"/>
  </si>
  <si>
    <t>0002-0000</t>
    <phoneticPr fontId="1" type="noConversion"/>
  </si>
  <si>
    <t>01451-000</t>
    <phoneticPr fontId="1" type="noConversion"/>
  </si>
  <si>
    <t>劉文啓</t>
    <phoneticPr fontId="1" type="noConversion"/>
  </si>
  <si>
    <t>K121332150</t>
    <phoneticPr fontId="1" type="noConversion"/>
  </si>
  <si>
    <t>23710601117</t>
    <phoneticPr fontId="1" type="noConversion"/>
  </si>
  <si>
    <t>0172370</t>
    <phoneticPr fontId="1" type="noConversion"/>
  </si>
  <si>
    <t>臺北市中正區臨沂街75巷2之3號2樓之1</t>
    <phoneticPr fontId="1" type="noConversion"/>
  </si>
  <si>
    <t>李香君</t>
    <phoneticPr fontId="1" type="noConversion"/>
  </si>
  <si>
    <t>A226122675</t>
    <phoneticPr fontId="1" type="noConversion"/>
  </si>
  <si>
    <t>00026740169968</t>
    <phoneticPr fontId="1" type="noConversion"/>
  </si>
  <si>
    <t>張棕傑</t>
    <phoneticPr fontId="1" type="noConversion"/>
  </si>
  <si>
    <t>K121909928</t>
    <phoneticPr fontId="1" type="noConversion"/>
  </si>
  <si>
    <t>F135495657</t>
    <phoneticPr fontId="1" type="noConversion"/>
  </si>
  <si>
    <t>李閔浩</t>
    <phoneticPr fontId="1" type="noConversion"/>
  </si>
  <si>
    <t>李茹閑</t>
    <phoneticPr fontId="1" type="noConversion"/>
  </si>
  <si>
    <t>F234870550</t>
    <phoneticPr fontId="1" type="noConversion"/>
  </si>
  <si>
    <t>113-06-14</t>
    <phoneticPr fontId="1" type="noConversion"/>
  </si>
  <si>
    <t>易居A2M10400206</t>
  </si>
  <si>
    <t>海光段三小段</t>
    <phoneticPr fontId="1" type="noConversion"/>
  </si>
  <si>
    <t>31026-000</t>
  </si>
  <si>
    <t>0409-0000</t>
    <phoneticPr fontId="1" type="noConversion"/>
  </si>
  <si>
    <t>陳福海</t>
    <phoneticPr fontId="1" type="noConversion"/>
  </si>
  <si>
    <t>Y100160341</t>
    <phoneticPr fontId="1" type="noConversion"/>
  </si>
  <si>
    <t>008010082030</t>
    <phoneticPr fontId="1" type="noConversion"/>
  </si>
  <si>
    <t>1080041</t>
    <phoneticPr fontId="1" type="noConversion"/>
  </si>
  <si>
    <t>臺北市士林區延平北路5段245巷2號2樓</t>
    <phoneticPr fontId="1" type="noConversion"/>
  </si>
  <si>
    <t>郭連福</t>
    <phoneticPr fontId="1" type="noConversion"/>
  </si>
  <si>
    <t>臺北市士林區葫蘆街29巷36號</t>
    <phoneticPr fontId="1" type="noConversion"/>
  </si>
  <si>
    <t>A103677737</t>
    <phoneticPr fontId="1" type="noConversion"/>
  </si>
  <si>
    <t>00014210961732</t>
    <phoneticPr fontId="1" type="noConversion"/>
  </si>
  <si>
    <t>張麗春</t>
    <phoneticPr fontId="1" type="noConversion"/>
  </si>
  <si>
    <t>F201400708</t>
    <phoneticPr fontId="1" type="noConversion"/>
  </si>
  <si>
    <t>妻子</t>
    <phoneticPr fontId="1" type="noConversion"/>
  </si>
  <si>
    <t>113-06-14</t>
  </si>
  <si>
    <t>113-06-28</t>
    <phoneticPr fontId="1" type="noConversion"/>
  </si>
  <si>
    <t>易居A2M10400220</t>
    <phoneticPr fontId="1" type="noConversion"/>
  </si>
  <si>
    <t>易居A2M10400221</t>
  </si>
  <si>
    <t>易居A2M10400222</t>
  </si>
  <si>
    <t>易居A2M10400223</t>
  </si>
  <si>
    <t>陽明段三小段</t>
    <phoneticPr fontId="1" type="noConversion"/>
  </si>
  <si>
    <t>福德段一小段</t>
    <phoneticPr fontId="1" type="noConversion"/>
  </si>
  <si>
    <t>直興段一小段</t>
    <phoneticPr fontId="1" type="noConversion"/>
  </si>
  <si>
    <t>30569-000</t>
  </si>
  <si>
    <t>02811-000</t>
  </si>
  <si>
    <t>00958-000</t>
  </si>
  <si>
    <t>01588-000</t>
  </si>
  <si>
    <t>113-07-15</t>
    <phoneticPr fontId="1" type="noConversion"/>
  </si>
  <si>
    <t>臺北市士林區文林路587巷9弄9號</t>
    <phoneticPr fontId="1" type="noConversion"/>
  </si>
  <si>
    <t>臺北市信義區中坡南路22巷12號4樓</t>
    <phoneticPr fontId="1" type="noConversion"/>
  </si>
  <si>
    <t>臺北市內湖區行善路25巷1弄2號5樓</t>
    <phoneticPr fontId="1" type="noConversion"/>
  </si>
  <si>
    <t>臺北市萬華區成都路108號8樓之2</t>
    <phoneticPr fontId="1" type="noConversion"/>
  </si>
  <si>
    <t>0038-0000</t>
    <phoneticPr fontId="1" type="noConversion"/>
  </si>
  <si>
    <t>0165-0000</t>
    <phoneticPr fontId="1" type="noConversion"/>
  </si>
  <si>
    <t>0113-0000</t>
    <phoneticPr fontId="1" type="noConversion"/>
  </si>
  <si>
    <t>0131-0000</t>
    <phoneticPr fontId="1" type="noConversion"/>
  </si>
  <si>
    <t>駱文卿</t>
    <phoneticPr fontId="1" type="noConversion"/>
  </si>
  <si>
    <t>徐悅哲</t>
    <phoneticPr fontId="1" type="noConversion"/>
  </si>
  <si>
    <t>00017730601092</t>
    <phoneticPr fontId="1" type="noConversion"/>
  </si>
  <si>
    <t>28168208676</t>
    <phoneticPr fontId="1" type="noConversion"/>
  </si>
  <si>
    <t>0072816</t>
    <phoneticPr fontId="1" type="noConversion"/>
  </si>
  <si>
    <t>0331765252551</t>
    <phoneticPr fontId="1" type="noConversion"/>
  </si>
  <si>
    <t>0061298</t>
    <phoneticPr fontId="1" type="noConversion"/>
  </si>
  <si>
    <t>蔡麗香</t>
    <phoneticPr fontId="1" type="noConversion"/>
  </si>
  <si>
    <t>00810110520945</t>
    <phoneticPr fontId="1" type="noConversion"/>
  </si>
  <si>
    <t>葉錫昇</t>
    <phoneticPr fontId="1" type="noConversion"/>
  </si>
  <si>
    <t>N120601087</t>
    <phoneticPr fontId="1" type="noConversion"/>
  </si>
  <si>
    <t>20911000088628</t>
    <phoneticPr fontId="1" type="noConversion"/>
  </si>
  <si>
    <t>臺北市萬華區德昌街262號7樓</t>
    <phoneticPr fontId="1" type="noConversion"/>
  </si>
  <si>
    <t>8120919</t>
    <phoneticPr fontId="1" type="noConversion"/>
  </si>
  <si>
    <t>00168105745010</t>
    <phoneticPr fontId="1" type="noConversion"/>
  </si>
  <si>
    <t>8061353</t>
    <phoneticPr fontId="1" type="noConversion"/>
  </si>
  <si>
    <t>臺北市松山區延壽街432號5樓</t>
    <phoneticPr fontId="1" type="noConversion"/>
  </si>
  <si>
    <t>5355765339716</t>
    <phoneticPr fontId="1" type="noConversion"/>
  </si>
  <si>
    <t>新北市新店區寶橋路78巷9號17樓</t>
    <phoneticPr fontId="1" type="noConversion"/>
  </si>
  <si>
    <t>010005451677</t>
    <phoneticPr fontId="1" type="noConversion"/>
  </si>
  <si>
    <t>臺北市士林區文林路587巷9弄9號3樓</t>
    <phoneticPr fontId="1" type="noConversion"/>
  </si>
  <si>
    <t>0050108</t>
    <phoneticPr fontId="1" type="noConversion"/>
  </si>
  <si>
    <t>蔡志鏗</t>
    <phoneticPr fontId="1" type="noConversion"/>
  </si>
  <si>
    <t>N121448931</t>
    <phoneticPr fontId="1" type="noConversion"/>
  </si>
  <si>
    <t>呂寶玉</t>
    <phoneticPr fontId="1" type="noConversion"/>
  </si>
  <si>
    <t>Q221286275</t>
    <phoneticPr fontId="1" type="noConversion"/>
  </si>
  <si>
    <t>賴秀明</t>
    <phoneticPr fontId="1" type="noConversion"/>
  </si>
  <si>
    <t>L120208388</t>
    <phoneticPr fontId="1" type="noConversion"/>
  </si>
  <si>
    <t>李逸峰</t>
    <phoneticPr fontId="1" type="noConversion"/>
  </si>
  <si>
    <t>P121264187</t>
    <phoneticPr fontId="1" type="noConversion"/>
  </si>
  <si>
    <t>魏浩倫</t>
    <phoneticPr fontId="1" type="noConversion"/>
  </si>
  <si>
    <t>H123810879</t>
    <phoneticPr fontId="1" type="noConversion"/>
  </si>
  <si>
    <t>舊宗段</t>
    <phoneticPr fontId="1" type="noConversion"/>
  </si>
  <si>
    <t>A121289842</t>
    <phoneticPr fontId="1" type="noConversion"/>
  </si>
  <si>
    <t>朱榮康</t>
    <phoneticPr fontId="1" type="noConversion"/>
  </si>
  <si>
    <t>E101471875</t>
    <phoneticPr fontId="1" type="noConversion"/>
  </si>
  <si>
    <t>A222250623</t>
    <phoneticPr fontId="1" type="noConversion"/>
  </si>
  <si>
    <t>A126950695</t>
    <phoneticPr fontId="1" type="noConversion"/>
  </si>
  <si>
    <t>許雀蘭</t>
    <phoneticPr fontId="1" type="noConversion"/>
  </si>
  <si>
    <t>N220571586</t>
    <phoneticPr fontId="1" type="noConversion"/>
  </si>
  <si>
    <t>中止租約</t>
    <phoneticPr fontId="1" type="noConversion"/>
  </si>
  <si>
    <t>-</t>
    <phoneticPr fontId="1" type="noConversion"/>
  </si>
  <si>
    <t>-</t>
    <phoneticPr fontId="1" type="noConversion"/>
  </si>
  <si>
    <t>李奕宏</t>
    <phoneticPr fontId="1" type="noConversion"/>
  </si>
  <si>
    <t>113-07-31</t>
    <phoneticPr fontId="1" type="noConversion"/>
  </si>
  <si>
    <t>易居A2M30400102</t>
    <phoneticPr fontId="1" type="noConversion"/>
  </si>
  <si>
    <t>全部</t>
    <phoneticPr fontId="1" type="noConversion"/>
  </si>
  <si>
    <t>臺北市萬華區成都路81號10樓之14</t>
    <phoneticPr fontId="1" type="noConversion"/>
  </si>
  <si>
    <t>福星段</t>
  </si>
  <si>
    <t>02499-000</t>
  </si>
  <si>
    <t>113/06/05</t>
  </si>
  <si>
    <t>113/06/05</t>
    <phoneticPr fontId="1" type="noConversion"/>
  </si>
  <si>
    <t>114/06/04</t>
    <phoneticPr fontId="1" type="noConversion"/>
  </si>
  <si>
    <t>116/06/04</t>
    <phoneticPr fontId="1" type="noConversion"/>
  </si>
  <si>
    <t xml:space="preserve"> 0577-0000</t>
    <phoneticPr fontId="1" type="noConversion"/>
  </si>
  <si>
    <t>113-07-31</t>
    <phoneticPr fontId="1" type="noConversion"/>
  </si>
  <si>
    <t>許裕昌</t>
    <phoneticPr fontId="1" type="noConversion"/>
  </si>
  <si>
    <t>P120068912</t>
    <phoneticPr fontId="1" type="noConversion"/>
  </si>
  <si>
    <t>00013270402720</t>
    <phoneticPr fontId="1" type="noConversion"/>
  </si>
  <si>
    <t>臺北市大安區和平東路二段311巷43弄7號15樓</t>
    <phoneticPr fontId="1" type="noConversion"/>
  </si>
  <si>
    <t>周品妍</t>
    <phoneticPr fontId="1" type="noConversion"/>
  </si>
  <si>
    <t>F230132291</t>
    <phoneticPr fontId="1" type="noConversion"/>
  </si>
  <si>
    <t>24410900014196</t>
    <phoneticPr fontId="1" type="noConversion"/>
  </si>
  <si>
    <t>易居A2M10400251</t>
  </si>
  <si>
    <t>大龍段三小段</t>
    <phoneticPr fontId="1" type="noConversion"/>
  </si>
  <si>
    <t>01823-000</t>
  </si>
  <si>
    <t>台北市大同區重慶北路三段243巷29號4樓</t>
    <phoneticPr fontId="1" type="noConversion"/>
  </si>
  <si>
    <t>0518-0000</t>
    <phoneticPr fontId="1" type="noConversion"/>
  </si>
  <si>
    <t>113-07-31</t>
    <phoneticPr fontId="1" type="noConversion"/>
  </si>
  <si>
    <t>趙秀英</t>
  </si>
  <si>
    <t>F290198420</t>
  </si>
  <si>
    <t>A131051967</t>
  </si>
  <si>
    <t>8030010</t>
    <phoneticPr fontId="1" type="noConversion"/>
  </si>
  <si>
    <t>001501016758</t>
    <phoneticPr fontId="1" type="noConversion"/>
  </si>
  <si>
    <t>臺北市大同區重慶北路三段243巷29號4樓</t>
    <phoneticPr fontId="1" type="noConversion"/>
  </si>
  <si>
    <t>0969765935840</t>
    <phoneticPr fontId="1" type="noConversion"/>
  </si>
  <si>
    <t>0060969</t>
    <phoneticPr fontId="1" type="noConversion"/>
  </si>
  <si>
    <t>黃蓉郁</t>
    <phoneticPr fontId="1" type="noConversion"/>
  </si>
  <si>
    <t>G220094829</t>
    <phoneticPr fontId="1" type="noConversion"/>
  </si>
  <si>
    <t>母親</t>
    <phoneticPr fontId="1" type="noConversion"/>
  </si>
  <si>
    <t>高博崇</t>
    <phoneticPr fontId="1" type="noConversion"/>
  </si>
  <si>
    <t>113-07-31</t>
    <phoneticPr fontId="1" type="noConversion"/>
  </si>
  <si>
    <t>易居A2M10400255</t>
    <phoneticPr fontId="1" type="noConversion"/>
  </si>
  <si>
    <t>易居A2M10400266</t>
    <phoneticPr fontId="1" type="noConversion"/>
  </si>
  <si>
    <t>臺北市北投區中山路47號5樓之12</t>
    <phoneticPr fontId="1" type="noConversion"/>
  </si>
  <si>
    <t>新民段一小段</t>
    <phoneticPr fontId="1" type="noConversion"/>
  </si>
  <si>
    <t>10993-000</t>
  </si>
  <si>
    <t>21548-000</t>
  </si>
  <si>
    <t>張芳生</t>
  </si>
  <si>
    <t>B120871356</t>
  </si>
  <si>
    <t>葉庭吟</t>
  </si>
  <si>
    <t>S224287258</t>
  </si>
  <si>
    <t>S123441005</t>
  </si>
  <si>
    <t>N123108476</t>
  </si>
  <si>
    <t>葉少強</t>
    <phoneticPr fontId="1" type="noConversion"/>
  </si>
  <si>
    <t>施仟龍</t>
    <phoneticPr fontId="1" type="noConversion"/>
  </si>
  <si>
    <t>0069-0000</t>
    <phoneticPr fontId="1" type="noConversion"/>
  </si>
  <si>
    <t>0387-0000</t>
    <phoneticPr fontId="1" type="noConversion"/>
  </si>
  <si>
    <t>臺北市北投區稻香路229號4樓</t>
    <phoneticPr fontId="1" type="noConversion"/>
  </si>
  <si>
    <t>1056979057693</t>
    <phoneticPr fontId="1" type="noConversion"/>
  </si>
  <si>
    <t>8081056</t>
    <phoneticPr fontId="1" type="noConversion"/>
  </si>
  <si>
    <t>臺北市松山區八德路四段758號4樓</t>
    <phoneticPr fontId="1" type="noConversion"/>
  </si>
  <si>
    <t>1030949</t>
    <phoneticPr fontId="1" type="noConversion"/>
  </si>
  <si>
    <t>0949500103895</t>
    <phoneticPr fontId="1" type="noConversion"/>
  </si>
  <si>
    <t>81680002022911</t>
    <phoneticPr fontId="1" type="noConversion"/>
  </si>
  <si>
    <t>0123604</t>
    <phoneticPr fontId="1" type="noConversion"/>
  </si>
  <si>
    <t>葉秋煌</t>
    <phoneticPr fontId="1" type="noConversion"/>
  </si>
  <si>
    <t>R103097206</t>
    <phoneticPr fontId="1" type="noConversion"/>
  </si>
  <si>
    <t>鄭蓉</t>
    <phoneticPr fontId="1" type="noConversion"/>
  </si>
  <si>
    <t>R290011383</t>
    <phoneticPr fontId="1" type="noConversion"/>
  </si>
  <si>
    <t>父親</t>
    <phoneticPr fontId="1" type="noConversion"/>
  </si>
  <si>
    <t>185540132324</t>
    <phoneticPr fontId="1" type="noConversion"/>
  </si>
  <si>
    <t>8220185</t>
    <phoneticPr fontId="1" type="noConversion"/>
  </si>
  <si>
    <t>伍珮婕</t>
    <phoneticPr fontId="1" type="noConversion"/>
  </si>
  <si>
    <t>T223109443</t>
    <phoneticPr fontId="1" type="noConversion"/>
  </si>
  <si>
    <t>施向擎</t>
    <phoneticPr fontId="1" type="noConversion"/>
  </si>
  <si>
    <t>A133140556</t>
    <phoneticPr fontId="1" type="noConversion"/>
  </si>
  <si>
    <t>施采媛</t>
    <phoneticPr fontId="1" type="noConversion"/>
  </si>
  <si>
    <t>A233169955</t>
    <phoneticPr fontId="1" type="noConversion"/>
  </si>
  <si>
    <t>終止租約</t>
    <phoneticPr fontId="1" type="noConversion"/>
  </si>
  <si>
    <t>易居A2M10400007-1</t>
    <phoneticPr fontId="1" type="noConversion"/>
  </si>
  <si>
    <t>113-09-20</t>
  </si>
  <si>
    <t>113-09-20</t>
    <phoneticPr fontId="1" type="noConversion"/>
  </si>
  <si>
    <t>蘇光勇</t>
    <phoneticPr fontId="1" type="noConversion"/>
  </si>
  <si>
    <t>J101848647</t>
    <phoneticPr fontId="1" type="noConversion"/>
  </si>
  <si>
    <t>易居A2M10400276</t>
    <phoneticPr fontId="1" type="noConversion"/>
  </si>
  <si>
    <t>0769-0001，0770-0000</t>
    <phoneticPr fontId="1" type="noConversion"/>
  </si>
  <si>
    <t>01113-000</t>
    <phoneticPr fontId="1" type="noConversion"/>
  </si>
  <si>
    <t>南港段二小段</t>
    <phoneticPr fontId="1" type="noConversion"/>
  </si>
  <si>
    <t>1180774</t>
    <phoneticPr fontId="1" type="noConversion"/>
  </si>
  <si>
    <t>林柏宇</t>
  </si>
  <si>
    <t>R124821195</t>
  </si>
  <si>
    <t>699513804664</t>
  </si>
  <si>
    <t>0131036</t>
    <phoneticPr fontId="1" type="noConversion"/>
  </si>
  <si>
    <t>林忠興</t>
  </si>
  <si>
    <t>R122203475</t>
  </si>
  <si>
    <t>父親</t>
  </si>
  <si>
    <t>蔣雪娟</t>
  </si>
  <si>
    <t>R222084230</t>
  </si>
  <si>
    <t>母親</t>
  </si>
  <si>
    <t>林陳鳳英</t>
  </si>
  <si>
    <t>R202688581</t>
  </si>
  <si>
    <t>祖母</t>
    <phoneticPr fontId="1" type="noConversion"/>
  </si>
  <si>
    <t>易居A2M10400011-1</t>
    <phoneticPr fontId="1" type="noConversion"/>
  </si>
  <si>
    <t>易居A2M10400014-1</t>
    <phoneticPr fontId="1" type="noConversion"/>
  </si>
  <si>
    <t>113-10-20</t>
    <phoneticPr fontId="1" type="noConversion"/>
  </si>
  <si>
    <t>易居A2M10400293</t>
    <phoneticPr fontId="1" type="noConversion"/>
  </si>
  <si>
    <t>易居A2M10400297</t>
  </si>
  <si>
    <t>李進興</t>
  </si>
  <si>
    <t>Y120298177</t>
  </si>
  <si>
    <t>張翔瑞</t>
  </si>
  <si>
    <t>F126740130</t>
  </si>
  <si>
    <t>楊志祥</t>
  </si>
  <si>
    <t>W100280072</t>
  </si>
  <si>
    <t>顏嘉岑</t>
  </si>
  <si>
    <t>A127312153</t>
  </si>
  <si>
    <t>臺北市士林區至善路三段101號</t>
  </si>
  <si>
    <t>臺北市萬華區寶興街140巷5號4樓之2</t>
  </si>
  <si>
    <t>至善段一小段</t>
    <phoneticPr fontId="1" type="noConversion"/>
  </si>
  <si>
    <t>0330-0000</t>
    <phoneticPr fontId="1" type="noConversion"/>
  </si>
  <si>
    <t>10059-000</t>
    <phoneticPr fontId="1" type="noConversion"/>
  </si>
  <si>
    <t>雙園段三小段</t>
    <phoneticPr fontId="1" type="noConversion"/>
  </si>
  <si>
    <t>0888-0000</t>
    <phoneticPr fontId="1" type="noConversion"/>
  </si>
  <si>
    <t>02551-000</t>
    <phoneticPr fontId="1" type="noConversion"/>
  </si>
  <si>
    <t>116005179741</t>
  </si>
  <si>
    <t>0051161</t>
    <phoneticPr fontId="1" type="noConversion"/>
  </si>
  <si>
    <t>新北市樹林區俊英街189號5樓</t>
  </si>
  <si>
    <t>00012841016102</t>
  </si>
  <si>
    <t>臺北市士林區至善路三段275號</t>
  </si>
  <si>
    <t>153004710413</t>
  </si>
  <si>
    <t>0041539</t>
    <phoneticPr fontId="1" type="noConversion"/>
  </si>
  <si>
    <t>0132181</t>
    <phoneticPr fontId="1" type="noConversion"/>
  </si>
  <si>
    <t>218506127497</t>
  </si>
  <si>
    <t>翁宜</t>
    <phoneticPr fontId="1" type="noConversion"/>
  </si>
  <si>
    <t>A980038372</t>
  </si>
  <si>
    <t>易居A2M10400300</t>
  </si>
  <si>
    <t>易居A2M10400301</t>
  </si>
  <si>
    <t>臺北市大安區忠孝東路四段49巷4弄16號4樓之2</t>
  </si>
  <si>
    <t>臺北市萬華區環河南路二段280巷18號3樓</t>
  </si>
  <si>
    <t>黃怡貞</t>
  </si>
  <si>
    <t>P222578100</t>
  </si>
  <si>
    <t>柯俊龍</t>
  </si>
  <si>
    <t>A121769710</t>
  </si>
  <si>
    <t>王馨茌</t>
  </si>
  <si>
    <t>F226881227</t>
  </si>
  <si>
    <t>柯彥祥</t>
  </si>
  <si>
    <t>A130794712</t>
  </si>
  <si>
    <t>易居A2M10400013-1</t>
    <phoneticPr fontId="1" type="noConversion"/>
  </si>
  <si>
    <t>03079-000</t>
  </si>
  <si>
    <t>01620-000</t>
  </si>
  <si>
    <t>復興段一小段</t>
    <phoneticPr fontId="1" type="noConversion"/>
  </si>
  <si>
    <t>華江段二小段</t>
    <phoneticPr fontId="1" type="noConversion"/>
  </si>
  <si>
    <t>0454-0000</t>
    <phoneticPr fontId="1" type="noConversion"/>
  </si>
  <si>
    <t>0218-0000</t>
    <phoneticPr fontId="1" type="noConversion"/>
  </si>
  <si>
    <t>00731168208760</t>
  </si>
  <si>
    <t>黃雅智</t>
  </si>
  <si>
    <t>F224793886</t>
  </si>
  <si>
    <t>0127314</t>
    <phoneticPr fontId="1" type="noConversion"/>
  </si>
  <si>
    <t>臺北市中正區仁愛路二段25號5樓</t>
  </si>
  <si>
    <t>079506111647</t>
  </si>
  <si>
    <t>0130796</t>
    <phoneticPr fontId="1" type="noConversion"/>
  </si>
  <si>
    <t>00017910479096</t>
  </si>
  <si>
    <t>妻子</t>
  </si>
  <si>
    <t>吳悅蓉</t>
  </si>
  <si>
    <t>F231094861</t>
  </si>
  <si>
    <t>柯俊旭</t>
  </si>
  <si>
    <t>N122501437</t>
  </si>
  <si>
    <t>李素芬</t>
  </si>
  <si>
    <t>A220404749</t>
  </si>
  <si>
    <t>0754501113797</t>
  </si>
  <si>
    <t>1030754</t>
    <phoneticPr fontId="1" type="noConversion"/>
  </si>
  <si>
    <t>易居A2M10400302</t>
  </si>
  <si>
    <t>臺北市文山區景興路227號4樓</t>
  </si>
  <si>
    <t>景美段四小段</t>
    <phoneticPr fontId="1" type="noConversion"/>
  </si>
  <si>
    <t>02529-000</t>
  </si>
  <si>
    <t>0257-0000</t>
  </si>
  <si>
    <t>潘偉廉</t>
  </si>
  <si>
    <t>A104347970</t>
  </si>
  <si>
    <t>20102061696</t>
  </si>
  <si>
    <t>0172015</t>
    <phoneticPr fontId="1" type="noConversion"/>
  </si>
  <si>
    <t>新北市新店區中央路173號5樓</t>
  </si>
  <si>
    <t>宋承諭</t>
  </si>
  <si>
    <t>A129144180</t>
  </si>
  <si>
    <t>8223120</t>
    <phoneticPr fontId="1" type="noConversion"/>
  </si>
  <si>
    <t>120540125613</t>
  </si>
  <si>
    <t>里見奈央</t>
  </si>
  <si>
    <t>A900065679</t>
  </si>
  <si>
    <t>劉月萍</t>
    <phoneticPr fontId="1" type="noConversion"/>
  </si>
  <si>
    <t>宋品綸</t>
  </si>
  <si>
    <t>A133816779</t>
  </si>
  <si>
    <t>兒子</t>
  </si>
  <si>
    <t>臺北市萬華區環河南路二段280巷18號3樓</t>
    <phoneticPr fontId="1" type="noConversion"/>
  </si>
  <si>
    <t>112-10-16</t>
    <phoneticPr fontId="1" type="noConversion"/>
  </si>
  <si>
    <t>113-11-20</t>
    <phoneticPr fontId="1" type="noConversion"/>
  </si>
  <si>
    <t>易居A2M10400321</t>
    <phoneticPr fontId="1" type="noConversion"/>
  </si>
  <si>
    <t>許秀菁</t>
  </si>
  <si>
    <t>Y220421632</t>
  </si>
  <si>
    <t>賴文君</t>
  </si>
  <si>
    <t>L221027067</t>
  </si>
  <si>
    <t>0781-0000/0782-0000/0783-0000/0842-0000</t>
    <phoneticPr fontId="1" type="noConversion"/>
  </si>
  <si>
    <t>01527-000</t>
    <phoneticPr fontId="1" type="noConversion"/>
  </si>
  <si>
    <t>臺北市大同區歸綏街148號</t>
  </si>
  <si>
    <t>雙連段三小段</t>
    <phoneticPr fontId="1" type="noConversion"/>
  </si>
  <si>
    <t>台北市大同區承德路三段208巷9號</t>
    <phoneticPr fontId="1" type="noConversion"/>
  </si>
  <si>
    <t>0110026</t>
    <phoneticPr fontId="1" type="noConversion"/>
  </si>
  <si>
    <t>02203000403760</t>
    <phoneticPr fontId="1" type="noConversion"/>
  </si>
  <si>
    <t>1180817</t>
    <phoneticPr fontId="1" type="noConversion"/>
  </si>
  <si>
    <t>08175000056461</t>
    <phoneticPr fontId="1" type="noConversion"/>
  </si>
  <si>
    <t>通化段五小段</t>
    <phoneticPr fontId="1" type="noConversion"/>
  </si>
  <si>
    <t>0295-0000</t>
    <phoneticPr fontId="1" type="noConversion"/>
  </si>
  <si>
    <t>00287-000</t>
    <phoneticPr fontId="1" type="noConversion"/>
  </si>
  <si>
    <t>0532979092588</t>
    <phoneticPr fontId="1" type="noConversion"/>
  </si>
  <si>
    <t>新北市淡水區新市一路一段99巷29號14樓</t>
    <phoneticPr fontId="1" type="noConversion"/>
  </si>
  <si>
    <t>00010100973558</t>
    <phoneticPr fontId="1" type="noConversion"/>
  </si>
  <si>
    <t>易居A2M10400027-1</t>
    <phoneticPr fontId="1" type="noConversion"/>
  </si>
  <si>
    <t>自然中止</t>
    <phoneticPr fontId="1" type="noConversion"/>
  </si>
  <si>
    <t>113-07-05</t>
  </si>
  <si>
    <t>113-07-31</t>
  </si>
  <si>
    <t>113-09-14</t>
  </si>
  <si>
    <t>113-05-31</t>
  </si>
  <si>
    <t>40104-000</t>
  </si>
  <si>
    <t>新民段四小段</t>
    <phoneticPr fontId="1" type="noConversion"/>
  </si>
  <si>
    <t>臺北市北投區中山路28之20號5樓</t>
  </si>
  <si>
    <t>113/09/15</t>
    <phoneticPr fontId="1" type="noConversion"/>
  </si>
  <si>
    <t>115/09/14</t>
    <phoneticPr fontId="1" type="noConversion"/>
  </si>
  <si>
    <t>0124209</t>
    <phoneticPr fontId="1" type="noConversion"/>
  </si>
  <si>
    <t>0391-0000</t>
    <phoneticPr fontId="1" type="noConversion"/>
  </si>
  <si>
    <t>翁淑華</t>
  </si>
  <si>
    <t>H221142487</t>
  </si>
  <si>
    <t>熊俞揚</t>
  </si>
  <si>
    <t>A126642287</t>
  </si>
  <si>
    <t>陳昭遠</t>
  </si>
  <si>
    <t>F130309601</t>
  </si>
  <si>
    <t>0402-0000</t>
    <phoneticPr fontId="1" type="noConversion"/>
  </si>
  <si>
    <t>三玉段二小段</t>
    <phoneticPr fontId="1" type="noConversion"/>
  </si>
  <si>
    <t>0090-0000</t>
    <phoneticPr fontId="1" type="noConversion"/>
  </si>
  <si>
    <t>21131-000</t>
    <phoneticPr fontId="1" type="noConversion"/>
  </si>
  <si>
    <t>314540483912</t>
    <phoneticPr fontId="1" type="noConversion"/>
  </si>
  <si>
    <t>新北市土城區延安街42號11樓</t>
    <phoneticPr fontId="1" type="noConversion"/>
  </si>
  <si>
    <t>0163979765225</t>
    <phoneticPr fontId="1" type="noConversion"/>
  </si>
  <si>
    <t>易居A2M10400045-1</t>
    <phoneticPr fontId="1" type="noConversion"/>
  </si>
  <si>
    <t>關渡段二小段</t>
    <phoneticPr fontId="1" type="noConversion"/>
  </si>
  <si>
    <t>0475-0000</t>
    <phoneticPr fontId="1" type="noConversion"/>
  </si>
  <si>
    <t>20059-000</t>
    <phoneticPr fontId="1" type="noConversion"/>
  </si>
  <si>
    <t>00023400273791</t>
    <phoneticPr fontId="1" type="noConversion"/>
  </si>
  <si>
    <t>臺北市北投區關渡里4鄰大度路三段301巷61號</t>
    <phoneticPr fontId="1" type="noConversion"/>
  </si>
  <si>
    <t>360168306764</t>
    <phoneticPr fontId="1" type="noConversion"/>
  </si>
  <si>
    <t>易居A2M10400046-1</t>
    <phoneticPr fontId="1" type="noConversion"/>
  </si>
  <si>
    <t>24413621755333</t>
  </si>
  <si>
    <t>新北市新莊區新莊路471號3樓</t>
  </si>
  <si>
    <t>657540178447</t>
  </si>
  <si>
    <t>8220657</t>
    <phoneticPr fontId="1" type="noConversion"/>
  </si>
  <si>
    <t>曹莉瑛</t>
  </si>
  <si>
    <t>F230043039</t>
  </si>
  <si>
    <t>00721168667964</t>
  </si>
  <si>
    <t>0127211</t>
    <phoneticPr fontId="1" type="noConversion"/>
  </si>
  <si>
    <t>臺北市士林區重慶北路四段49巷20弄8之1號2樓</t>
    <phoneticPr fontId="1" type="noConversion"/>
  </si>
  <si>
    <t>易居A2M10400053-1</t>
    <phoneticPr fontId="1" type="noConversion"/>
  </si>
  <si>
    <t>易居A2M10400064-1</t>
    <phoneticPr fontId="1" type="noConversion"/>
  </si>
  <si>
    <t>易居A2M10400326</t>
    <phoneticPr fontId="1" type="noConversion"/>
  </si>
  <si>
    <t>易居A2M10400330</t>
    <phoneticPr fontId="1" type="noConversion"/>
  </si>
  <si>
    <t>易居A2M10400345</t>
    <phoneticPr fontId="1" type="noConversion"/>
  </si>
  <si>
    <t>台北市士林區延平北路九段217號2樓</t>
    <phoneticPr fontId="1" type="noConversion"/>
  </si>
  <si>
    <t>中洲段</t>
    <phoneticPr fontId="1" type="noConversion"/>
  </si>
  <si>
    <t>0573-0000</t>
    <phoneticPr fontId="1" type="noConversion"/>
  </si>
  <si>
    <t>00043-000</t>
    <phoneticPr fontId="1" type="noConversion"/>
  </si>
  <si>
    <t>賴麒升</t>
    <phoneticPr fontId="1" type="noConversion"/>
  </si>
  <si>
    <t>F126290144</t>
    <phoneticPr fontId="1" type="noConversion"/>
  </si>
  <si>
    <t>0050418</t>
    <phoneticPr fontId="1" type="noConversion"/>
  </si>
  <si>
    <t>041003137374</t>
    <phoneticPr fontId="1" type="noConversion"/>
  </si>
  <si>
    <t>潘子豪</t>
    <phoneticPr fontId="1" type="noConversion"/>
  </si>
  <si>
    <t>T125828887</t>
    <phoneticPr fontId="1" type="noConversion"/>
  </si>
  <si>
    <t>8090197</t>
    <phoneticPr fontId="1" type="noConversion"/>
  </si>
  <si>
    <t>60190400019800</t>
    <phoneticPr fontId="1" type="noConversion"/>
  </si>
  <si>
    <t>台北市延平北路九段217號2樓</t>
    <phoneticPr fontId="1" type="noConversion"/>
  </si>
  <si>
    <t>易居A2M10400060-1</t>
    <phoneticPr fontId="1" type="noConversion"/>
  </si>
  <si>
    <t>113-12-20</t>
    <phoneticPr fontId="1" type="noConversion"/>
  </si>
  <si>
    <t>113-12-20</t>
    <phoneticPr fontId="1" type="noConversion"/>
  </si>
  <si>
    <t>114-01-20</t>
    <phoneticPr fontId="1" type="noConversion"/>
  </si>
  <si>
    <t>114-01-20</t>
    <phoneticPr fontId="1" type="noConversion"/>
  </si>
  <si>
    <t>易居A2M10400349</t>
    <phoneticPr fontId="1" type="noConversion"/>
  </si>
  <si>
    <t>台北市中山區農安街227巷9弄4號4樓</t>
  </si>
  <si>
    <t>榮星段七小段</t>
    <phoneticPr fontId="1" type="noConversion"/>
  </si>
  <si>
    <t>0015-0001</t>
    <phoneticPr fontId="1" type="noConversion"/>
  </si>
  <si>
    <t>00216-000</t>
    <phoneticPr fontId="1" type="noConversion"/>
  </si>
  <si>
    <t>全部</t>
    <phoneticPr fontId="1" type="noConversion"/>
  </si>
  <si>
    <t>114-01-20</t>
    <phoneticPr fontId="1" type="noConversion"/>
  </si>
  <si>
    <t>陳願宗</t>
  </si>
  <si>
    <t>A125703950</t>
  </si>
  <si>
    <t>孫愷伶</t>
  </si>
  <si>
    <t>A231055136</t>
  </si>
  <si>
    <t>續約</t>
  </si>
  <si>
    <t>續約</t>
    <phoneticPr fontId="1" type="noConversion"/>
  </si>
  <si>
    <t>30181-000</t>
    <phoneticPr fontId="1" type="noConversion"/>
  </si>
  <si>
    <t>易居A2M10400104-1</t>
    <phoneticPr fontId="1" type="noConversion"/>
  </si>
  <si>
    <t>8222123</t>
    <phoneticPr fontId="1" type="noConversion"/>
  </si>
  <si>
    <t>123540031568</t>
  </si>
  <si>
    <t>新北市板橋區環河西路四段2235號10樓</t>
  </si>
  <si>
    <t>陳明宗</t>
  </si>
  <si>
    <t>A125765003</t>
  </si>
  <si>
    <t>8220657</t>
    <phoneticPr fontId="1" type="noConversion"/>
  </si>
  <si>
    <t>657540134944</t>
  </si>
  <si>
    <t>-</t>
    <phoneticPr fontId="1" type="noConversion"/>
  </si>
  <si>
    <t>中止租約</t>
    <phoneticPr fontId="1" type="noConversion"/>
  </si>
  <si>
    <t>113-10-23</t>
    <phoneticPr fontId="1" type="noConversion"/>
  </si>
  <si>
    <t>114-01-20</t>
    <phoneticPr fontId="1" type="noConversion"/>
  </si>
  <si>
    <t>114-02-20</t>
    <phoneticPr fontId="1" type="noConversion"/>
  </si>
  <si>
    <t>易居A2M10400117-1</t>
    <phoneticPr fontId="1" type="noConversion"/>
  </si>
  <si>
    <t>-</t>
    <phoneticPr fontId="1" type="noConversion"/>
  </si>
  <si>
    <t>113-11-05</t>
    <phoneticPr fontId="1" type="noConversion"/>
  </si>
  <si>
    <t>114-02-20</t>
    <phoneticPr fontId="1" type="noConversion"/>
  </si>
  <si>
    <t>114-03-20</t>
    <phoneticPr fontId="1" type="noConversion"/>
  </si>
  <si>
    <t>易居A2M10400357</t>
    <phoneticPr fontId="1" type="noConversion"/>
  </si>
  <si>
    <t>臺北市士林區承德路四段48巷3號3樓</t>
  </si>
  <si>
    <t>百齡段五小段</t>
    <phoneticPr fontId="1" type="noConversion"/>
  </si>
  <si>
    <t>0560-0000</t>
    <phoneticPr fontId="1" type="noConversion"/>
  </si>
  <si>
    <t>50444-000</t>
    <phoneticPr fontId="1" type="noConversion"/>
  </si>
  <si>
    <t>全部</t>
    <phoneticPr fontId="1" type="noConversion"/>
  </si>
  <si>
    <t>張憶伽</t>
  </si>
  <si>
    <t>G221579661</t>
  </si>
  <si>
    <t>7000021</t>
    <phoneticPr fontId="1" type="noConversion"/>
  </si>
  <si>
    <t>00012840972597</t>
  </si>
  <si>
    <t>8223164</t>
    <phoneticPr fontId="1" type="noConversion"/>
  </si>
  <si>
    <t>164540042561</t>
  </si>
  <si>
    <t>-</t>
    <phoneticPr fontId="1" type="noConversion"/>
  </si>
  <si>
    <t>114-01-09</t>
    <phoneticPr fontId="1" type="noConversion"/>
  </si>
  <si>
    <t>114-04-20</t>
    <phoneticPr fontId="1" type="noConversion"/>
  </si>
  <si>
    <t>114-04-20</t>
    <phoneticPr fontId="1" type="noConversion"/>
  </si>
  <si>
    <t>續約</t>
    <phoneticPr fontId="1" type="noConversion"/>
  </si>
  <si>
    <t>10767-000</t>
    <phoneticPr fontId="1" type="noConversion"/>
  </si>
  <si>
    <t>易居A2M10400145-1</t>
    <phoneticPr fontId="1" type="noConversion"/>
  </si>
  <si>
    <t>易居A2M10400147-1</t>
    <phoneticPr fontId="1" type="noConversion"/>
  </si>
  <si>
    <t>延平段一小段</t>
    <phoneticPr fontId="1" type="noConversion"/>
  </si>
  <si>
    <t>桃源段二小段</t>
    <phoneticPr fontId="1" type="noConversion"/>
  </si>
  <si>
    <t>-</t>
    <phoneticPr fontId="1" type="noConversion"/>
  </si>
  <si>
    <t>易居A2M10400171-1</t>
    <phoneticPr fontId="1" type="noConversion"/>
  </si>
  <si>
    <t>續約</t>
    <phoneticPr fontId="1" type="noConversion"/>
  </si>
  <si>
    <t>易居A2M10400166-1</t>
    <phoneticPr fontId="1" type="noConversion"/>
  </si>
  <si>
    <t>易居A2M10400176-1</t>
    <phoneticPr fontId="1" type="noConversion"/>
  </si>
  <si>
    <t>續約</t>
    <phoneticPr fontId="1" type="noConversion"/>
  </si>
  <si>
    <t>易居A2M10400186-1</t>
    <phoneticPr fontId="1" type="noConversion"/>
  </si>
  <si>
    <t>續約</t>
    <phoneticPr fontId="1" type="noConversion"/>
  </si>
  <si>
    <t>易居A2M10400182-1</t>
    <phoneticPr fontId="1" type="noConversion"/>
  </si>
  <si>
    <t>易居A2M10400187-1</t>
    <phoneticPr fontId="1" type="noConversion"/>
  </si>
  <si>
    <t>續約</t>
    <phoneticPr fontId="1" type="noConversion"/>
  </si>
  <si>
    <t>31026-000</t>
    <phoneticPr fontId="1" type="noConversion"/>
  </si>
  <si>
    <t>易居A2M10400206-1</t>
    <phoneticPr fontId="1" type="noConversion"/>
  </si>
  <si>
    <t>續約</t>
    <phoneticPr fontId="1" type="noConversion"/>
  </si>
  <si>
    <t>01823-000</t>
    <phoneticPr fontId="1" type="noConversion"/>
  </si>
  <si>
    <t>趙秀英</t>
    <phoneticPr fontId="1" type="noConversion"/>
  </si>
  <si>
    <t>F290198420</t>
    <phoneticPr fontId="1" type="noConversion"/>
  </si>
  <si>
    <t>A131051967</t>
    <phoneticPr fontId="1" type="noConversion"/>
  </si>
  <si>
    <t>易居A2M10400251-1</t>
    <phoneticPr fontId="1" type="noConversion"/>
  </si>
  <si>
    <t>10993-000</t>
    <phoneticPr fontId="1" type="noConversion"/>
  </si>
  <si>
    <t>張芳生</t>
    <phoneticPr fontId="1" type="noConversion"/>
  </si>
  <si>
    <t>B120871356</t>
    <phoneticPr fontId="1" type="noConversion"/>
  </si>
  <si>
    <t>S123441005</t>
    <phoneticPr fontId="1" type="noConversion"/>
  </si>
  <si>
    <t>易居A2M10400255-1</t>
    <phoneticPr fontId="1" type="noConversion"/>
  </si>
  <si>
    <t>易居A2M30400102-1</t>
    <phoneticPr fontId="1" type="noConversion"/>
  </si>
  <si>
    <t>易居A2M10400386</t>
  </si>
  <si>
    <t>三玉段二小段</t>
    <phoneticPr fontId="1" type="noConversion"/>
  </si>
  <si>
    <t>0090-0000</t>
    <phoneticPr fontId="1" type="noConversion"/>
  </si>
  <si>
    <t>21131-000</t>
    <phoneticPr fontId="1" type="noConversion"/>
  </si>
  <si>
    <t>全部</t>
    <phoneticPr fontId="1" type="noConversion"/>
  </si>
  <si>
    <t>8220314</t>
    <phoneticPr fontId="1" type="noConversion"/>
  </si>
  <si>
    <t>林宜宣</t>
    <phoneticPr fontId="1" type="noConversion"/>
  </si>
  <si>
    <t>F228634182</t>
  </si>
  <si>
    <t>0127266</t>
    <phoneticPr fontId="1" type="noConversion"/>
  </si>
  <si>
    <t>00726168475773</t>
  </si>
  <si>
    <t>李宜蓁</t>
  </si>
  <si>
    <t>C221627202</t>
  </si>
  <si>
    <t>7000021</t>
    <phoneticPr fontId="1" type="noConversion"/>
  </si>
  <si>
    <t>00111110186748</t>
  </si>
  <si>
    <t>續約</t>
    <phoneticPr fontId="1" type="noConversion"/>
  </si>
  <si>
    <t>113-12-15</t>
    <phoneticPr fontId="1" type="noConversion"/>
  </si>
  <si>
    <t>21548-000</t>
    <phoneticPr fontId="1" type="noConversion"/>
  </si>
  <si>
    <t>葉庭吟</t>
    <phoneticPr fontId="1" type="noConversion"/>
  </si>
  <si>
    <t>S224287258</t>
    <phoneticPr fontId="1" type="noConversion"/>
  </si>
  <si>
    <t>N123108476</t>
    <phoneticPr fontId="1" type="noConversion"/>
  </si>
  <si>
    <t>易居A2M10400266-1</t>
    <phoneticPr fontId="1" type="noConversion"/>
  </si>
  <si>
    <t>自然中止</t>
  </si>
  <si>
    <t>中止租約</t>
    <phoneticPr fontId="1" type="noConversion"/>
  </si>
  <si>
    <t>-</t>
    <phoneticPr fontId="1" type="noConversion"/>
  </si>
  <si>
    <t>易居A2M10400389</t>
    <phoneticPr fontId="1" type="noConversion"/>
  </si>
  <si>
    <t>臺北市萬華區成都路108號8樓之2</t>
  </si>
  <si>
    <t>直興段一小段</t>
  </si>
  <si>
    <t>易居A2M10400007-2</t>
    <phoneticPr fontId="1" type="noConversion"/>
  </si>
  <si>
    <t>臺北市信義區吳興街361巷23弄3號4樓</t>
    <phoneticPr fontId="1" type="noConversion"/>
  </si>
  <si>
    <t>吳興段一小段</t>
    <phoneticPr fontId="1" type="noConversion"/>
  </si>
  <si>
    <t>00403-000</t>
    <phoneticPr fontId="1" type="noConversion"/>
  </si>
  <si>
    <t>蘇范竹英</t>
    <phoneticPr fontId="1" type="noConversion"/>
  </si>
  <si>
    <t>J201653373</t>
    <phoneticPr fontId="1" type="noConversion"/>
  </si>
  <si>
    <t>1300156</t>
    <phoneticPr fontId="1" type="noConversion"/>
  </si>
  <si>
    <t>01500400000037</t>
    <phoneticPr fontId="1" type="noConversion"/>
  </si>
  <si>
    <t>新竹縣芎林鄉文山路646巷2號</t>
    <phoneticPr fontId="1" type="noConversion"/>
  </si>
  <si>
    <t>J220804998</t>
    <phoneticPr fontId="1" type="noConversion"/>
  </si>
  <si>
    <t>00613390629114</t>
    <phoneticPr fontId="1" type="noConversion"/>
  </si>
  <si>
    <t>徐悅哲</t>
  </si>
  <si>
    <t>A126950695</t>
  </si>
  <si>
    <t>陳盈穎</t>
  </si>
  <si>
    <t>A226903536</t>
  </si>
  <si>
    <t>20911000088628</t>
  </si>
  <si>
    <t>臺北市萬華區德昌街262號7樓</t>
  </si>
  <si>
    <t>145540056770</t>
  </si>
  <si>
    <t>黃賴菊</t>
  </si>
  <si>
    <t>A201420634</t>
  </si>
  <si>
    <t>阿嬤</t>
  </si>
  <si>
    <t>114-09-20</t>
    <phoneticPr fontId="1" type="noConversion"/>
  </si>
  <si>
    <t>易居A2M10400397</t>
    <phoneticPr fontId="1" type="noConversion"/>
  </si>
  <si>
    <t>內湖區</t>
  </si>
  <si>
    <t>吳東翰</t>
    <phoneticPr fontId="1" type="noConversion"/>
  </si>
  <si>
    <t>A130915060</t>
    <phoneticPr fontId="1" type="noConversion"/>
  </si>
  <si>
    <t>續約</t>
    <phoneticPr fontId="1" type="noConversion"/>
  </si>
  <si>
    <t>易居A2M10400297-1</t>
    <phoneticPr fontId="1" type="noConversion"/>
  </si>
  <si>
    <t>臺北市萬華區寶興街140巷5號4樓之2</t>
    <phoneticPr fontId="1" type="noConversion"/>
  </si>
  <si>
    <t>張翔瑞</t>
    <phoneticPr fontId="1" type="noConversion"/>
  </si>
  <si>
    <t>F126740130</t>
    <phoneticPr fontId="1" type="noConversion"/>
  </si>
  <si>
    <t>116005179741</t>
    <phoneticPr fontId="1" type="noConversion"/>
  </si>
  <si>
    <t>新北市樹林區俊英街189號5樓</t>
    <phoneticPr fontId="1" type="noConversion"/>
  </si>
  <si>
    <t>顏嘉岑</t>
    <phoneticPr fontId="1" type="noConversion"/>
  </si>
  <si>
    <t>A127312153</t>
    <phoneticPr fontId="1" type="noConversion"/>
  </si>
  <si>
    <t>218506127497</t>
    <phoneticPr fontId="1" type="noConversion"/>
  </si>
  <si>
    <t>A980038372</t>
    <phoneticPr fontId="1" type="noConversion"/>
  </si>
  <si>
    <t>易居A2M10400013-2</t>
    <phoneticPr fontId="1" type="noConversion"/>
  </si>
  <si>
    <t>臺北市內湖區內湖路三段59巷7弄3號4樓</t>
    <phoneticPr fontId="1" type="noConversion"/>
  </si>
  <si>
    <t>碧湖段一小段</t>
    <phoneticPr fontId="1" type="noConversion"/>
  </si>
  <si>
    <t>0338-0000</t>
    <phoneticPr fontId="1" type="noConversion"/>
  </si>
  <si>
    <t>01044-000</t>
    <phoneticPr fontId="1" type="noConversion"/>
  </si>
  <si>
    <t>鍾問晟</t>
    <phoneticPr fontId="1" type="noConversion"/>
  </si>
  <si>
    <t>H122018264</t>
    <phoneticPr fontId="1" type="noConversion"/>
  </si>
  <si>
    <t>141540046580</t>
    <phoneticPr fontId="1" type="noConversion"/>
  </si>
  <si>
    <t>臺北市中正區羅斯福路一段99號4樓</t>
    <phoneticPr fontId="1" type="noConversion"/>
  </si>
  <si>
    <t>陳凱雲</t>
    <phoneticPr fontId="1" type="noConversion"/>
  </si>
  <si>
    <t>A224169803</t>
    <phoneticPr fontId="1" type="noConversion"/>
  </si>
  <si>
    <t>0129968207878</t>
    <phoneticPr fontId="1" type="noConversion"/>
  </si>
  <si>
    <t>中山區</t>
  </si>
  <si>
    <t>易居A2M10400014-2</t>
    <phoneticPr fontId="1" type="noConversion"/>
  </si>
  <si>
    <t>01620-000</t>
    <phoneticPr fontId="1" type="noConversion"/>
  </si>
  <si>
    <t>柯俊龍</t>
    <phoneticPr fontId="1" type="noConversion"/>
  </si>
  <si>
    <t>A121769710</t>
    <phoneticPr fontId="1" type="noConversion"/>
  </si>
  <si>
    <t>079506111647</t>
    <phoneticPr fontId="1" type="noConversion"/>
  </si>
  <si>
    <t>柯彥祥</t>
    <phoneticPr fontId="1" type="noConversion"/>
  </si>
  <si>
    <t>A130794712</t>
    <phoneticPr fontId="1" type="noConversion"/>
  </si>
  <si>
    <t>00017910479096</t>
    <phoneticPr fontId="1" type="noConversion"/>
  </si>
  <si>
    <t>吳悅蓉</t>
    <phoneticPr fontId="1" type="noConversion"/>
  </si>
  <si>
    <t>F231094861</t>
    <phoneticPr fontId="1" type="noConversion"/>
  </si>
  <si>
    <t>易居A2M10400301-1</t>
    <phoneticPr fontId="1" type="noConversion"/>
  </si>
  <si>
    <t>臺北市文山區景興路227號4樓</t>
    <phoneticPr fontId="1" type="noConversion"/>
  </si>
  <si>
    <t>0257-0000</t>
    <phoneticPr fontId="1" type="noConversion"/>
  </si>
  <si>
    <t>02529-000</t>
    <phoneticPr fontId="1" type="noConversion"/>
  </si>
  <si>
    <t>潘偉廉</t>
    <phoneticPr fontId="1" type="noConversion"/>
  </si>
  <si>
    <t>A104347970</t>
    <phoneticPr fontId="1" type="noConversion"/>
  </si>
  <si>
    <t>20102061696</t>
    <phoneticPr fontId="1" type="noConversion"/>
  </si>
  <si>
    <t>新北市新店區中央路173號5樓</t>
    <phoneticPr fontId="1" type="noConversion"/>
  </si>
  <si>
    <t>宋承諭</t>
    <phoneticPr fontId="1" type="noConversion"/>
  </si>
  <si>
    <t>A129144180</t>
    <phoneticPr fontId="1" type="noConversion"/>
  </si>
  <si>
    <t>120540125613</t>
    <phoneticPr fontId="1" type="noConversion"/>
  </si>
  <si>
    <t>里見奈央</t>
    <phoneticPr fontId="1" type="noConversion"/>
  </si>
  <si>
    <t>A900065679</t>
    <phoneticPr fontId="1" type="noConversion"/>
  </si>
  <si>
    <t>易居A2M10400302-1</t>
    <phoneticPr fontId="1" type="noConversion"/>
  </si>
  <si>
    <t>易居A2M10400046-2</t>
    <phoneticPr fontId="1" type="noConversion"/>
  </si>
  <si>
    <t>30860-000</t>
    <phoneticPr fontId="1" type="noConversion"/>
  </si>
  <si>
    <t>20171590008234</t>
    <phoneticPr fontId="1" type="noConversion"/>
  </si>
  <si>
    <t>臺北市士林區葫蘆街23巷14號</t>
    <phoneticPr fontId="1" type="noConversion"/>
  </si>
  <si>
    <t>00721168667964</t>
    <phoneticPr fontId="1" type="noConversion"/>
  </si>
  <si>
    <t>易居A2M10400321-1</t>
    <phoneticPr fontId="1" type="noConversion"/>
  </si>
  <si>
    <t>易居A2M10400326-1</t>
    <phoneticPr fontId="1" type="noConversion"/>
  </si>
  <si>
    <t>40104-000</t>
    <phoneticPr fontId="1" type="noConversion"/>
  </si>
  <si>
    <t>24413621755333</t>
    <phoneticPr fontId="1" type="noConversion"/>
  </si>
  <si>
    <t>新北市新莊區新莊路471號3樓</t>
    <phoneticPr fontId="1" type="noConversion"/>
  </si>
  <si>
    <t>657540178447</t>
    <phoneticPr fontId="1" type="noConversion"/>
  </si>
  <si>
    <t>易居A2M10400330-1</t>
    <phoneticPr fontId="1" type="noConversion"/>
  </si>
  <si>
    <t>-</t>
    <phoneticPr fontId="1" type="noConversion"/>
  </si>
  <si>
    <t>萬華段二小段</t>
    <phoneticPr fontId="1" type="noConversion"/>
  </si>
  <si>
    <t>0648-0000</t>
    <phoneticPr fontId="1" type="noConversion"/>
  </si>
  <si>
    <t>00760-000</t>
    <phoneticPr fontId="1" type="noConversion"/>
  </si>
  <si>
    <t>24414220511103</t>
    <phoneticPr fontId="1" type="noConversion"/>
  </si>
  <si>
    <t>臺北市萬華區艋舺大道55號2樓</t>
    <phoneticPr fontId="1" type="noConversion"/>
  </si>
  <si>
    <t>0417968133556</t>
    <phoneticPr fontId="1" type="noConversion"/>
  </si>
  <si>
    <t>易居A2M10400053-2</t>
    <phoneticPr fontId="1" type="noConversion"/>
  </si>
  <si>
    <t>易居A2M10400060-2</t>
    <phoneticPr fontId="1" type="noConversion"/>
  </si>
  <si>
    <t>易居A2M10400064-2</t>
    <phoneticPr fontId="1" type="noConversion"/>
  </si>
  <si>
    <t>易居A2M10400410</t>
    <phoneticPr fontId="1" type="noConversion"/>
  </si>
  <si>
    <t>士林區</t>
  </si>
  <si>
    <t>羅漢欣</t>
    <phoneticPr fontId="1" type="noConversion"/>
  </si>
  <si>
    <t>A125156406</t>
    <phoneticPr fontId="1" type="noConversion"/>
  </si>
  <si>
    <t>8071077</t>
    <phoneticPr fontId="1" type="noConversion"/>
  </si>
  <si>
    <t>02600400033168</t>
    <phoneticPr fontId="1" type="noConversion"/>
  </si>
  <si>
    <t>宋堅妮</t>
    <phoneticPr fontId="1" type="noConversion"/>
  </si>
  <si>
    <t>A900684076</t>
    <phoneticPr fontId="1" type="noConversion"/>
  </si>
  <si>
    <t>配偶</t>
    <phoneticPr fontId="1" type="noConversion"/>
  </si>
  <si>
    <t>宋欣妮</t>
    <phoneticPr fontId="1" type="noConversion"/>
  </si>
  <si>
    <t>A270197879</t>
    <phoneticPr fontId="1" type="noConversion"/>
  </si>
  <si>
    <t>女兒</t>
    <phoneticPr fontId="1" type="noConversion"/>
  </si>
  <si>
    <t>115-01-20</t>
    <phoneticPr fontId="1" type="noConversion"/>
  </si>
  <si>
    <t>易居A2M10400104-2</t>
    <phoneticPr fontId="1" type="noConversion"/>
  </si>
  <si>
    <t>115-01-20</t>
    <phoneticPr fontId="1" type="noConversion"/>
  </si>
  <si>
    <t>易居A2M10400349-1</t>
    <phoneticPr fontId="1" type="noConversion"/>
  </si>
  <si>
    <t>易居A2M10400117-2</t>
    <phoneticPr fontId="1" type="noConversion"/>
  </si>
  <si>
    <t>115-02-26</t>
    <phoneticPr fontId="1" type="noConversion"/>
  </si>
  <si>
    <t>易居A2M10400417</t>
    <phoneticPr fontId="1" type="noConversion"/>
  </si>
  <si>
    <t>福順段</t>
  </si>
  <si>
    <t>30740-000</t>
  </si>
  <si>
    <t>115-02-26</t>
    <phoneticPr fontId="1" type="noConversion"/>
  </si>
  <si>
    <t>1080014</t>
  </si>
  <si>
    <t>張志浚</t>
  </si>
  <si>
    <t>A125499844</t>
  </si>
  <si>
    <t>0123109</t>
  </si>
  <si>
    <t>00310168126882</t>
  </si>
  <si>
    <t>-</t>
    <phoneticPr fontId="1" type="noConversion"/>
  </si>
  <si>
    <t>115-02-26</t>
    <phoneticPr fontId="1" type="noConversion"/>
  </si>
  <si>
    <t>115-03-20</t>
    <phoneticPr fontId="1" type="noConversion"/>
  </si>
  <si>
    <t>滅火器</t>
    <phoneticPr fontId="1" type="noConversion"/>
  </si>
  <si>
    <t>117/11</t>
  </si>
  <si>
    <t>115/10</t>
    <phoneticPr fontId="1" type="noConversion"/>
  </si>
  <si>
    <t>116/01</t>
    <phoneticPr fontId="1" type="noConversion"/>
  </si>
  <si>
    <t>115/12</t>
  </si>
  <si>
    <t>115/12</t>
    <phoneticPr fontId="1" type="noConversion"/>
  </si>
  <si>
    <t>115/03</t>
    <phoneticPr fontId="1" type="noConversion"/>
  </si>
  <si>
    <t>116/05</t>
  </si>
  <si>
    <t>116/05</t>
    <phoneticPr fontId="1" type="noConversion"/>
  </si>
  <si>
    <t>116/03</t>
    <phoneticPr fontId="1" type="noConversion"/>
  </si>
  <si>
    <t>易居A2M10400357-1</t>
    <phoneticPr fontId="1" type="noConversion"/>
  </si>
  <si>
    <t>臺北市士林區承德路四段48巷3號3樓</t>
    <phoneticPr fontId="1" type="noConversion"/>
  </si>
  <si>
    <t>葉克柔</t>
    <phoneticPr fontId="1" type="noConversion"/>
  </si>
  <si>
    <t>F222145640</t>
    <phoneticPr fontId="1" type="noConversion"/>
  </si>
  <si>
    <t>00012840972597</t>
    <phoneticPr fontId="1" type="noConversion"/>
  </si>
  <si>
    <t>新北市汐止區民族五街16號16樓之2</t>
    <phoneticPr fontId="1" type="noConversion"/>
  </si>
  <si>
    <t>張憶伽</t>
    <phoneticPr fontId="1" type="noConversion"/>
  </si>
  <si>
    <t>G221579661</t>
    <phoneticPr fontId="1" type="noConversion"/>
  </si>
  <si>
    <t>164540042561</t>
    <phoneticPr fontId="1" type="noConversion"/>
  </si>
  <si>
    <t>115/09</t>
  </si>
  <si>
    <t>115/09</t>
    <phoneticPr fontId="1" type="noConversion"/>
  </si>
  <si>
    <t>易居A2M10400420</t>
    <phoneticPr fontId="1" type="noConversion"/>
  </si>
  <si>
    <t>117/06</t>
  </si>
  <si>
    <t>115/08</t>
  </si>
  <si>
    <t>116/04</t>
  </si>
  <si>
    <t>116/08</t>
  </si>
  <si>
    <t>116/07</t>
  </si>
  <si>
    <t>115/06</t>
  </si>
  <si>
    <t>114/04</t>
  </si>
  <si>
    <t>116/09</t>
  </si>
  <si>
    <t>117/08</t>
  </si>
  <si>
    <t>117/09</t>
  </si>
  <si>
    <t>115/11</t>
  </si>
  <si>
    <t>榮星段七小段</t>
  </si>
  <si>
    <t>0015-0001</t>
  </si>
  <si>
    <t>00216-000</t>
  </si>
  <si>
    <t>臺北市士林區延平北路九段217號2樓</t>
  </si>
  <si>
    <t>114-10-04</t>
    <phoneticPr fontId="1" type="noConversion"/>
  </si>
  <si>
    <t>116/03</t>
    <phoneticPr fontId="1" type="noConversion"/>
  </si>
  <si>
    <t>賴麒升</t>
  </si>
  <si>
    <t>F126290144</t>
  </si>
  <si>
    <t>0050418</t>
  </si>
  <si>
    <t>041008129736</t>
  </si>
  <si>
    <t>台北市延平北路九段217號2樓</t>
  </si>
  <si>
    <t>曹詠量</t>
  </si>
  <si>
    <t>T126469391</t>
  </si>
  <si>
    <t>00710011478756</t>
  </si>
  <si>
    <t>易居A2M10400145-2</t>
    <phoneticPr fontId="1" type="noConversion"/>
  </si>
  <si>
    <t>115-04-20</t>
  </si>
  <si>
    <t>115-04-20</t>
    <phoneticPr fontId="1" type="noConversion"/>
  </si>
  <si>
    <t>易居A2M10400166-2</t>
  </si>
  <si>
    <t>易居A2M10400176-2</t>
  </si>
  <si>
    <t>續約</t>
    <phoneticPr fontId="1" type="noConversion"/>
  </si>
  <si>
    <t>易居A2M10400182-2</t>
  </si>
  <si>
    <t>易居A2M10400186-2</t>
  </si>
  <si>
    <t>易居A2M10400187-2</t>
  </si>
  <si>
    <t>吳黃玉梅</t>
    <phoneticPr fontId="1" type="noConversion"/>
  </si>
  <si>
    <t>P201011682</t>
    <phoneticPr fontId="1" type="noConversion"/>
  </si>
  <si>
    <t>母親</t>
    <phoneticPr fontId="1" type="noConversion"/>
  </si>
  <si>
    <t>新北市中和區景新街328號10樓之1</t>
    <phoneticPr fontId="1" type="noConversion"/>
  </si>
  <si>
    <t>115-07-20</t>
    <phoneticPr fontId="1" type="noConversion"/>
  </si>
  <si>
    <t>115-08-20</t>
    <phoneticPr fontId="1" type="noConversion"/>
  </si>
  <si>
    <t>易居A2M10400251-2</t>
    <phoneticPr fontId="1" type="noConversion"/>
  </si>
  <si>
    <t>易居A2M10400255-2</t>
    <phoneticPr fontId="1" type="noConversion"/>
  </si>
  <si>
    <t>115-05-15</t>
    <phoneticPr fontId="1" type="noConversion"/>
  </si>
  <si>
    <t>易居A2M30400124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</si>
</sst>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[$-404]e/m/d;@"/>
    <numFmt numFmtId="178" formatCode="_-\$* #,##0.00_-;&quot;-$&quot;* #,##0.00_-;_-\$* \-??_-;_-@_-"/>
    <numFmt numFmtId="179" formatCode="m/d;@"/>
    <numFmt numFmtId="180" formatCode="0_);[Red]\(0\)"/>
    <numFmt numFmtId="181" formatCode="0.00_);[Red]\(0.00\)"/>
    <numFmt numFmtId="182" formatCode="[$-404]e/mm/dd;@"/>
    <numFmt numFmtId="183" formatCode="[$-404]e\-mm\-dd;@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3"/>
      <color rgb="FF000000"/>
      <name val="新細明體"/>
      <family val="1"/>
      <charset val="136"/>
      <scheme val="minor"/>
    </font>
    <font>
      <b/>
      <sz val="13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"/>
      <color rgb="FFFF0000"/>
      <name val="新細明體"/>
      <family val="1"/>
      <charset val="136"/>
      <scheme val="minor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11"/>
      <name val="Microsoft JhengHei"/>
      <family val="4"/>
    </font>
    <font>
      <sz val="12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 style="thick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/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/>
      <right style="double">
        <color auto="1"/>
      </right>
      <top/>
      <bottom style="thick">
        <color indexed="64"/>
      </bottom>
      <diagonal/>
    </border>
    <border>
      <left style="double">
        <color auto="1"/>
      </left>
      <right/>
      <top/>
      <bottom style="thick">
        <color indexed="64"/>
      </bottom>
      <diagonal/>
    </border>
    <border>
      <left style="double">
        <color auto="1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4" fillId="0" borderId="0" applyBorder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</cellStyleXfs>
  <cellXfs count="106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41" fontId="7" fillId="0" borderId="1" xfId="10" applyNumberFormat="1" applyFont="1" applyBorder="1" applyAlignment="1">
      <alignment horizontal="right" vertical="center" wrapText="1"/>
    </xf>
    <xf numFmtId="176" fontId="8" fillId="8" borderId="1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right" vertical="center" wrapText="1"/>
    </xf>
    <xf numFmtId="41" fontId="8" fillId="10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>
      <alignment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176" fontId="9" fillId="0" borderId="79" xfId="1" applyNumberFormat="1" applyFont="1" applyBorder="1">
      <alignment vertical="center"/>
    </xf>
    <xf numFmtId="176" fontId="9" fillId="0" borderId="78" xfId="1" applyNumberFormat="1" applyFont="1" applyBorder="1">
      <alignment vertical="center"/>
    </xf>
    <xf numFmtId="176" fontId="9" fillId="0" borderId="77" xfId="1" applyNumberFormat="1" applyFont="1" applyBorder="1">
      <alignment vertical="center"/>
    </xf>
    <xf numFmtId="176" fontId="9" fillId="0" borderId="78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6" fontId="9" fillId="0" borderId="1" xfId="1" applyNumberFormat="1" applyFont="1" applyBorder="1">
      <alignment vertical="center"/>
    </xf>
    <xf numFmtId="176" fontId="9" fillId="0" borderId="49" xfId="1" applyNumberFormat="1" applyFont="1" applyBorder="1">
      <alignment vertical="center"/>
    </xf>
    <xf numFmtId="176" fontId="9" fillId="0" borderId="60" xfId="1" applyNumberFormat="1" applyFont="1" applyBorder="1">
      <alignment vertical="center"/>
    </xf>
    <xf numFmtId="176" fontId="9" fillId="0" borderId="49" xfId="0" applyNumberFormat="1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176" fontId="9" fillId="0" borderId="10" xfId="1" applyNumberFormat="1" applyFont="1" applyBorder="1">
      <alignment vertical="center"/>
    </xf>
    <xf numFmtId="176" fontId="9" fillId="0" borderId="51" xfId="1" applyNumberFormat="1" applyFont="1" applyBorder="1">
      <alignment vertical="center"/>
    </xf>
    <xf numFmtId="176" fontId="9" fillId="0" borderId="51" xfId="0" applyNumberFormat="1" applyFont="1" applyBorder="1">
      <alignment vertical="center"/>
    </xf>
    <xf numFmtId="41" fontId="12" fillId="0" borderId="1" xfId="10" applyNumberFormat="1" applyFont="1" applyBorder="1" applyAlignment="1">
      <alignment horizontal="right" vertical="center" wrapText="1"/>
    </xf>
    <xf numFmtId="0" fontId="6" fillId="0" borderId="0" xfId="0" applyFont="1">
      <alignment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6" fontId="13" fillId="3" borderId="9" xfId="1" applyNumberFormat="1" applyFont="1" applyFill="1" applyBorder="1" applyAlignment="1">
      <alignment horizontal="center" vertical="center" wrapText="1"/>
    </xf>
    <xf numFmtId="183" fontId="13" fillId="3" borderId="51" xfId="1" applyNumberFormat="1" applyFont="1" applyFill="1" applyBorder="1" applyAlignment="1">
      <alignment horizontal="center" vertical="center" wrapText="1"/>
    </xf>
    <xf numFmtId="176" fontId="13" fillId="3" borderId="25" xfId="1" applyNumberFormat="1" applyFont="1" applyFill="1" applyBorder="1" applyAlignment="1">
      <alignment horizontal="center" vertical="center" wrapText="1"/>
    </xf>
    <xf numFmtId="177" fontId="13" fillId="3" borderId="10" xfId="1" applyNumberFormat="1" applyFont="1" applyFill="1" applyBorder="1" applyAlignment="1">
      <alignment horizontal="center" vertical="center" wrapText="1"/>
    </xf>
    <xf numFmtId="176" fontId="13" fillId="3" borderId="10" xfId="1" applyNumberFormat="1" applyFont="1" applyFill="1" applyBorder="1" applyAlignment="1">
      <alignment horizontal="center" vertical="center" wrapText="1"/>
    </xf>
    <xf numFmtId="177" fontId="13" fillId="3" borderId="51" xfId="1" applyNumberFormat="1" applyFont="1" applyFill="1" applyBorder="1" applyAlignment="1">
      <alignment horizontal="center" vertical="center" wrapText="1"/>
    </xf>
    <xf numFmtId="177" fontId="13" fillId="3" borderId="8" xfId="1" applyNumberFormat="1" applyFont="1" applyFill="1" applyBorder="1" applyAlignment="1">
      <alignment horizontal="center" vertical="center" wrapText="1"/>
    </xf>
    <xf numFmtId="176" fontId="13" fillId="4" borderId="9" xfId="1" applyNumberFormat="1" applyFont="1" applyFill="1" applyBorder="1" applyAlignment="1">
      <alignment horizontal="center" vertical="center" wrapText="1"/>
    </xf>
    <xf numFmtId="183" fontId="13" fillId="4" borderId="12" xfId="1" applyNumberFormat="1" applyFont="1" applyFill="1" applyBorder="1" applyAlignment="1">
      <alignment horizontal="center" vertical="center" wrapText="1"/>
    </xf>
    <xf numFmtId="176" fontId="13" fillId="4" borderId="10" xfId="1" applyNumberFormat="1" applyFont="1" applyFill="1" applyBorder="1" applyAlignment="1">
      <alignment horizontal="center" vertical="center" wrapText="1"/>
    </xf>
    <xf numFmtId="183" fontId="13" fillId="4" borderId="10" xfId="1" applyNumberFormat="1" applyFont="1" applyFill="1" applyBorder="1" applyAlignment="1">
      <alignment horizontal="center" vertical="center" wrapText="1"/>
    </xf>
    <xf numFmtId="176" fontId="13" fillId="4" borderId="58" xfId="1" applyNumberFormat="1" applyFont="1" applyFill="1" applyBorder="1" applyAlignment="1">
      <alignment horizontal="center" vertical="center" wrapText="1"/>
    </xf>
    <xf numFmtId="177" fontId="13" fillId="4" borderId="10" xfId="1" applyNumberFormat="1" applyFont="1" applyFill="1" applyBorder="1" applyAlignment="1">
      <alignment horizontal="center" vertical="center" wrapText="1"/>
    </xf>
    <xf numFmtId="49" fontId="13" fillId="5" borderId="73" xfId="0" applyNumberFormat="1" applyFont="1" applyFill="1" applyBorder="1" applyAlignment="1">
      <alignment horizontal="center" vertical="center" wrapText="1"/>
    </xf>
    <xf numFmtId="49" fontId="13" fillId="5" borderId="74" xfId="0" applyNumberFormat="1" applyFont="1" applyFill="1" applyBorder="1" applyAlignment="1">
      <alignment horizontal="center" vertical="center" wrapText="1"/>
    </xf>
    <xf numFmtId="49" fontId="13" fillId="5" borderId="99" xfId="0" applyNumberFormat="1" applyFont="1" applyFill="1" applyBorder="1" applyAlignment="1">
      <alignment horizontal="center" vertical="center" wrapText="1"/>
    </xf>
    <xf numFmtId="176" fontId="13" fillId="5" borderId="25" xfId="1" applyNumberFormat="1" applyFont="1" applyFill="1" applyBorder="1" applyAlignment="1">
      <alignment horizontal="center" vertical="center" wrapText="1"/>
    </xf>
    <xf numFmtId="177" fontId="13" fillId="5" borderId="10" xfId="1" applyNumberFormat="1" applyFont="1" applyFill="1" applyBorder="1" applyAlignment="1">
      <alignment horizontal="center" vertical="center" wrapText="1"/>
    </xf>
    <xf numFmtId="176" fontId="13" fillId="5" borderId="10" xfId="1" applyNumberFormat="1" applyFont="1" applyFill="1" applyBorder="1" applyAlignment="1">
      <alignment horizontal="center" vertical="center" wrapText="1"/>
    </xf>
    <xf numFmtId="177" fontId="13" fillId="5" borderId="51" xfId="1" applyNumberFormat="1" applyFont="1" applyFill="1" applyBorder="1" applyAlignment="1">
      <alignment horizontal="center" vertical="center" wrapText="1"/>
    </xf>
    <xf numFmtId="177" fontId="13" fillId="5" borderId="8" xfId="1" applyNumberFormat="1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2" borderId="26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183" fontId="15" fillId="12" borderId="14" xfId="0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181" fontId="15" fillId="12" borderId="1" xfId="0" applyNumberFormat="1" applyFont="1" applyFill="1" applyBorder="1" applyAlignment="1">
      <alignment horizontal="center" vertical="center"/>
    </xf>
    <xf numFmtId="182" fontId="15" fillId="12" borderId="1" xfId="0" applyNumberFormat="1" applyFont="1" applyFill="1" applyBorder="1" applyAlignment="1">
      <alignment horizontal="center" vertical="center"/>
    </xf>
    <xf numFmtId="176" fontId="15" fillId="12" borderId="16" xfId="1" applyNumberFormat="1" applyFont="1" applyFill="1" applyBorder="1" applyAlignment="1">
      <alignment horizontal="center" vertical="center"/>
    </xf>
    <xf numFmtId="176" fontId="15" fillId="12" borderId="20" xfId="1" applyNumberFormat="1" applyFont="1" applyFill="1" applyBorder="1" applyAlignment="1">
      <alignment horizontal="center" vertical="center"/>
    </xf>
    <xf numFmtId="183" fontId="15" fillId="12" borderId="50" xfId="1" applyNumberFormat="1" applyFont="1" applyFill="1" applyBorder="1" applyAlignment="1">
      <alignment horizontal="center" vertical="center"/>
    </xf>
    <xf numFmtId="176" fontId="15" fillId="12" borderId="4" xfId="1" applyNumberFormat="1" applyFont="1" applyFill="1" applyBorder="1" applyAlignment="1">
      <alignment horizontal="center" vertical="center"/>
    </xf>
    <xf numFmtId="183" fontId="15" fillId="12" borderId="100" xfId="1" applyNumberFormat="1" applyFont="1" applyFill="1" applyBorder="1" applyAlignment="1">
      <alignment horizontal="center" vertical="center"/>
    </xf>
    <xf numFmtId="176" fontId="15" fillId="12" borderId="22" xfId="1" applyNumberFormat="1" applyFont="1" applyFill="1" applyBorder="1" applyAlignment="1">
      <alignment horizontal="center" vertical="center"/>
    </xf>
    <xf numFmtId="183" fontId="15" fillId="12" borderId="54" xfId="1" applyNumberFormat="1" applyFont="1" applyFill="1" applyBorder="1" applyAlignment="1">
      <alignment horizontal="center" vertical="center"/>
    </xf>
    <xf numFmtId="183" fontId="15" fillId="12" borderId="52" xfId="1" applyNumberFormat="1" applyFont="1" applyFill="1" applyBorder="1" applyAlignment="1">
      <alignment horizontal="center" vertical="center"/>
    </xf>
    <xf numFmtId="176" fontId="16" fillId="12" borderId="4" xfId="1" applyNumberFormat="1" applyFont="1" applyFill="1" applyBorder="1" applyAlignment="1">
      <alignment horizontal="center" vertical="center"/>
    </xf>
    <xf numFmtId="183" fontId="15" fillId="12" borderId="68" xfId="1" applyNumberFormat="1" applyFont="1" applyFill="1" applyBorder="1" applyAlignment="1">
      <alignment horizontal="center" vertical="center"/>
    </xf>
    <xf numFmtId="176" fontId="15" fillId="12" borderId="2" xfId="1" applyNumberFormat="1" applyFont="1" applyFill="1" applyBorder="1" applyAlignment="1">
      <alignment horizontal="center" vertical="center"/>
    </xf>
    <xf numFmtId="183" fontId="15" fillId="12" borderId="53" xfId="1" applyNumberFormat="1" applyFont="1" applyFill="1" applyBorder="1" applyAlignment="1">
      <alignment horizontal="center" vertical="center"/>
    </xf>
    <xf numFmtId="183" fontId="15" fillId="12" borderId="49" xfId="1" applyNumberFormat="1" applyFont="1" applyFill="1" applyBorder="1" applyAlignment="1">
      <alignment horizontal="center" vertical="center"/>
    </xf>
    <xf numFmtId="177" fontId="15" fillId="12" borderId="26" xfId="1" applyNumberFormat="1" applyFont="1" applyFill="1" applyBorder="1" applyAlignment="1">
      <alignment horizontal="center" vertical="center" wrapText="1"/>
    </xf>
    <xf numFmtId="177" fontId="15" fillId="12" borderId="5" xfId="1" applyNumberFormat="1" applyFont="1" applyFill="1" applyBorder="1" applyAlignment="1">
      <alignment horizontal="center" vertical="center" wrapText="1"/>
    </xf>
    <xf numFmtId="177" fontId="15" fillId="12" borderId="4" xfId="1" applyNumberFormat="1" applyFont="1" applyFill="1" applyBorder="1" applyAlignment="1">
      <alignment horizontal="center" vertical="center" wrapText="1"/>
    </xf>
    <xf numFmtId="177" fontId="15" fillId="12" borderId="52" xfId="1" applyNumberFormat="1" applyFont="1" applyFill="1" applyBorder="1" applyAlignment="1">
      <alignment horizontal="center" vertical="center" wrapText="1"/>
    </xf>
    <xf numFmtId="177" fontId="15" fillId="12" borderId="7" xfId="1" applyNumberFormat="1" applyFont="1" applyFill="1" applyBorder="1" applyAlignment="1">
      <alignment horizontal="center" vertical="center" wrapText="1"/>
    </xf>
    <xf numFmtId="49" fontId="15" fillId="12" borderId="5" xfId="0" applyNumberFormat="1" applyFont="1" applyFill="1" applyBorder="1" applyAlignment="1">
      <alignment horizontal="center" vertical="center"/>
    </xf>
    <xf numFmtId="49" fontId="15" fillId="12" borderId="4" xfId="0" applyNumberFormat="1" applyFont="1" applyFill="1" applyBorder="1" applyAlignment="1">
      <alignment horizontal="center" vertical="center"/>
    </xf>
    <xf numFmtId="49" fontId="15" fillId="12" borderId="26" xfId="0" applyNumberFormat="1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left" vertical="center"/>
    </xf>
    <xf numFmtId="0" fontId="15" fillId="12" borderId="59" xfId="0" applyFont="1" applyFill="1" applyBorder="1" applyAlignment="1">
      <alignment horizontal="center" vertical="center"/>
    </xf>
    <xf numFmtId="176" fontId="15" fillId="12" borderId="59" xfId="1" applyNumberFormat="1" applyFont="1" applyFill="1" applyBorder="1" applyAlignment="1">
      <alignment horizontal="center" vertical="center"/>
    </xf>
    <xf numFmtId="177" fontId="15" fillId="12" borderId="4" xfId="1" applyNumberFormat="1" applyFont="1" applyFill="1" applyBorder="1" applyAlignment="1">
      <alignment horizontal="center" vertical="center"/>
    </xf>
    <xf numFmtId="177" fontId="15" fillId="12" borderId="5" xfId="1" applyNumberFormat="1" applyFont="1" applyFill="1" applyBorder="1" applyAlignment="1">
      <alignment horizontal="center" vertical="center"/>
    </xf>
    <xf numFmtId="177" fontId="15" fillId="12" borderId="52" xfId="1" applyNumberFormat="1" applyFont="1" applyFill="1" applyBorder="1" applyAlignment="1">
      <alignment horizontal="center" vertical="center"/>
    </xf>
    <xf numFmtId="176" fontId="15" fillId="12" borderId="26" xfId="1" applyNumberFormat="1" applyFont="1" applyFill="1" applyBorder="1" applyAlignment="1">
      <alignment horizontal="center" vertical="center"/>
    </xf>
    <xf numFmtId="183" fontId="15" fillId="12" borderId="13" xfId="1" applyNumberFormat="1" applyFont="1" applyFill="1" applyBorder="1" applyAlignment="1">
      <alignment horizontal="center" vertical="center"/>
    </xf>
    <xf numFmtId="176" fontId="15" fillId="12" borderId="5" xfId="1" applyNumberFormat="1" applyFont="1" applyFill="1" applyBorder="1" applyAlignment="1">
      <alignment horizontal="center" vertical="center"/>
    </xf>
    <xf numFmtId="183" fontId="15" fillId="12" borderId="5" xfId="1" applyNumberFormat="1" applyFont="1" applyFill="1" applyBorder="1" applyAlignment="1">
      <alignment horizontal="center" vertical="center"/>
    </xf>
    <xf numFmtId="176" fontId="15" fillId="12" borderId="45" xfId="1" applyNumberFormat="1" applyFont="1" applyFill="1" applyBorder="1" applyAlignment="1">
      <alignment horizontal="center" vertical="center" wrapText="1"/>
    </xf>
    <xf numFmtId="176" fontId="15" fillId="12" borderId="69" xfId="1" applyNumberFormat="1" applyFont="1" applyFill="1" applyBorder="1" applyAlignment="1">
      <alignment horizontal="center" vertical="center" wrapText="1"/>
    </xf>
    <xf numFmtId="176" fontId="15" fillId="12" borderId="35" xfId="1" applyNumberFormat="1" applyFont="1" applyFill="1" applyBorder="1" applyAlignment="1">
      <alignment horizontal="center" vertical="center" wrapText="1"/>
    </xf>
    <xf numFmtId="176" fontId="15" fillId="12" borderId="36" xfId="1" applyNumberFormat="1" applyFont="1" applyFill="1" applyBorder="1" applyAlignment="1">
      <alignment horizontal="center" vertical="center" wrapText="1"/>
    </xf>
    <xf numFmtId="176" fontId="15" fillId="12" borderId="34" xfId="1" applyNumberFormat="1" applyFont="1" applyFill="1" applyBorder="1" applyAlignment="1">
      <alignment horizontal="center" vertical="center" wrapText="1"/>
    </xf>
    <xf numFmtId="49" fontId="15" fillId="12" borderId="13" xfId="0" applyNumberFormat="1" applyFont="1" applyFill="1" applyBorder="1" applyAlignment="1">
      <alignment horizontal="center" vertical="center"/>
    </xf>
    <xf numFmtId="49" fontId="15" fillId="12" borderId="52" xfId="0" applyNumberFormat="1" applyFont="1" applyFill="1" applyBorder="1" applyAlignment="1">
      <alignment horizontal="center" vertical="center"/>
    </xf>
    <xf numFmtId="177" fontId="15" fillId="12" borderId="35" xfId="1" applyNumberFormat="1" applyFont="1" applyFill="1" applyBorder="1" applyAlignment="1">
      <alignment horizontal="center" vertical="center"/>
    </xf>
    <xf numFmtId="176" fontId="16" fillId="12" borderId="5" xfId="1" applyNumberFormat="1" applyFont="1" applyFill="1" applyBorder="1" applyAlignment="1">
      <alignment horizontal="center" vertical="center"/>
    </xf>
    <xf numFmtId="177" fontId="15" fillId="12" borderId="35" xfId="1" applyNumberFormat="1" applyFont="1" applyFill="1" applyBorder="1" applyAlignment="1">
      <alignment horizontal="center" vertical="center" wrapText="1"/>
    </xf>
    <xf numFmtId="176" fontId="13" fillId="12" borderId="5" xfId="1" applyNumberFormat="1" applyFont="1" applyFill="1" applyBorder="1" applyAlignment="1">
      <alignment horizontal="center" vertical="center"/>
    </xf>
    <xf numFmtId="177" fontId="15" fillId="12" borderId="0" xfId="1" applyNumberFormat="1" applyFont="1" applyFill="1" applyBorder="1" applyAlignment="1">
      <alignment horizontal="center" vertical="center"/>
    </xf>
    <xf numFmtId="177" fontId="15" fillId="12" borderId="68" xfId="1" applyNumberFormat="1" applyFont="1" applyFill="1" applyBorder="1" applyAlignment="1">
      <alignment horizontal="center" vertical="center"/>
    </xf>
    <xf numFmtId="177" fontId="15" fillId="12" borderId="34" xfId="1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183" fontId="15" fillId="12" borderId="13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180" fontId="16" fillId="12" borderId="1" xfId="0" applyNumberFormat="1" applyFont="1" applyFill="1" applyBorder="1" applyAlignment="1">
      <alignment horizontal="center" vertical="center" wrapText="1"/>
    </xf>
    <xf numFmtId="176" fontId="15" fillId="12" borderId="101" xfId="1" applyNumberFormat="1" applyFont="1" applyFill="1" applyBorder="1" applyAlignment="1">
      <alignment horizontal="center" vertical="center" wrapText="1"/>
    </xf>
    <xf numFmtId="176" fontId="15" fillId="12" borderId="6" xfId="1" applyNumberFormat="1" applyFont="1" applyFill="1" applyBorder="1" applyAlignment="1">
      <alignment horizontal="center" vertical="center"/>
    </xf>
    <xf numFmtId="183" fontId="15" fillId="12" borderId="56" xfId="1" applyNumberFormat="1" applyFont="1" applyFill="1" applyBorder="1" applyAlignment="1">
      <alignment horizontal="center" vertical="center"/>
    </xf>
    <xf numFmtId="176" fontId="15" fillId="12" borderId="37" xfId="1" applyNumberFormat="1" applyFont="1" applyFill="1" applyBorder="1" applyAlignment="1">
      <alignment horizontal="center" vertical="center" wrapText="1"/>
    </xf>
    <xf numFmtId="183" fontId="15" fillId="12" borderId="57" xfId="1" applyNumberFormat="1" applyFont="1" applyFill="1" applyBorder="1" applyAlignment="1">
      <alignment horizontal="center" vertical="center"/>
    </xf>
    <xf numFmtId="176" fontId="15" fillId="12" borderId="2" xfId="1" applyNumberFormat="1" applyFont="1" applyFill="1" applyBorder="1" applyAlignment="1">
      <alignment horizontal="center" vertical="center" wrapText="1"/>
    </xf>
    <xf numFmtId="3" fontId="15" fillId="12" borderId="2" xfId="2" applyNumberFormat="1" applyFont="1" applyFill="1" applyBorder="1" applyAlignment="1">
      <alignment horizontal="center" vertical="center"/>
    </xf>
    <xf numFmtId="177" fontId="15" fillId="12" borderId="45" xfId="1" applyNumberFormat="1" applyFont="1" applyFill="1" applyBorder="1" applyAlignment="1">
      <alignment horizontal="center" vertical="center" wrapText="1"/>
    </xf>
    <xf numFmtId="177" fontId="15" fillId="12" borderId="38" xfId="1" applyNumberFormat="1" applyFont="1" applyFill="1" applyBorder="1" applyAlignment="1">
      <alignment horizontal="center" vertical="center" wrapText="1"/>
    </xf>
    <xf numFmtId="177" fontId="15" fillId="12" borderId="37" xfId="1" applyNumberFormat="1" applyFont="1" applyFill="1" applyBorder="1" applyAlignment="1">
      <alignment horizontal="center" vertical="center" wrapText="1"/>
    </xf>
    <xf numFmtId="177" fontId="15" fillId="12" borderId="53" xfId="1" applyNumberFormat="1" applyFont="1" applyFill="1" applyBorder="1" applyAlignment="1">
      <alignment horizontal="center" vertical="center" wrapText="1"/>
    </xf>
    <xf numFmtId="177" fontId="15" fillId="12" borderId="39" xfId="1" applyNumberFormat="1" applyFont="1" applyFill="1" applyBorder="1" applyAlignment="1">
      <alignment horizontal="center" vertical="center" wrapText="1"/>
    </xf>
    <xf numFmtId="0" fontId="15" fillId="12" borderId="45" xfId="0" applyFont="1" applyFill="1" applyBorder="1" applyAlignment="1">
      <alignment horizontal="center" vertical="center" wrapText="1"/>
    </xf>
    <xf numFmtId="49" fontId="15" fillId="12" borderId="38" xfId="0" applyNumberFormat="1" applyFont="1" applyFill="1" applyBorder="1" applyAlignment="1">
      <alignment horizontal="center" vertical="center" wrapText="1"/>
    </xf>
    <xf numFmtId="49" fontId="15" fillId="12" borderId="37" xfId="0" applyNumberFormat="1" applyFont="1" applyFill="1" applyBorder="1" applyAlignment="1">
      <alignment horizontal="center" vertical="center" wrapText="1"/>
    </xf>
    <xf numFmtId="49" fontId="15" fillId="12" borderId="45" xfId="0" applyNumberFormat="1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left" vertical="center"/>
    </xf>
    <xf numFmtId="0" fontId="15" fillId="12" borderId="60" xfId="0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horizontal="center" vertical="center"/>
    </xf>
    <xf numFmtId="176" fontId="15" fillId="12" borderId="60" xfId="1" applyNumberFormat="1" applyFont="1" applyFill="1" applyBorder="1" applyAlignment="1">
      <alignment horizontal="center" vertical="center"/>
    </xf>
    <xf numFmtId="177" fontId="15" fillId="12" borderId="2" xfId="1" applyNumberFormat="1" applyFont="1" applyFill="1" applyBorder="1" applyAlignment="1">
      <alignment horizontal="center" vertical="center"/>
    </xf>
    <xf numFmtId="177" fontId="15" fillId="12" borderId="1" xfId="1" applyNumberFormat="1" applyFont="1" applyFill="1" applyBorder="1" applyAlignment="1">
      <alignment horizontal="center" vertical="center"/>
    </xf>
    <xf numFmtId="177" fontId="15" fillId="12" borderId="49" xfId="1" applyNumberFormat="1" applyFont="1" applyFill="1" applyBorder="1" applyAlignment="1">
      <alignment horizontal="center" vertical="center"/>
    </xf>
    <xf numFmtId="176" fontId="13" fillId="12" borderId="27" xfId="1" applyNumberFormat="1" applyFont="1" applyFill="1" applyBorder="1" applyAlignment="1">
      <alignment horizontal="center" vertical="center"/>
    </xf>
    <xf numFmtId="183" fontId="15" fillId="12" borderId="14" xfId="1" applyNumberFormat="1" applyFont="1" applyFill="1" applyBorder="1" applyAlignment="1">
      <alignment horizontal="center" vertical="center"/>
    </xf>
    <xf numFmtId="176" fontId="15" fillId="12" borderId="1" xfId="1" applyNumberFormat="1" applyFont="1" applyFill="1" applyBorder="1" applyAlignment="1">
      <alignment horizontal="center" vertical="center"/>
    </xf>
    <xf numFmtId="183" fontId="15" fillId="12" borderId="38" xfId="1" applyNumberFormat="1" applyFont="1" applyFill="1" applyBorder="1" applyAlignment="1">
      <alignment horizontal="center" vertical="center"/>
    </xf>
    <xf numFmtId="183" fontId="15" fillId="12" borderId="1" xfId="1" applyNumberFormat="1" applyFont="1" applyFill="1" applyBorder="1" applyAlignment="1">
      <alignment horizontal="center" vertical="center"/>
    </xf>
    <xf numFmtId="176" fontId="15" fillId="12" borderId="61" xfId="1" applyNumberFormat="1" applyFont="1" applyFill="1" applyBorder="1" applyAlignment="1">
      <alignment horizontal="center" vertical="center" wrapText="1"/>
    </xf>
    <xf numFmtId="176" fontId="15" fillId="12" borderId="38" xfId="1" applyNumberFormat="1" applyFont="1" applyFill="1" applyBorder="1" applyAlignment="1">
      <alignment horizontal="center" vertical="center" wrapText="1"/>
    </xf>
    <xf numFmtId="176" fontId="15" fillId="12" borderId="46" xfId="1" applyNumberFormat="1" applyFont="1" applyFill="1" applyBorder="1" applyAlignment="1">
      <alignment horizontal="center" vertical="center" wrapText="1"/>
    </xf>
    <xf numFmtId="176" fontId="15" fillId="12" borderId="39" xfId="1" applyNumberFormat="1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49" fontId="15" fillId="12" borderId="46" xfId="0" applyNumberFormat="1" applyFont="1" applyFill="1" applyBorder="1" applyAlignment="1">
      <alignment horizontal="center" vertical="center" wrapText="1"/>
    </xf>
    <xf numFmtId="49" fontId="15" fillId="12" borderId="14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12" borderId="49" xfId="0" applyNumberFormat="1" applyFont="1" applyFill="1" applyBorder="1" applyAlignment="1">
      <alignment horizontal="center" vertical="center" wrapText="1"/>
    </xf>
    <xf numFmtId="49" fontId="15" fillId="12" borderId="2" xfId="0" applyNumberFormat="1" applyFont="1" applyFill="1" applyBorder="1" applyAlignment="1">
      <alignment horizontal="center" vertical="center" wrapText="1"/>
    </xf>
    <xf numFmtId="176" fontId="15" fillId="12" borderId="27" xfId="1" applyNumberFormat="1" applyFont="1" applyFill="1" applyBorder="1" applyAlignment="1">
      <alignment horizontal="center" vertical="center"/>
    </xf>
    <xf numFmtId="176" fontId="15" fillId="12" borderId="1" xfId="2" applyNumberFormat="1" applyFont="1" applyFill="1" applyBorder="1" applyAlignment="1">
      <alignment horizontal="center" vertical="center"/>
    </xf>
    <xf numFmtId="49" fontId="15" fillId="12" borderId="1" xfId="2" applyNumberFormat="1" applyFont="1" applyFill="1" applyBorder="1" applyAlignment="1">
      <alignment horizontal="center" vertical="center"/>
    </xf>
    <xf numFmtId="176" fontId="13" fillId="12" borderId="1" xfId="1" applyNumberFormat="1" applyFont="1" applyFill="1" applyBorder="1" applyAlignment="1">
      <alignment horizontal="center" vertical="center"/>
    </xf>
    <xf numFmtId="176" fontId="15" fillId="12" borderId="101" xfId="1" applyNumberFormat="1" applyFont="1" applyFill="1" applyBorder="1" applyAlignment="1">
      <alignment horizontal="center" vertical="center"/>
    </xf>
    <xf numFmtId="176" fontId="15" fillId="12" borderId="33" xfId="1" applyNumberFormat="1" applyFont="1" applyFill="1" applyBorder="1" applyAlignment="1">
      <alignment horizontal="center" vertical="center"/>
    </xf>
    <xf numFmtId="177" fontId="15" fillId="12" borderId="27" xfId="1" applyNumberFormat="1" applyFont="1" applyFill="1" applyBorder="1" applyAlignment="1">
      <alignment horizontal="center" vertical="center" wrapText="1"/>
    </xf>
    <xf numFmtId="177" fontId="15" fillId="12" borderId="1" xfId="1" applyNumberFormat="1" applyFont="1" applyFill="1" applyBorder="1" applyAlignment="1">
      <alignment horizontal="center" vertical="center" wrapText="1"/>
    </xf>
    <xf numFmtId="177" fontId="15" fillId="12" borderId="2" xfId="1" applyNumberFormat="1" applyFont="1" applyFill="1" applyBorder="1" applyAlignment="1">
      <alignment horizontal="center" vertical="center" wrapText="1"/>
    </xf>
    <xf numFmtId="177" fontId="15" fillId="12" borderId="49" xfId="1" applyNumberFormat="1" applyFont="1" applyFill="1" applyBorder="1" applyAlignment="1">
      <alignment horizontal="center" vertical="center" wrapText="1"/>
    </xf>
    <xf numFmtId="177" fontId="15" fillId="12" borderId="3" xfId="1" applyNumberFormat="1" applyFont="1" applyFill="1" applyBorder="1" applyAlignment="1">
      <alignment horizontal="center" vertical="center" wrapText="1"/>
    </xf>
    <xf numFmtId="0" fontId="15" fillId="12" borderId="45" xfId="0" applyFont="1" applyFill="1" applyBorder="1" applyAlignment="1">
      <alignment horizontal="center" vertical="center"/>
    </xf>
    <xf numFmtId="49" fontId="15" fillId="12" borderId="38" xfId="0" applyNumberFormat="1" applyFont="1" applyFill="1" applyBorder="1" applyAlignment="1">
      <alignment horizontal="center" vertical="center"/>
    </xf>
    <xf numFmtId="49" fontId="15" fillId="12" borderId="37" xfId="0" applyNumberFormat="1" applyFont="1" applyFill="1" applyBorder="1" applyAlignment="1">
      <alignment horizontal="center" vertical="center"/>
    </xf>
    <xf numFmtId="49" fontId="15" fillId="12" borderId="45" xfId="0" applyNumberFormat="1" applyFont="1" applyFill="1" applyBorder="1" applyAlignment="1">
      <alignment horizontal="center" vertical="center"/>
    </xf>
    <xf numFmtId="0" fontId="15" fillId="12" borderId="37" xfId="0" applyFont="1" applyFill="1" applyBorder="1" applyAlignment="1">
      <alignment horizontal="center" vertical="center"/>
    </xf>
    <xf numFmtId="49" fontId="17" fillId="12" borderId="46" xfId="0" applyNumberFormat="1" applyFont="1" applyFill="1" applyBorder="1" applyAlignment="1">
      <alignment horizontal="center" vertical="center"/>
    </xf>
    <xf numFmtId="49" fontId="17" fillId="12" borderId="14" xfId="0" applyNumberFormat="1" applyFont="1" applyFill="1" applyBorder="1" applyAlignment="1">
      <alignment horizontal="center" vertical="center"/>
    </xf>
    <xf numFmtId="49" fontId="17" fillId="12" borderId="1" xfId="0" applyNumberFormat="1" applyFont="1" applyFill="1" applyBorder="1" applyAlignment="1">
      <alignment horizontal="center" vertical="center"/>
    </xf>
    <xf numFmtId="49" fontId="17" fillId="12" borderId="49" xfId="0" applyNumberFormat="1" applyFont="1" applyFill="1" applyBorder="1" applyAlignment="1">
      <alignment horizontal="center" vertical="center"/>
    </xf>
    <xf numFmtId="49" fontId="17" fillId="12" borderId="2" xfId="0" applyNumberFormat="1" applyFont="1" applyFill="1" applyBorder="1" applyAlignment="1">
      <alignment horizontal="center" vertical="center"/>
    </xf>
    <xf numFmtId="49" fontId="17" fillId="12" borderId="35" xfId="0" applyNumberFormat="1" applyFont="1" applyFill="1" applyBorder="1" applyAlignment="1">
      <alignment horizontal="center" vertical="center"/>
    </xf>
    <xf numFmtId="49" fontId="17" fillId="12" borderId="36" xfId="0" applyNumberFormat="1" applyFont="1" applyFill="1" applyBorder="1" applyAlignment="1">
      <alignment horizontal="center" vertical="center"/>
    </xf>
    <xf numFmtId="176" fontId="15" fillId="12" borderId="69" xfId="1" applyNumberFormat="1" applyFont="1" applyFill="1" applyBorder="1" applyAlignment="1">
      <alignment horizontal="center" vertical="center"/>
    </xf>
    <xf numFmtId="176" fontId="15" fillId="12" borderId="0" xfId="1" applyNumberFormat="1" applyFont="1" applyFill="1" applyBorder="1" applyAlignment="1">
      <alignment horizontal="center" vertical="center"/>
    </xf>
    <xf numFmtId="179" fontId="15" fillId="12" borderId="5" xfId="1" applyNumberFormat="1" applyFont="1" applyFill="1" applyBorder="1" applyAlignment="1">
      <alignment horizontal="center" vertical="center"/>
    </xf>
    <xf numFmtId="176" fontId="15" fillId="12" borderId="35" xfId="1" applyNumberFormat="1" applyFont="1" applyFill="1" applyBorder="1" applyAlignment="1">
      <alignment horizontal="center" vertical="center"/>
    </xf>
    <xf numFmtId="176" fontId="15" fillId="12" borderId="17" xfId="1" applyNumberFormat="1" applyFont="1" applyFill="1" applyBorder="1" applyAlignment="1">
      <alignment horizontal="center" vertical="center"/>
    </xf>
    <xf numFmtId="3" fontId="16" fillId="12" borderId="2" xfId="1" applyNumberFormat="1" applyFont="1" applyFill="1" applyBorder="1" applyAlignment="1">
      <alignment horizontal="center" vertical="center"/>
    </xf>
    <xf numFmtId="177" fontId="15" fillId="12" borderId="27" xfId="1" applyNumberFormat="1" applyFont="1" applyFill="1" applyBorder="1" applyAlignment="1">
      <alignment horizontal="center" vertical="center"/>
    </xf>
    <xf numFmtId="177" fontId="15" fillId="12" borderId="3" xfId="1" applyNumberFormat="1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 vertical="center"/>
    </xf>
    <xf numFmtId="49" fontId="15" fillId="12" borderId="27" xfId="0" applyNumberFormat="1" applyFont="1" applyFill="1" applyBorder="1" applyAlignment="1">
      <alignment horizontal="center" vertical="center"/>
    </xf>
    <xf numFmtId="49" fontId="15" fillId="12" borderId="14" xfId="0" applyNumberFormat="1" applyFont="1" applyFill="1" applyBorder="1" applyAlignment="1">
      <alignment horizontal="center" vertical="center"/>
    </xf>
    <xf numFmtId="49" fontId="15" fillId="12" borderId="49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177" fontId="15" fillId="12" borderId="38" xfId="1" applyNumberFormat="1" applyFont="1" applyFill="1" applyBorder="1" applyAlignment="1">
      <alignment horizontal="center" vertical="center"/>
    </xf>
    <xf numFmtId="177" fontId="15" fillId="12" borderId="53" xfId="1" applyNumberFormat="1" applyFont="1" applyFill="1" applyBorder="1" applyAlignment="1">
      <alignment horizontal="center" vertical="center"/>
    </xf>
    <xf numFmtId="176" fontId="15" fillId="12" borderId="45" xfId="1" applyNumberFormat="1" applyFont="1" applyFill="1" applyBorder="1" applyAlignment="1">
      <alignment horizontal="center" vertical="center"/>
    </xf>
    <xf numFmtId="176" fontId="15" fillId="12" borderId="38" xfId="1" applyNumberFormat="1" applyFont="1" applyFill="1" applyBorder="1" applyAlignment="1">
      <alignment horizontal="center" vertical="center"/>
    </xf>
    <xf numFmtId="176" fontId="15" fillId="12" borderId="14" xfId="1" applyNumberFormat="1" applyFont="1" applyFill="1" applyBorder="1" applyAlignment="1">
      <alignment horizontal="center" vertical="center"/>
    </xf>
    <xf numFmtId="176" fontId="15" fillId="12" borderId="3" xfId="1" applyNumberFormat="1" applyFont="1" applyFill="1" applyBorder="1" applyAlignment="1">
      <alignment horizontal="center" vertical="center"/>
    </xf>
    <xf numFmtId="177" fontId="15" fillId="12" borderId="45" xfId="1" applyNumberFormat="1" applyFont="1" applyFill="1" applyBorder="1" applyAlignment="1">
      <alignment horizontal="center" vertical="center"/>
    </xf>
    <xf numFmtId="177" fontId="15" fillId="12" borderId="37" xfId="1" applyNumberFormat="1" applyFont="1" applyFill="1" applyBorder="1" applyAlignment="1">
      <alignment horizontal="center" vertical="center"/>
    </xf>
    <xf numFmtId="177" fontId="15" fillId="12" borderId="39" xfId="1" applyNumberFormat="1" applyFont="1" applyFill="1" applyBorder="1" applyAlignment="1">
      <alignment horizontal="center" vertical="center"/>
    </xf>
    <xf numFmtId="0" fontId="15" fillId="12" borderId="46" xfId="0" applyFont="1" applyFill="1" applyBorder="1" applyAlignment="1">
      <alignment horizontal="center" vertical="center"/>
    </xf>
    <xf numFmtId="176" fontId="15" fillId="12" borderId="61" xfId="1" applyNumberFormat="1" applyFont="1" applyFill="1" applyBorder="1" applyAlignment="1">
      <alignment horizontal="center" vertical="center"/>
    </xf>
    <xf numFmtId="176" fontId="15" fillId="12" borderId="46" xfId="1" applyNumberFormat="1" applyFont="1" applyFill="1" applyBorder="1" applyAlignment="1">
      <alignment horizontal="center" vertical="center"/>
    </xf>
    <xf numFmtId="176" fontId="15" fillId="12" borderId="39" xfId="1" applyNumberFormat="1" applyFont="1" applyFill="1" applyBorder="1" applyAlignment="1">
      <alignment horizontal="center" vertical="center"/>
    </xf>
    <xf numFmtId="49" fontId="15" fillId="12" borderId="46" xfId="0" applyNumberFormat="1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83" fontId="15" fillId="2" borderId="13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181" fontId="15" fillId="6" borderId="1" xfId="0" applyNumberFormat="1" applyFont="1" applyFill="1" applyBorder="1" applyAlignment="1">
      <alignment horizontal="center" vertical="center"/>
    </xf>
    <xf numFmtId="182" fontId="15" fillId="6" borderId="1" xfId="0" applyNumberFormat="1" applyFont="1" applyFill="1" applyBorder="1" applyAlignment="1">
      <alignment horizontal="center" vertical="center"/>
    </xf>
    <xf numFmtId="176" fontId="15" fillId="6" borderId="101" xfId="1" applyNumberFormat="1" applyFont="1" applyFill="1" applyBorder="1" applyAlignment="1">
      <alignment horizontal="center" vertical="center"/>
    </xf>
    <xf numFmtId="176" fontId="15" fillId="3" borderId="6" xfId="1" applyNumberFormat="1" applyFont="1" applyFill="1" applyBorder="1" applyAlignment="1">
      <alignment horizontal="center" vertical="center"/>
    </xf>
    <xf numFmtId="183" fontId="15" fillId="3" borderId="56" xfId="1" applyNumberFormat="1" applyFont="1" applyFill="1" applyBorder="1" applyAlignment="1">
      <alignment horizontal="center" vertical="center"/>
    </xf>
    <xf numFmtId="176" fontId="15" fillId="3" borderId="37" xfId="1" applyNumberFormat="1" applyFont="1" applyFill="1" applyBorder="1" applyAlignment="1">
      <alignment horizontal="center" vertical="center" wrapText="1"/>
    </xf>
    <xf numFmtId="183" fontId="15" fillId="3" borderId="57" xfId="1" applyNumberFormat="1" applyFont="1" applyFill="1" applyBorder="1" applyAlignment="1">
      <alignment horizontal="center" vertical="center"/>
    </xf>
    <xf numFmtId="176" fontId="15" fillId="3" borderId="2" xfId="1" applyNumberFormat="1" applyFont="1" applyFill="1" applyBorder="1" applyAlignment="1">
      <alignment horizontal="center" vertical="center"/>
    </xf>
    <xf numFmtId="183" fontId="15" fillId="3" borderId="49" xfId="1" applyNumberFormat="1" applyFont="1" applyFill="1" applyBorder="1" applyAlignment="1">
      <alignment horizontal="center" vertical="center"/>
    </xf>
    <xf numFmtId="183" fontId="15" fillId="3" borderId="53" xfId="1" applyNumberFormat="1" applyFont="1" applyFill="1" applyBorder="1" applyAlignment="1">
      <alignment horizontal="center" vertical="center"/>
    </xf>
    <xf numFmtId="183" fontId="15" fillId="3" borderId="14" xfId="1" applyNumberFormat="1" applyFont="1" applyFill="1" applyBorder="1" applyAlignment="1">
      <alignment horizontal="center" vertical="center"/>
    </xf>
    <xf numFmtId="177" fontId="15" fillId="3" borderId="45" xfId="1" applyNumberFormat="1" applyFont="1" applyFill="1" applyBorder="1" applyAlignment="1">
      <alignment horizontal="center" vertical="center" wrapText="1"/>
    </xf>
    <xf numFmtId="177" fontId="15" fillId="3" borderId="38" xfId="1" applyNumberFormat="1" applyFont="1" applyFill="1" applyBorder="1" applyAlignment="1">
      <alignment horizontal="center" vertical="center" wrapText="1"/>
    </xf>
    <xf numFmtId="177" fontId="15" fillId="3" borderId="37" xfId="1" applyNumberFormat="1" applyFont="1" applyFill="1" applyBorder="1" applyAlignment="1">
      <alignment horizontal="center" vertical="center" wrapText="1"/>
    </xf>
    <xf numFmtId="177" fontId="15" fillId="3" borderId="53" xfId="1" applyNumberFormat="1" applyFont="1" applyFill="1" applyBorder="1" applyAlignment="1">
      <alignment horizontal="center" vertical="center" wrapText="1"/>
    </xf>
    <xf numFmtId="177" fontId="15" fillId="3" borderId="39" xfId="1" applyNumberFormat="1" applyFont="1" applyFill="1" applyBorder="1" applyAlignment="1">
      <alignment horizontal="center" vertical="center" wrapText="1"/>
    </xf>
    <xf numFmtId="0" fontId="15" fillId="4" borderId="45" xfId="0" applyFont="1" applyFill="1" applyBorder="1" applyAlignment="1">
      <alignment horizontal="center" vertical="center"/>
    </xf>
    <xf numFmtId="49" fontId="15" fillId="4" borderId="38" xfId="0" applyNumberFormat="1" applyFont="1" applyFill="1" applyBorder="1" applyAlignment="1">
      <alignment horizontal="center" vertical="center"/>
    </xf>
    <xf numFmtId="49" fontId="15" fillId="4" borderId="37" xfId="0" applyNumberFormat="1" applyFont="1" applyFill="1" applyBorder="1" applyAlignment="1">
      <alignment horizontal="center" vertical="center"/>
    </xf>
    <xf numFmtId="49" fontId="15" fillId="4" borderId="45" xfId="0" applyNumberFormat="1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left" vertical="center"/>
    </xf>
    <xf numFmtId="0" fontId="15" fillId="4" borderId="60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176" fontId="15" fillId="4" borderId="60" xfId="1" applyNumberFormat="1" applyFont="1" applyFill="1" applyBorder="1" applyAlignment="1">
      <alignment horizontal="center" vertical="center"/>
    </xf>
    <xf numFmtId="183" fontId="15" fillId="4" borderId="49" xfId="1" applyNumberFormat="1" applyFont="1" applyFill="1" applyBorder="1" applyAlignment="1">
      <alignment horizontal="center" vertical="center"/>
    </xf>
    <xf numFmtId="177" fontId="15" fillId="4" borderId="2" xfId="1" applyNumberFormat="1" applyFont="1" applyFill="1" applyBorder="1" applyAlignment="1">
      <alignment horizontal="center" vertical="center"/>
    </xf>
    <xf numFmtId="177" fontId="15" fillId="4" borderId="1" xfId="1" applyNumberFormat="1" applyFont="1" applyFill="1" applyBorder="1" applyAlignment="1">
      <alignment horizontal="center" vertical="center"/>
    </xf>
    <xf numFmtId="177" fontId="15" fillId="4" borderId="49" xfId="1" applyNumberFormat="1" applyFont="1" applyFill="1" applyBorder="1" applyAlignment="1">
      <alignment horizontal="center" vertical="center"/>
    </xf>
    <xf numFmtId="176" fontId="15" fillId="4" borderId="27" xfId="1" applyNumberFormat="1" applyFont="1" applyFill="1" applyBorder="1" applyAlignment="1">
      <alignment horizontal="center" vertical="center"/>
    </xf>
    <xf numFmtId="183" fontId="15" fillId="4" borderId="14" xfId="1" applyNumberFormat="1" applyFont="1" applyFill="1" applyBorder="1" applyAlignment="1">
      <alignment horizontal="center" vertical="center"/>
    </xf>
    <xf numFmtId="176" fontId="15" fillId="4" borderId="1" xfId="1" applyNumberFormat="1" applyFont="1" applyFill="1" applyBorder="1" applyAlignment="1">
      <alignment horizontal="center" vertical="center"/>
    </xf>
    <xf numFmtId="183" fontId="15" fillId="4" borderId="38" xfId="1" applyNumberFormat="1" applyFont="1" applyFill="1" applyBorder="1" applyAlignment="1">
      <alignment horizontal="center" vertical="center"/>
    </xf>
    <xf numFmtId="183" fontId="15" fillId="4" borderId="1" xfId="1" applyNumberFormat="1" applyFont="1" applyFill="1" applyBorder="1" applyAlignment="1">
      <alignment horizontal="center" vertical="center"/>
    </xf>
    <xf numFmtId="176" fontId="15" fillId="4" borderId="45" xfId="1" applyNumberFormat="1" applyFont="1" applyFill="1" applyBorder="1" applyAlignment="1">
      <alignment horizontal="center" vertical="center" wrapText="1"/>
    </xf>
    <xf numFmtId="176" fontId="15" fillId="4" borderId="61" xfId="1" applyNumberFormat="1" applyFont="1" applyFill="1" applyBorder="1" applyAlignment="1">
      <alignment horizontal="center" vertical="center" wrapText="1"/>
    </xf>
    <xf numFmtId="176" fontId="15" fillId="4" borderId="38" xfId="1" applyNumberFormat="1" applyFont="1" applyFill="1" applyBorder="1" applyAlignment="1">
      <alignment horizontal="center" vertical="center" wrapText="1"/>
    </xf>
    <xf numFmtId="176" fontId="15" fillId="4" borderId="46" xfId="1" applyNumberFormat="1" applyFont="1" applyFill="1" applyBorder="1" applyAlignment="1">
      <alignment horizontal="center" vertical="center" wrapText="1"/>
    </xf>
    <xf numFmtId="176" fontId="15" fillId="4" borderId="39" xfId="1" applyNumberFormat="1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49" fontId="15" fillId="5" borderId="46" xfId="0" applyNumberFormat="1" applyFont="1" applyFill="1" applyBorder="1" applyAlignment="1">
      <alignment horizontal="center" vertical="center"/>
    </xf>
    <xf numFmtId="49" fontId="15" fillId="5" borderId="38" xfId="0" applyNumberFormat="1" applyFont="1" applyFill="1" applyBorder="1" applyAlignment="1">
      <alignment horizontal="center" vertical="center"/>
    </xf>
    <xf numFmtId="49" fontId="15" fillId="5" borderId="14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7" fillId="5" borderId="14" xfId="0" applyNumberFormat="1" applyFont="1" applyFill="1" applyBorder="1" applyAlignment="1">
      <alignment horizontal="center" vertical="center"/>
    </xf>
    <xf numFmtId="49" fontId="17" fillId="5" borderId="49" xfId="0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49" fontId="17" fillId="5" borderId="35" xfId="0" applyNumberFormat="1" applyFont="1" applyFill="1" applyBorder="1" applyAlignment="1">
      <alignment horizontal="center" vertical="center"/>
    </xf>
    <xf numFmtId="49" fontId="17" fillId="5" borderId="36" xfId="0" applyNumberFormat="1" applyFont="1" applyFill="1" applyBorder="1" applyAlignment="1">
      <alignment horizontal="center" vertical="center"/>
    </xf>
    <xf numFmtId="176" fontId="15" fillId="5" borderId="69" xfId="1" applyNumberFormat="1" applyFont="1" applyFill="1" applyBorder="1" applyAlignment="1">
      <alignment horizontal="center" vertical="center"/>
    </xf>
    <xf numFmtId="177" fontId="15" fillId="5" borderId="35" xfId="1" applyNumberFormat="1" applyFont="1" applyFill="1" applyBorder="1" applyAlignment="1">
      <alignment horizontal="center" vertical="center"/>
    </xf>
    <xf numFmtId="177" fontId="15" fillId="5" borderId="68" xfId="1" applyNumberFormat="1" applyFont="1" applyFill="1" applyBorder="1" applyAlignment="1">
      <alignment horizontal="center" vertical="center"/>
    </xf>
    <xf numFmtId="176" fontId="15" fillId="5" borderId="0" xfId="1" applyNumberFormat="1" applyFont="1" applyFill="1" applyBorder="1" applyAlignment="1">
      <alignment horizontal="center" vertical="center"/>
    </xf>
    <xf numFmtId="179" fontId="15" fillId="5" borderId="5" xfId="1" applyNumberFormat="1" applyFont="1" applyFill="1" applyBorder="1" applyAlignment="1">
      <alignment horizontal="center" vertical="center"/>
    </xf>
    <xf numFmtId="176" fontId="15" fillId="5" borderId="1" xfId="1" applyNumberFormat="1" applyFont="1" applyFill="1" applyBorder="1" applyAlignment="1">
      <alignment horizontal="center" vertical="center"/>
    </xf>
    <xf numFmtId="177" fontId="15" fillId="5" borderId="1" xfId="1" applyNumberFormat="1" applyFont="1" applyFill="1" applyBorder="1" applyAlignment="1">
      <alignment horizontal="center" vertical="center"/>
    </xf>
    <xf numFmtId="176" fontId="15" fillId="5" borderId="35" xfId="1" applyNumberFormat="1" applyFont="1" applyFill="1" applyBorder="1" applyAlignment="1">
      <alignment horizontal="center" vertical="center"/>
    </xf>
    <xf numFmtId="176" fontId="15" fillId="5" borderId="1" xfId="2" applyNumberFormat="1" applyFont="1" applyFill="1" applyBorder="1" applyAlignment="1">
      <alignment horizontal="center" vertical="center"/>
    </xf>
    <xf numFmtId="49" fontId="15" fillId="5" borderId="1" xfId="2" applyNumberFormat="1" applyFont="1" applyFill="1" applyBorder="1" applyAlignment="1">
      <alignment horizontal="center" vertical="center"/>
    </xf>
    <xf numFmtId="176" fontId="13" fillId="5" borderId="1" xfId="1" applyNumberFormat="1" applyFont="1" applyFill="1" applyBorder="1" applyAlignment="1">
      <alignment horizontal="center" vertical="center"/>
    </xf>
    <xf numFmtId="177" fontId="15" fillId="5" borderId="38" xfId="1" applyNumberFormat="1" applyFont="1" applyFill="1" applyBorder="1" applyAlignment="1">
      <alignment horizontal="center" vertical="center" wrapText="1"/>
    </xf>
    <xf numFmtId="177" fontId="15" fillId="5" borderId="0" xfId="1" applyNumberFormat="1" applyFont="1" applyFill="1" applyBorder="1" applyAlignment="1">
      <alignment horizontal="center" vertical="center"/>
    </xf>
    <xf numFmtId="177" fontId="15" fillId="5" borderId="34" xfId="1" applyNumberFormat="1" applyFont="1" applyFill="1" applyBorder="1" applyAlignment="1">
      <alignment horizontal="center" vertical="center"/>
    </xf>
    <xf numFmtId="183" fontId="15" fillId="4" borderId="46" xfId="1" applyNumberFormat="1" applyFont="1" applyFill="1" applyBorder="1" applyAlignment="1">
      <alignment horizontal="center" vertical="center"/>
    </xf>
    <xf numFmtId="176" fontId="15" fillId="3" borderId="1" xfId="1" applyNumberFormat="1" applyFont="1" applyFill="1" applyBorder="1" applyAlignment="1">
      <alignment horizontal="center" vertical="center"/>
    </xf>
    <xf numFmtId="183" fontId="15" fillId="3" borderId="1" xfId="1" applyNumberFormat="1" applyFont="1" applyFill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83" fontId="15" fillId="2" borderId="14" xfId="0" applyNumberFormat="1" applyFont="1" applyFill="1" applyBorder="1" applyAlignment="1">
      <alignment horizontal="center" vertical="center"/>
    </xf>
    <xf numFmtId="176" fontId="15" fillId="6" borderId="17" xfId="1" applyNumberFormat="1" applyFont="1" applyFill="1" applyBorder="1" applyAlignment="1">
      <alignment horizontal="center" vertical="center"/>
    </xf>
    <xf numFmtId="177" fontId="15" fillId="3" borderId="27" xfId="1" applyNumberFormat="1" applyFont="1" applyFill="1" applyBorder="1" applyAlignment="1">
      <alignment horizontal="center" vertical="center"/>
    </xf>
    <xf numFmtId="177" fontId="15" fillId="3" borderId="1" xfId="1" applyNumberFormat="1" applyFont="1" applyFill="1" applyBorder="1" applyAlignment="1">
      <alignment horizontal="center" vertical="center"/>
    </xf>
    <xf numFmtId="177" fontId="15" fillId="3" borderId="2" xfId="1" applyNumberFormat="1" applyFont="1" applyFill="1" applyBorder="1" applyAlignment="1">
      <alignment horizontal="center" vertical="center"/>
    </xf>
    <xf numFmtId="177" fontId="15" fillId="3" borderId="49" xfId="1" applyNumberFormat="1" applyFont="1" applyFill="1" applyBorder="1" applyAlignment="1">
      <alignment horizontal="center" vertical="center"/>
    </xf>
    <xf numFmtId="177" fontId="15" fillId="3" borderId="3" xfId="1" applyNumberFormat="1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49" fontId="15" fillId="4" borderId="27" xfId="0" applyNumberFormat="1" applyFont="1" applyFill="1" applyBorder="1" applyAlignment="1">
      <alignment horizontal="center" vertical="center"/>
    </xf>
    <xf numFmtId="177" fontId="15" fillId="4" borderId="4" xfId="1" applyNumberFormat="1" applyFont="1" applyFill="1" applyBorder="1" applyAlignment="1">
      <alignment horizontal="center" vertical="center"/>
    </xf>
    <xf numFmtId="177" fontId="15" fillId="4" borderId="5" xfId="1" applyNumberFormat="1" applyFont="1" applyFill="1" applyBorder="1" applyAlignment="1">
      <alignment horizontal="center" vertical="center"/>
    </xf>
    <xf numFmtId="177" fontId="15" fillId="4" borderId="52" xfId="1" applyNumberFormat="1" applyFont="1" applyFill="1" applyBorder="1" applyAlignment="1">
      <alignment horizontal="center" vertical="center"/>
    </xf>
    <xf numFmtId="176" fontId="15" fillId="4" borderId="26" xfId="1" applyNumberFormat="1" applyFont="1" applyFill="1" applyBorder="1" applyAlignment="1">
      <alignment horizontal="center" vertical="center"/>
    </xf>
    <xf numFmtId="183" fontId="15" fillId="4" borderId="5" xfId="1" applyNumberFormat="1" applyFont="1" applyFill="1" applyBorder="1" applyAlignment="1">
      <alignment horizontal="center" vertical="center"/>
    </xf>
    <xf numFmtId="176" fontId="15" fillId="4" borderId="5" xfId="1" applyNumberFormat="1" applyFont="1" applyFill="1" applyBorder="1" applyAlignment="1">
      <alignment horizontal="center" vertical="center"/>
    </xf>
    <xf numFmtId="176" fontId="15" fillId="4" borderId="69" xfId="1" applyNumberFormat="1" applyFont="1" applyFill="1" applyBorder="1" applyAlignment="1">
      <alignment horizontal="center" vertical="center" wrapText="1"/>
    </xf>
    <xf numFmtId="176" fontId="15" fillId="4" borderId="35" xfId="1" applyNumberFormat="1" applyFont="1" applyFill="1" applyBorder="1" applyAlignment="1">
      <alignment horizontal="center" vertical="center" wrapText="1"/>
    </xf>
    <xf numFmtId="176" fontId="15" fillId="4" borderId="36" xfId="1" applyNumberFormat="1" applyFont="1" applyFill="1" applyBorder="1" applyAlignment="1">
      <alignment horizontal="center" vertical="center" wrapText="1"/>
    </xf>
    <xf numFmtId="176" fontId="15" fillId="4" borderId="34" xfId="1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49" fontId="15" fillId="5" borderId="49" xfId="0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176" fontId="15" fillId="5" borderId="60" xfId="1" applyNumberFormat="1" applyFont="1" applyFill="1" applyBorder="1" applyAlignment="1">
      <alignment horizontal="center" vertical="center"/>
    </xf>
    <xf numFmtId="177" fontId="15" fillId="5" borderId="38" xfId="1" applyNumberFormat="1" applyFont="1" applyFill="1" applyBorder="1" applyAlignment="1">
      <alignment horizontal="center" vertical="center"/>
    </xf>
    <xf numFmtId="177" fontId="15" fillId="5" borderId="53" xfId="1" applyNumberFormat="1" applyFont="1" applyFill="1" applyBorder="1" applyAlignment="1">
      <alignment horizontal="center" vertical="center"/>
    </xf>
    <xf numFmtId="176" fontId="15" fillId="5" borderId="45" xfId="1" applyNumberFormat="1" applyFont="1" applyFill="1" applyBorder="1" applyAlignment="1">
      <alignment horizontal="center" vertical="center"/>
    </xf>
    <xf numFmtId="176" fontId="15" fillId="5" borderId="38" xfId="1" applyNumberFormat="1" applyFont="1" applyFill="1" applyBorder="1" applyAlignment="1">
      <alignment horizontal="center" vertical="center"/>
    </xf>
    <xf numFmtId="176" fontId="15" fillId="5" borderId="5" xfId="1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176" fontId="15" fillId="4" borderId="2" xfId="1" applyNumberFormat="1" applyFont="1" applyFill="1" applyBorder="1" applyAlignment="1">
      <alignment horizontal="center" vertical="center"/>
    </xf>
    <xf numFmtId="176" fontId="15" fillId="4" borderId="14" xfId="1" applyNumberFormat="1" applyFont="1" applyFill="1" applyBorder="1" applyAlignment="1">
      <alignment horizontal="center" vertical="center"/>
    </xf>
    <xf numFmtId="176" fontId="15" fillId="4" borderId="3" xfId="1" applyNumberFormat="1" applyFont="1" applyFill="1" applyBorder="1" applyAlignment="1">
      <alignment horizontal="center" vertical="center"/>
    </xf>
    <xf numFmtId="177" fontId="15" fillId="5" borderId="49" xfId="1" applyNumberFormat="1" applyFont="1" applyFill="1" applyBorder="1" applyAlignment="1">
      <alignment horizontal="center" vertical="center"/>
    </xf>
    <xf numFmtId="176" fontId="15" fillId="5" borderId="27" xfId="1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6" fontId="13" fillId="3" borderId="58" xfId="1" applyNumberFormat="1" applyFont="1" applyFill="1" applyBorder="1" applyAlignment="1">
      <alignment horizontal="center" vertical="center" wrapText="1"/>
    </xf>
    <xf numFmtId="183" fontId="13" fillId="3" borderId="10" xfId="1" applyNumberFormat="1" applyFont="1" applyFill="1" applyBorder="1" applyAlignment="1">
      <alignment horizontal="center" vertical="center" wrapText="1"/>
    </xf>
    <xf numFmtId="183" fontId="13" fillId="3" borderId="25" xfId="1" applyNumberFormat="1" applyFont="1" applyFill="1" applyBorder="1" applyAlignment="1">
      <alignment horizontal="center" vertical="center" wrapText="1"/>
    </xf>
    <xf numFmtId="41" fontId="13" fillId="3" borderId="58" xfId="1" applyNumberFormat="1" applyFont="1" applyFill="1" applyBorder="1" applyAlignment="1">
      <alignment horizontal="center" vertical="center" wrapText="1"/>
    </xf>
    <xf numFmtId="177" fontId="13" fillId="3" borderId="25" xfId="1" applyNumberFormat="1" applyFont="1" applyFill="1" applyBorder="1" applyAlignment="1">
      <alignment horizontal="center" vertical="center"/>
    </xf>
    <xf numFmtId="41" fontId="13" fillId="3" borderId="10" xfId="1" applyNumberFormat="1" applyFont="1" applyFill="1" applyBorder="1" applyAlignment="1">
      <alignment horizontal="center" vertical="center" wrapText="1"/>
    </xf>
    <xf numFmtId="177" fontId="13" fillId="3" borderId="10" xfId="1" applyNumberFormat="1" applyFont="1" applyFill="1" applyBorder="1" applyAlignment="1">
      <alignment horizontal="center" vertical="center"/>
    </xf>
    <xf numFmtId="41" fontId="13" fillId="3" borderId="9" xfId="1" applyNumberFormat="1" applyFont="1" applyFill="1" applyBorder="1" applyAlignment="1">
      <alignment horizontal="center" vertical="center" wrapText="1"/>
    </xf>
    <xf numFmtId="177" fontId="13" fillId="3" borderId="15" xfId="1" applyNumberFormat="1" applyFont="1" applyFill="1" applyBorder="1" applyAlignment="1">
      <alignment horizontal="center" vertical="center"/>
    </xf>
    <xf numFmtId="177" fontId="13" fillId="4" borderId="12" xfId="1" applyNumberFormat="1" applyFont="1" applyFill="1" applyBorder="1" applyAlignment="1">
      <alignment horizontal="center" vertical="center" wrapText="1"/>
    </xf>
    <xf numFmtId="49" fontId="13" fillId="5" borderId="73" xfId="0" applyNumberFormat="1" applyFont="1" applyFill="1" applyBorder="1" applyAlignment="1">
      <alignment vertical="center" wrapText="1"/>
    </xf>
    <xf numFmtId="49" fontId="13" fillId="5" borderId="74" xfId="0" applyNumberFormat="1" applyFont="1" applyFill="1" applyBorder="1" applyAlignment="1">
      <alignment vertical="center" wrapText="1"/>
    </xf>
    <xf numFmtId="176" fontId="13" fillId="5" borderId="9" xfId="1" applyNumberFormat="1" applyFont="1" applyFill="1" applyBorder="1" applyAlignment="1">
      <alignment horizontal="center" vertical="center" wrapText="1"/>
    </xf>
    <xf numFmtId="177" fontId="13" fillId="5" borderId="25" xfId="1" applyNumberFormat="1" applyFont="1" applyFill="1" applyBorder="1" applyAlignment="1">
      <alignment horizontal="center" vertical="center" wrapText="1"/>
    </xf>
    <xf numFmtId="176" fontId="13" fillId="5" borderId="58" xfId="1" applyNumberFormat="1" applyFont="1" applyFill="1" applyBorder="1" applyAlignment="1">
      <alignment horizontal="center" vertical="center" wrapText="1"/>
    </xf>
    <xf numFmtId="0" fontId="13" fillId="0" borderId="11" xfId="0" applyFont="1" applyBorder="1">
      <alignment vertical="center"/>
    </xf>
    <xf numFmtId="0" fontId="15" fillId="12" borderId="1" xfId="0" applyFont="1" applyFill="1" applyBorder="1">
      <alignment vertical="center"/>
    </xf>
    <xf numFmtId="0" fontId="15" fillId="12" borderId="49" xfId="0" applyFont="1" applyFill="1" applyBorder="1">
      <alignment vertical="center"/>
    </xf>
    <xf numFmtId="0" fontId="15" fillId="12" borderId="60" xfId="0" applyFont="1" applyFill="1" applyBorder="1" applyAlignment="1">
      <alignment horizontal="left" vertical="center"/>
    </xf>
    <xf numFmtId="180" fontId="18" fillId="12" borderId="1" xfId="0" applyNumberFormat="1" applyFont="1" applyFill="1" applyBorder="1" applyAlignment="1">
      <alignment horizontal="center" vertical="center" wrapText="1"/>
    </xf>
    <xf numFmtId="177" fontId="15" fillId="12" borderId="1" xfId="0" applyNumberFormat="1" applyFont="1" applyFill="1" applyBorder="1" applyAlignment="1">
      <alignment horizontal="center" vertical="center"/>
    </xf>
    <xf numFmtId="176" fontId="15" fillId="12" borderId="3" xfId="1" applyNumberFormat="1" applyFont="1" applyFill="1" applyBorder="1">
      <alignment vertical="center"/>
    </xf>
    <xf numFmtId="177" fontId="15" fillId="12" borderId="66" xfId="1" applyNumberFormat="1" applyFont="1" applyFill="1" applyBorder="1" applyAlignment="1">
      <alignment horizontal="center" vertical="center"/>
    </xf>
    <xf numFmtId="177" fontId="15" fillId="12" borderId="56" xfId="1" applyNumberFormat="1" applyFont="1" applyFill="1" applyBorder="1" applyAlignment="1">
      <alignment horizontal="center" vertical="center"/>
    </xf>
    <xf numFmtId="41" fontId="15" fillId="12" borderId="66" xfId="1" applyNumberFormat="1" applyFont="1" applyFill="1" applyBorder="1">
      <alignment vertical="center"/>
    </xf>
    <xf numFmtId="41" fontId="15" fillId="12" borderId="1" xfId="1" applyNumberFormat="1" applyFont="1" applyFill="1" applyBorder="1">
      <alignment vertical="center"/>
    </xf>
    <xf numFmtId="41" fontId="15" fillId="12" borderId="27" xfId="1" applyNumberFormat="1" applyFont="1" applyFill="1" applyBorder="1">
      <alignment vertical="center"/>
    </xf>
    <xf numFmtId="41" fontId="15" fillId="12" borderId="60" xfId="1" applyNumberFormat="1" applyFont="1" applyFill="1" applyBorder="1">
      <alignment vertical="center"/>
    </xf>
    <xf numFmtId="0" fontId="15" fillId="12" borderId="27" xfId="0" applyFont="1" applyFill="1" applyBorder="1" applyAlignment="1">
      <alignment horizontal="center" vertical="center" wrapText="1"/>
    </xf>
    <xf numFmtId="0" fontId="15" fillId="12" borderId="49" xfId="0" applyFont="1" applyFill="1" applyBorder="1" applyAlignment="1">
      <alignment horizontal="center" vertical="center"/>
    </xf>
    <xf numFmtId="176" fontId="15" fillId="12" borderId="1" xfId="1" applyNumberFormat="1" applyFont="1" applyFill="1" applyBorder="1">
      <alignment vertical="center"/>
    </xf>
    <xf numFmtId="177" fontId="15" fillId="12" borderId="2" xfId="1" applyNumberFormat="1" applyFont="1" applyFill="1" applyBorder="1">
      <alignment vertical="center"/>
    </xf>
    <xf numFmtId="176" fontId="15" fillId="12" borderId="27" xfId="0" applyNumberFormat="1" applyFont="1" applyFill="1" applyBorder="1" applyAlignment="1">
      <alignment horizontal="right" vertical="center"/>
    </xf>
    <xf numFmtId="176" fontId="15" fillId="12" borderId="60" xfId="1" applyNumberFormat="1" applyFont="1" applyFill="1" applyBorder="1">
      <alignment vertical="center"/>
    </xf>
    <xf numFmtId="177" fontId="15" fillId="12" borderId="60" xfId="1" applyNumberFormat="1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177" fontId="15" fillId="12" borderId="14" xfId="1" applyNumberFormat="1" applyFont="1" applyFill="1" applyBorder="1" applyAlignment="1">
      <alignment horizontal="center" vertical="center"/>
    </xf>
    <xf numFmtId="177" fontId="15" fillId="12" borderId="14" xfId="0" applyNumberFormat="1" applyFont="1" applyFill="1" applyBorder="1" applyAlignment="1">
      <alignment horizontal="center" vertical="center"/>
    </xf>
    <xf numFmtId="177" fontId="15" fillId="12" borderId="27" xfId="0" applyNumberFormat="1" applyFont="1" applyFill="1" applyBorder="1" applyAlignment="1">
      <alignment horizontal="center" vertical="center"/>
    </xf>
    <xf numFmtId="177" fontId="15" fillId="12" borderId="60" xfId="0" applyNumberFormat="1" applyFont="1" applyFill="1" applyBorder="1" applyAlignment="1">
      <alignment horizontal="center" vertical="center"/>
    </xf>
    <xf numFmtId="177" fontId="15" fillId="12" borderId="49" xfId="0" applyNumberFormat="1" applyFont="1" applyFill="1" applyBorder="1" applyAlignment="1">
      <alignment horizontal="center" vertical="center"/>
    </xf>
    <xf numFmtId="177" fontId="15" fillId="12" borderId="3" xfId="0" applyNumberFormat="1" applyFont="1" applyFill="1" applyBorder="1" applyAlignment="1">
      <alignment horizontal="center" vertical="center"/>
    </xf>
    <xf numFmtId="0" fontId="13" fillId="12" borderId="0" xfId="0" applyFont="1" applyFill="1">
      <alignment vertical="center"/>
    </xf>
    <xf numFmtId="0" fontId="15" fillId="12" borderId="27" xfId="0" applyFont="1" applyFill="1" applyBorder="1">
      <alignment vertical="center"/>
    </xf>
    <xf numFmtId="0" fontId="15" fillId="2" borderId="1" xfId="0" applyFont="1" applyFill="1" applyBorder="1">
      <alignment vertical="center"/>
    </xf>
    <xf numFmtId="0" fontId="15" fillId="2" borderId="49" xfId="0" applyFont="1" applyFill="1" applyBorder="1">
      <alignment vertical="center"/>
    </xf>
    <xf numFmtId="177" fontId="15" fillId="6" borderId="1" xfId="0" applyNumberFormat="1" applyFont="1" applyFill="1" applyBorder="1" applyAlignment="1">
      <alignment horizontal="center" vertical="center"/>
    </xf>
    <xf numFmtId="176" fontId="15" fillId="6" borderId="3" xfId="1" applyNumberFormat="1" applyFont="1" applyFill="1" applyBorder="1">
      <alignment vertical="center"/>
    </xf>
    <xf numFmtId="176" fontId="15" fillId="3" borderId="27" xfId="1" applyNumberFormat="1" applyFont="1" applyFill="1" applyBorder="1" applyAlignment="1">
      <alignment horizontal="center" vertical="center"/>
    </xf>
    <xf numFmtId="177" fontId="15" fillId="3" borderId="66" xfId="1" applyNumberFormat="1" applyFont="1" applyFill="1" applyBorder="1" applyAlignment="1">
      <alignment horizontal="center" vertical="center"/>
    </xf>
    <xf numFmtId="177" fontId="15" fillId="3" borderId="56" xfId="1" applyNumberFormat="1" applyFont="1" applyFill="1" applyBorder="1" applyAlignment="1">
      <alignment horizontal="center" vertical="center"/>
    </xf>
    <xf numFmtId="176" fontId="15" fillId="3" borderId="60" xfId="1" applyNumberFormat="1" applyFont="1" applyFill="1" applyBorder="1" applyAlignment="1">
      <alignment horizontal="center" vertical="center"/>
    </xf>
    <xf numFmtId="183" fontId="15" fillId="3" borderId="27" xfId="1" applyNumberFormat="1" applyFont="1" applyFill="1" applyBorder="1" applyAlignment="1">
      <alignment horizontal="center" vertical="center"/>
    </xf>
    <xf numFmtId="41" fontId="15" fillId="3" borderId="66" xfId="1" applyNumberFormat="1" applyFont="1" applyFill="1" applyBorder="1">
      <alignment vertical="center"/>
    </xf>
    <xf numFmtId="41" fontId="15" fillId="3" borderId="1" xfId="1" applyNumberFormat="1" applyFont="1" applyFill="1" applyBorder="1">
      <alignment vertical="center"/>
    </xf>
    <xf numFmtId="41" fontId="15" fillId="3" borderId="27" xfId="1" applyNumberFormat="1" applyFont="1" applyFill="1" applyBorder="1">
      <alignment vertical="center"/>
    </xf>
    <xf numFmtId="41" fontId="15" fillId="3" borderId="60" xfId="1" applyNumberFormat="1" applyFont="1" applyFill="1" applyBorder="1">
      <alignment vertical="center"/>
    </xf>
    <xf numFmtId="0" fontId="15" fillId="4" borderId="49" xfId="0" applyFont="1" applyFill="1" applyBorder="1" applyAlignment="1">
      <alignment horizontal="center" vertical="center"/>
    </xf>
    <xf numFmtId="176" fontId="15" fillId="4" borderId="2" xfId="1" applyNumberFormat="1" applyFont="1" applyFill="1" applyBorder="1">
      <alignment vertical="center"/>
    </xf>
    <xf numFmtId="0" fontId="15" fillId="4" borderId="1" xfId="0" applyFont="1" applyFill="1" applyBorder="1">
      <alignment vertical="center"/>
    </xf>
    <xf numFmtId="177" fontId="15" fillId="4" borderId="1" xfId="0" applyNumberFormat="1" applyFont="1" applyFill="1" applyBorder="1">
      <alignment vertical="center"/>
    </xf>
    <xf numFmtId="176" fontId="15" fillId="4" borderId="1" xfId="1" applyNumberFormat="1" applyFont="1" applyFill="1" applyBorder="1">
      <alignment vertical="center"/>
    </xf>
    <xf numFmtId="177" fontId="15" fillId="4" borderId="1" xfId="1" applyNumberFormat="1" applyFont="1" applyFill="1" applyBorder="1">
      <alignment vertical="center"/>
    </xf>
    <xf numFmtId="176" fontId="15" fillId="4" borderId="27" xfId="0" applyNumberFormat="1" applyFont="1" applyFill="1" applyBorder="1" applyAlignment="1">
      <alignment horizontal="right" vertical="center"/>
    </xf>
    <xf numFmtId="176" fontId="15" fillId="4" borderId="60" xfId="1" applyNumberFormat="1" applyFont="1" applyFill="1" applyBorder="1">
      <alignment vertical="center"/>
    </xf>
    <xf numFmtId="177" fontId="15" fillId="4" borderId="27" xfId="1" applyNumberFormat="1" applyFont="1" applyFill="1" applyBorder="1" applyAlignment="1">
      <alignment horizontal="center" vertical="center"/>
    </xf>
    <xf numFmtId="177" fontId="15" fillId="4" borderId="60" xfId="1" applyNumberFormat="1" applyFont="1" applyFill="1" applyBorder="1" applyAlignment="1">
      <alignment horizontal="center" vertical="center"/>
    </xf>
    <xf numFmtId="176" fontId="15" fillId="5" borderId="2" xfId="1" applyNumberFormat="1" applyFont="1" applyFill="1" applyBorder="1">
      <alignment vertical="center"/>
    </xf>
    <xf numFmtId="177" fontId="15" fillId="5" borderId="27" xfId="1" applyNumberFormat="1" applyFont="1" applyFill="1" applyBorder="1" applyAlignment="1">
      <alignment horizontal="center" vertical="center"/>
    </xf>
    <xf numFmtId="177" fontId="15" fillId="5" borderId="14" xfId="1" applyNumberFormat="1" applyFont="1" applyFill="1" applyBorder="1" applyAlignment="1">
      <alignment horizontal="center" vertical="center"/>
    </xf>
    <xf numFmtId="177" fontId="15" fillId="5" borderId="60" xfId="1" applyNumberFormat="1" applyFont="1" applyFill="1" applyBorder="1" applyAlignment="1">
      <alignment horizontal="center" vertical="center"/>
    </xf>
    <xf numFmtId="177" fontId="15" fillId="5" borderId="56" xfId="1" applyNumberFormat="1" applyFont="1" applyFill="1" applyBorder="1" applyAlignment="1">
      <alignment horizontal="center" vertical="center"/>
    </xf>
    <xf numFmtId="177" fontId="15" fillId="5" borderId="14" xfId="0" applyNumberFormat="1" applyFont="1" applyFill="1" applyBorder="1" applyAlignment="1">
      <alignment horizontal="center" vertical="center"/>
    </xf>
    <xf numFmtId="176" fontId="15" fillId="5" borderId="1" xfId="1" applyNumberFormat="1" applyFont="1" applyFill="1" applyBorder="1">
      <alignment vertical="center"/>
    </xf>
    <xf numFmtId="177" fontId="15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>
      <alignment vertical="center"/>
    </xf>
    <xf numFmtId="177" fontId="15" fillId="5" borderId="27" xfId="0" applyNumberFormat="1" applyFont="1" applyFill="1" applyBorder="1" applyAlignment="1">
      <alignment horizontal="center" vertical="center"/>
    </xf>
    <xf numFmtId="177" fontId="15" fillId="5" borderId="60" xfId="0" applyNumberFormat="1" applyFont="1" applyFill="1" applyBorder="1" applyAlignment="1">
      <alignment horizontal="center" vertical="center"/>
    </xf>
    <xf numFmtId="177" fontId="15" fillId="5" borderId="49" xfId="0" applyNumberFormat="1" applyFont="1" applyFill="1" applyBorder="1" applyAlignment="1">
      <alignment horizontal="center" vertical="center"/>
    </xf>
    <xf numFmtId="177" fontId="15" fillId="5" borderId="3" xfId="0" applyNumberFormat="1" applyFont="1" applyFill="1" applyBorder="1" applyAlignment="1">
      <alignment horizontal="center" vertical="center"/>
    </xf>
    <xf numFmtId="0" fontId="15" fillId="0" borderId="27" xfId="0" applyFont="1" applyBorder="1">
      <alignment vertical="center"/>
    </xf>
    <xf numFmtId="0" fontId="15" fillId="4" borderId="2" xfId="0" applyFont="1" applyFill="1" applyBorder="1">
      <alignment vertical="center"/>
    </xf>
    <xf numFmtId="177" fontId="15" fillId="4" borderId="27" xfId="0" applyNumberFormat="1" applyFont="1" applyFill="1" applyBorder="1">
      <alignment vertical="center"/>
    </xf>
    <xf numFmtId="177" fontId="15" fillId="13" borderId="27" xfId="1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2" borderId="60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177" fontId="15" fillId="6" borderId="14" xfId="0" applyNumberFormat="1" applyFont="1" applyFill="1" applyBorder="1" applyAlignment="1">
      <alignment horizontal="center" vertical="center"/>
    </xf>
    <xf numFmtId="176" fontId="15" fillId="3" borderId="6" xfId="1" applyNumberFormat="1" applyFont="1" applyFill="1" applyBorder="1">
      <alignment vertical="center"/>
    </xf>
    <xf numFmtId="176" fontId="15" fillId="3" borderId="27" xfId="1" applyNumberFormat="1" applyFont="1" applyFill="1" applyBorder="1">
      <alignment vertical="center"/>
    </xf>
    <xf numFmtId="176" fontId="15" fillId="3" borderId="60" xfId="1" applyNumberFormat="1" applyFont="1" applyFill="1" applyBorder="1">
      <alignment vertical="center"/>
    </xf>
    <xf numFmtId="176" fontId="15" fillId="3" borderId="1" xfId="1" applyNumberFormat="1" applyFont="1" applyFill="1" applyBorder="1">
      <alignment vertical="center"/>
    </xf>
    <xf numFmtId="183" fontId="15" fillId="3" borderId="1" xfId="1" applyNumberFormat="1" applyFont="1" applyFill="1" applyBorder="1">
      <alignment vertical="center"/>
    </xf>
    <xf numFmtId="183" fontId="15" fillId="3" borderId="27" xfId="1" applyNumberFormat="1" applyFont="1" applyFill="1" applyBorder="1">
      <alignment vertical="center"/>
    </xf>
    <xf numFmtId="177" fontId="15" fillId="3" borderId="27" xfId="1" applyNumberFormat="1" applyFont="1" applyFill="1" applyBorder="1">
      <alignment vertical="center"/>
    </xf>
    <xf numFmtId="177" fontId="15" fillId="3" borderId="1" xfId="1" applyNumberFormat="1" applyFont="1" applyFill="1" applyBorder="1">
      <alignment vertical="center"/>
    </xf>
    <xf numFmtId="177" fontId="15" fillId="3" borderId="17" xfId="1" applyNumberFormat="1" applyFont="1" applyFill="1" applyBorder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5" fillId="4" borderId="14" xfId="1" applyNumberFormat="1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5" borderId="66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60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>
      <alignment vertical="center"/>
    </xf>
    <xf numFmtId="0" fontId="15" fillId="9" borderId="49" xfId="0" applyFont="1" applyFill="1" applyBorder="1">
      <alignment vertical="center"/>
    </xf>
    <xf numFmtId="180" fontId="16" fillId="9" borderId="1" xfId="0" applyNumberFormat="1" applyFont="1" applyFill="1" applyBorder="1" applyAlignment="1">
      <alignment horizontal="center" vertical="center" wrapText="1"/>
    </xf>
    <xf numFmtId="177" fontId="15" fillId="9" borderId="1" xfId="0" applyNumberFormat="1" applyFont="1" applyFill="1" applyBorder="1" applyAlignment="1">
      <alignment horizontal="center" vertical="center"/>
    </xf>
    <xf numFmtId="176" fontId="15" fillId="9" borderId="3" xfId="1" applyNumberFormat="1" applyFont="1" applyFill="1" applyBorder="1">
      <alignment vertical="center"/>
    </xf>
    <xf numFmtId="176" fontId="15" fillId="9" borderId="6" xfId="1" applyNumberFormat="1" applyFont="1" applyFill="1" applyBorder="1">
      <alignment vertical="center"/>
    </xf>
    <xf numFmtId="183" fontId="15" fillId="9" borderId="56" xfId="1" applyNumberFormat="1" applyFont="1" applyFill="1" applyBorder="1" applyAlignment="1">
      <alignment horizontal="center" vertical="center"/>
    </xf>
    <xf numFmtId="176" fontId="15" fillId="9" borderId="27" xfId="1" applyNumberFormat="1" applyFont="1" applyFill="1" applyBorder="1">
      <alignment vertical="center"/>
    </xf>
    <xf numFmtId="183" fontId="15" fillId="9" borderId="14" xfId="1" applyNumberFormat="1" applyFont="1" applyFill="1" applyBorder="1" applyAlignment="1">
      <alignment horizontal="center" vertical="center"/>
    </xf>
    <xf numFmtId="177" fontId="15" fillId="9" borderId="66" xfId="1" applyNumberFormat="1" applyFont="1" applyFill="1" applyBorder="1" applyAlignment="1">
      <alignment horizontal="center" vertical="center"/>
    </xf>
    <xf numFmtId="177" fontId="15" fillId="9" borderId="56" xfId="1" applyNumberFormat="1" applyFont="1" applyFill="1" applyBorder="1" applyAlignment="1">
      <alignment horizontal="center" vertical="center"/>
    </xf>
    <xf numFmtId="177" fontId="15" fillId="9" borderId="27" xfId="1" applyNumberFormat="1" applyFont="1" applyFill="1" applyBorder="1" applyAlignment="1">
      <alignment horizontal="center" vertical="center"/>
    </xf>
    <xf numFmtId="176" fontId="15" fillId="9" borderId="60" xfId="1" applyNumberFormat="1" applyFont="1" applyFill="1" applyBorder="1">
      <alignment vertical="center"/>
    </xf>
    <xf numFmtId="183" fontId="15" fillId="9" borderId="1" xfId="1" applyNumberFormat="1" applyFont="1" applyFill="1" applyBorder="1" applyAlignment="1">
      <alignment horizontal="center" vertical="center"/>
    </xf>
    <xf numFmtId="176" fontId="15" fillId="9" borderId="1" xfId="1" applyNumberFormat="1" applyFont="1" applyFill="1" applyBorder="1">
      <alignment vertical="center"/>
    </xf>
    <xf numFmtId="183" fontId="15" fillId="9" borderId="27" xfId="1" applyNumberFormat="1" applyFont="1" applyFill="1" applyBorder="1" applyAlignment="1">
      <alignment horizontal="center" vertical="center"/>
    </xf>
    <xf numFmtId="41" fontId="15" fillId="9" borderId="66" xfId="1" applyNumberFormat="1" applyFont="1" applyFill="1" applyBorder="1" applyAlignment="1">
      <alignment horizontal="center" vertical="center"/>
    </xf>
    <xf numFmtId="41" fontId="15" fillId="9" borderId="1" xfId="1" applyNumberFormat="1" applyFont="1" applyFill="1" applyBorder="1" applyAlignment="1">
      <alignment horizontal="center" vertical="center"/>
    </xf>
    <xf numFmtId="177" fontId="15" fillId="9" borderId="1" xfId="1" applyNumberFormat="1" applyFont="1" applyFill="1" applyBorder="1" applyAlignment="1">
      <alignment horizontal="center" vertical="center"/>
    </xf>
    <xf numFmtId="41" fontId="15" fillId="9" borderId="27" xfId="1" applyNumberFormat="1" applyFont="1" applyFill="1" applyBorder="1" applyAlignment="1">
      <alignment horizontal="center" vertical="center"/>
    </xf>
    <xf numFmtId="41" fontId="15" fillId="9" borderId="60" xfId="1" applyNumberFormat="1" applyFont="1" applyFill="1" applyBorder="1" applyAlignment="1">
      <alignment horizontal="center" vertical="center"/>
    </xf>
    <xf numFmtId="177" fontId="15" fillId="9" borderId="17" xfId="1" applyNumberFormat="1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wrapText="1"/>
    </xf>
    <xf numFmtId="49" fontId="15" fillId="9" borderId="27" xfId="0" applyNumberFormat="1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left" vertical="center"/>
    </xf>
    <xf numFmtId="0" fontId="15" fillId="9" borderId="49" xfId="0" applyFont="1" applyFill="1" applyBorder="1" applyAlignment="1">
      <alignment horizontal="center" vertical="center"/>
    </xf>
    <xf numFmtId="177" fontId="15" fillId="9" borderId="27" xfId="0" applyNumberFormat="1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right" vertical="center"/>
    </xf>
    <xf numFmtId="177" fontId="15" fillId="9" borderId="60" xfId="1" applyNumberFormat="1" applyFont="1" applyFill="1" applyBorder="1" applyAlignment="1">
      <alignment horizontal="center" vertical="center"/>
    </xf>
    <xf numFmtId="177" fontId="15" fillId="9" borderId="49" xfId="1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49" fontId="15" fillId="9" borderId="14" xfId="0" applyNumberFormat="1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/>
    </xf>
    <xf numFmtId="49" fontId="15" fillId="9" borderId="49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76" fontId="15" fillId="9" borderId="2" xfId="1" applyNumberFormat="1" applyFont="1" applyFill="1" applyBorder="1" applyAlignment="1">
      <alignment horizontal="center" vertical="center"/>
    </xf>
    <xf numFmtId="177" fontId="15" fillId="9" borderId="14" xfId="1" applyNumberFormat="1" applyFont="1" applyFill="1" applyBorder="1" applyAlignment="1">
      <alignment horizontal="center" vertical="center"/>
    </xf>
    <xf numFmtId="176" fontId="15" fillId="9" borderId="1" xfId="1" applyNumberFormat="1" applyFont="1" applyFill="1" applyBorder="1" applyAlignment="1">
      <alignment horizontal="center" vertical="center"/>
    </xf>
    <xf numFmtId="177" fontId="15" fillId="9" borderId="3" xfId="1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180" fontId="16" fillId="9" borderId="2" xfId="0" applyNumberFormat="1" applyFont="1" applyFill="1" applyBorder="1" applyAlignment="1">
      <alignment horizontal="center" vertical="center" wrapText="1"/>
    </xf>
    <xf numFmtId="177" fontId="15" fillId="9" borderId="2" xfId="0" applyNumberFormat="1" applyFont="1" applyFill="1" applyBorder="1" applyAlignment="1">
      <alignment horizontal="center" vertical="center"/>
    </xf>
    <xf numFmtId="176" fontId="13" fillId="9" borderId="1" xfId="1" applyNumberFormat="1" applyFont="1" applyFill="1" applyBorder="1">
      <alignment vertical="center"/>
    </xf>
    <xf numFmtId="183" fontId="13" fillId="9" borderId="1" xfId="1" applyNumberFormat="1" applyFont="1" applyFill="1" applyBorder="1" applyAlignment="1">
      <alignment horizontal="center" vertical="center"/>
    </xf>
    <xf numFmtId="183" fontId="15" fillId="9" borderId="1" xfId="1" applyNumberFormat="1" applyFont="1" applyFill="1" applyBorder="1">
      <alignment vertical="center"/>
    </xf>
    <xf numFmtId="183" fontId="15" fillId="9" borderId="27" xfId="1" applyNumberFormat="1" applyFont="1" applyFill="1" applyBorder="1">
      <alignment vertical="center"/>
    </xf>
    <xf numFmtId="41" fontId="15" fillId="9" borderId="66" xfId="1" applyNumberFormat="1" applyFont="1" applyFill="1" applyBorder="1">
      <alignment vertical="center"/>
    </xf>
    <xf numFmtId="177" fontId="15" fillId="9" borderId="27" xfId="1" applyNumberFormat="1" applyFont="1" applyFill="1" applyBorder="1">
      <alignment vertical="center"/>
    </xf>
    <xf numFmtId="41" fontId="15" fillId="9" borderId="1" xfId="1" applyNumberFormat="1" applyFont="1" applyFill="1" applyBorder="1">
      <alignment vertical="center"/>
    </xf>
    <xf numFmtId="177" fontId="15" fillId="9" borderId="1" xfId="1" applyNumberFormat="1" applyFont="1" applyFill="1" applyBorder="1">
      <alignment vertical="center"/>
    </xf>
    <xf numFmtId="41" fontId="15" fillId="9" borderId="27" xfId="1" applyNumberFormat="1" applyFont="1" applyFill="1" applyBorder="1">
      <alignment vertical="center"/>
    </xf>
    <xf numFmtId="41" fontId="15" fillId="9" borderId="60" xfId="1" applyNumberFormat="1" applyFont="1" applyFill="1" applyBorder="1">
      <alignment vertical="center"/>
    </xf>
    <xf numFmtId="177" fontId="15" fillId="9" borderId="17" xfId="1" applyNumberFormat="1" applyFont="1" applyFill="1" applyBorder="1">
      <alignment vertical="center"/>
    </xf>
    <xf numFmtId="177" fontId="15" fillId="9" borderId="2" xfId="1" applyNumberFormat="1" applyFont="1" applyFill="1" applyBorder="1">
      <alignment vertical="center"/>
    </xf>
    <xf numFmtId="177" fontId="15" fillId="9" borderId="14" xfId="0" applyNumberFormat="1" applyFont="1" applyFill="1" applyBorder="1" applyAlignment="1">
      <alignment horizontal="center" vertical="center"/>
    </xf>
    <xf numFmtId="177" fontId="15" fillId="9" borderId="60" xfId="0" applyNumberFormat="1" applyFont="1" applyFill="1" applyBorder="1" applyAlignment="1">
      <alignment horizontal="center" vertical="center"/>
    </xf>
    <xf numFmtId="177" fontId="15" fillId="9" borderId="49" xfId="0" applyNumberFormat="1" applyFont="1" applyFill="1" applyBorder="1" applyAlignment="1">
      <alignment horizontal="center" vertical="center"/>
    </xf>
    <xf numFmtId="177" fontId="15" fillId="9" borderId="3" xfId="0" applyNumberFormat="1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/>
    </xf>
    <xf numFmtId="0" fontId="15" fillId="11" borderId="60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5" fillId="11" borderId="49" xfId="0" applyFont="1" applyFill="1" applyBorder="1">
      <alignment vertical="center"/>
    </xf>
    <xf numFmtId="0" fontId="15" fillId="11" borderId="27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180" fontId="16" fillId="11" borderId="1" xfId="0" applyNumberFormat="1" applyFont="1" applyFill="1" applyBorder="1" applyAlignment="1">
      <alignment horizontal="center" vertical="center" wrapText="1"/>
    </xf>
    <xf numFmtId="177" fontId="15" fillId="11" borderId="1" xfId="0" applyNumberFormat="1" applyFont="1" applyFill="1" applyBorder="1" applyAlignment="1">
      <alignment horizontal="center" vertical="center"/>
    </xf>
    <xf numFmtId="177" fontId="15" fillId="11" borderId="14" xfId="0" applyNumberFormat="1" applyFont="1" applyFill="1" applyBorder="1" applyAlignment="1">
      <alignment horizontal="center" vertical="center"/>
    </xf>
    <xf numFmtId="176" fontId="15" fillId="11" borderId="3" xfId="1" applyNumberFormat="1" applyFont="1" applyFill="1" applyBorder="1">
      <alignment vertical="center"/>
    </xf>
    <xf numFmtId="176" fontId="15" fillId="11" borderId="6" xfId="1" applyNumberFormat="1" applyFont="1" applyFill="1" applyBorder="1">
      <alignment vertical="center"/>
    </xf>
    <xf numFmtId="183" fontId="15" fillId="11" borderId="56" xfId="1" applyNumberFormat="1" applyFont="1" applyFill="1" applyBorder="1" applyAlignment="1">
      <alignment horizontal="center" vertical="center"/>
    </xf>
    <xf numFmtId="176" fontId="15" fillId="11" borderId="27" xfId="1" applyNumberFormat="1" applyFont="1" applyFill="1" applyBorder="1">
      <alignment vertical="center"/>
    </xf>
    <xf numFmtId="183" fontId="15" fillId="11" borderId="14" xfId="1" applyNumberFormat="1" applyFont="1" applyFill="1" applyBorder="1" applyAlignment="1">
      <alignment horizontal="center" vertical="center"/>
    </xf>
    <xf numFmtId="177" fontId="15" fillId="11" borderId="66" xfId="1" applyNumberFormat="1" applyFont="1" applyFill="1" applyBorder="1" applyAlignment="1">
      <alignment horizontal="center" vertical="center"/>
    </xf>
    <xf numFmtId="177" fontId="15" fillId="11" borderId="56" xfId="1" applyNumberFormat="1" applyFont="1" applyFill="1" applyBorder="1" applyAlignment="1">
      <alignment horizontal="center" vertical="center"/>
    </xf>
    <xf numFmtId="177" fontId="15" fillId="11" borderId="27" xfId="1" applyNumberFormat="1" applyFont="1" applyFill="1" applyBorder="1" applyAlignment="1">
      <alignment horizontal="center" vertical="center"/>
    </xf>
    <xf numFmtId="176" fontId="15" fillId="11" borderId="60" xfId="1" applyNumberFormat="1" applyFont="1" applyFill="1" applyBorder="1">
      <alignment vertical="center"/>
    </xf>
    <xf numFmtId="183" fontId="15" fillId="11" borderId="1" xfId="1" applyNumberFormat="1" applyFont="1" applyFill="1" applyBorder="1" applyAlignment="1">
      <alignment horizontal="center" vertical="center"/>
    </xf>
    <xf numFmtId="3" fontId="16" fillId="11" borderId="1" xfId="1" applyNumberFormat="1" applyFont="1" applyFill="1" applyBorder="1" applyAlignment="1">
      <alignment horizontal="center" vertical="center"/>
    </xf>
    <xf numFmtId="176" fontId="15" fillId="11" borderId="1" xfId="1" applyNumberFormat="1" applyFont="1" applyFill="1" applyBorder="1">
      <alignment vertical="center"/>
    </xf>
    <xf numFmtId="183" fontId="15" fillId="11" borderId="1" xfId="1" applyNumberFormat="1" applyFont="1" applyFill="1" applyBorder="1">
      <alignment vertical="center"/>
    </xf>
    <xf numFmtId="183" fontId="15" fillId="11" borderId="27" xfId="1" applyNumberFormat="1" applyFont="1" applyFill="1" applyBorder="1">
      <alignment vertical="center"/>
    </xf>
    <xf numFmtId="41" fontId="15" fillId="11" borderId="66" xfId="1" applyNumberFormat="1" applyFont="1" applyFill="1" applyBorder="1">
      <alignment vertical="center"/>
    </xf>
    <xf numFmtId="177" fontId="15" fillId="11" borderId="27" xfId="1" applyNumberFormat="1" applyFont="1" applyFill="1" applyBorder="1">
      <alignment vertical="center"/>
    </xf>
    <xf numFmtId="41" fontId="15" fillId="11" borderId="1" xfId="1" applyNumberFormat="1" applyFont="1" applyFill="1" applyBorder="1">
      <alignment vertical="center"/>
    </xf>
    <xf numFmtId="177" fontId="15" fillId="11" borderId="1" xfId="1" applyNumberFormat="1" applyFont="1" applyFill="1" applyBorder="1">
      <alignment vertical="center"/>
    </xf>
    <xf numFmtId="41" fontId="15" fillId="11" borderId="27" xfId="1" applyNumberFormat="1" applyFont="1" applyFill="1" applyBorder="1">
      <alignment vertical="center"/>
    </xf>
    <xf numFmtId="41" fontId="15" fillId="11" borderId="60" xfId="1" applyNumberFormat="1" applyFont="1" applyFill="1" applyBorder="1">
      <alignment vertical="center"/>
    </xf>
    <xf numFmtId="177" fontId="15" fillId="11" borderId="17" xfId="1" applyNumberFormat="1" applyFont="1" applyFill="1" applyBorder="1">
      <alignment vertical="center"/>
    </xf>
    <xf numFmtId="0" fontId="15" fillId="11" borderId="27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49" fontId="15" fillId="11" borderId="27" xfId="0" applyNumberFormat="1" applyFont="1" applyFill="1" applyBorder="1" applyAlignment="1">
      <alignment horizontal="center" vertical="center"/>
    </xf>
    <xf numFmtId="49" fontId="15" fillId="11" borderId="14" xfId="3" applyNumberFormat="1" applyFont="1" applyFill="1" applyBorder="1" applyAlignment="1">
      <alignment horizontal="left" vertical="center" wrapText="1"/>
    </xf>
    <xf numFmtId="0" fontId="15" fillId="11" borderId="49" xfId="0" applyFont="1" applyFill="1" applyBorder="1" applyAlignment="1">
      <alignment horizontal="center" vertical="center"/>
    </xf>
    <xf numFmtId="0" fontId="15" fillId="11" borderId="60" xfId="0" applyFont="1" applyFill="1" applyBorder="1">
      <alignment vertical="center"/>
    </xf>
    <xf numFmtId="177" fontId="15" fillId="11" borderId="1" xfId="0" applyNumberFormat="1" applyFont="1" applyFill="1" applyBorder="1">
      <alignment vertical="center"/>
    </xf>
    <xf numFmtId="0" fontId="15" fillId="11" borderId="14" xfId="0" applyFont="1" applyFill="1" applyBorder="1">
      <alignment vertical="center"/>
    </xf>
    <xf numFmtId="177" fontId="15" fillId="11" borderId="2" xfId="1" applyNumberFormat="1" applyFont="1" applyFill="1" applyBorder="1">
      <alignment vertical="center"/>
    </xf>
    <xf numFmtId="0" fontId="15" fillId="11" borderId="14" xfId="0" applyFont="1" applyFill="1" applyBorder="1" applyAlignment="1">
      <alignment horizontal="right" vertical="center"/>
    </xf>
    <xf numFmtId="177" fontId="15" fillId="11" borderId="60" xfId="1" applyNumberFormat="1" applyFont="1" applyFill="1" applyBorder="1" applyAlignment="1">
      <alignment horizontal="center" vertical="center"/>
    </xf>
    <xf numFmtId="177" fontId="15" fillId="11" borderId="1" xfId="1" applyNumberFormat="1" applyFont="1" applyFill="1" applyBorder="1" applyAlignment="1">
      <alignment horizontal="center" vertical="center"/>
    </xf>
    <xf numFmtId="177" fontId="15" fillId="11" borderId="49" xfId="1" applyNumberFormat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49" fontId="15" fillId="11" borderId="14" xfId="0" applyNumberFormat="1" applyFont="1" applyFill="1" applyBorder="1" applyAlignment="1">
      <alignment horizontal="center" vertical="center"/>
    </xf>
    <xf numFmtId="49" fontId="15" fillId="11" borderId="1" xfId="0" applyNumberFormat="1" applyFont="1" applyFill="1" applyBorder="1" applyAlignment="1">
      <alignment horizontal="center" vertical="center"/>
    </xf>
    <xf numFmtId="49" fontId="15" fillId="11" borderId="49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76" fontId="15" fillId="11" borderId="2" xfId="1" applyNumberFormat="1" applyFont="1" applyFill="1" applyBorder="1">
      <alignment vertical="center"/>
    </xf>
    <xf numFmtId="177" fontId="15" fillId="11" borderId="14" xfId="1" applyNumberFormat="1" applyFont="1" applyFill="1" applyBorder="1" applyAlignment="1">
      <alignment horizontal="center" vertical="center"/>
    </xf>
    <xf numFmtId="176" fontId="13" fillId="11" borderId="2" xfId="1" applyNumberFormat="1" applyFont="1" applyFill="1" applyBorder="1">
      <alignment vertical="center"/>
    </xf>
    <xf numFmtId="177" fontId="15" fillId="11" borderId="27" xfId="0" applyNumberFormat="1" applyFont="1" applyFill="1" applyBorder="1" applyAlignment="1">
      <alignment horizontal="center" vertical="center"/>
    </xf>
    <xf numFmtId="177" fontId="15" fillId="11" borderId="60" xfId="0" applyNumberFormat="1" applyFont="1" applyFill="1" applyBorder="1" applyAlignment="1">
      <alignment horizontal="center" vertical="center"/>
    </xf>
    <xf numFmtId="177" fontId="15" fillId="11" borderId="49" xfId="0" applyNumberFormat="1" applyFont="1" applyFill="1" applyBorder="1" applyAlignment="1">
      <alignment horizontal="center" vertical="center"/>
    </xf>
    <xf numFmtId="177" fontId="15" fillId="11" borderId="3" xfId="0" applyNumberFormat="1" applyFont="1" applyFill="1" applyBorder="1" applyAlignment="1">
      <alignment horizontal="center" vertical="center"/>
    </xf>
    <xf numFmtId="0" fontId="15" fillId="11" borderId="27" xfId="0" applyFont="1" applyFill="1" applyBorder="1">
      <alignment vertical="center"/>
    </xf>
    <xf numFmtId="0" fontId="16" fillId="11" borderId="27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 wrapText="1"/>
    </xf>
    <xf numFmtId="49" fontId="16" fillId="11" borderId="1" xfId="0" applyNumberFormat="1" applyFont="1" applyFill="1" applyBorder="1" applyAlignment="1">
      <alignment horizontal="center" vertical="center"/>
    </xf>
    <xf numFmtId="49" fontId="16" fillId="11" borderId="14" xfId="0" applyNumberFormat="1" applyFont="1" applyFill="1" applyBorder="1" applyAlignment="1">
      <alignment horizontal="center" vertical="center"/>
    </xf>
    <xf numFmtId="176" fontId="16" fillId="11" borderId="3" xfId="1" applyNumberFormat="1" applyFont="1" applyFill="1" applyBorder="1">
      <alignment vertical="center"/>
    </xf>
    <xf numFmtId="176" fontId="16" fillId="11" borderId="24" xfId="1" applyNumberFormat="1" applyFont="1" applyFill="1" applyBorder="1">
      <alignment vertical="center"/>
    </xf>
    <xf numFmtId="183" fontId="16" fillId="11" borderId="56" xfId="1" applyNumberFormat="1" applyFont="1" applyFill="1" applyBorder="1">
      <alignment vertical="center"/>
    </xf>
    <xf numFmtId="176" fontId="16" fillId="11" borderId="27" xfId="1" applyNumberFormat="1" applyFont="1" applyFill="1" applyBorder="1">
      <alignment vertical="center"/>
    </xf>
    <xf numFmtId="183" fontId="16" fillId="11" borderId="14" xfId="1" applyNumberFormat="1" applyFont="1" applyFill="1" applyBorder="1">
      <alignment vertical="center"/>
    </xf>
    <xf numFmtId="176" fontId="16" fillId="11" borderId="66" xfId="1" applyNumberFormat="1" applyFont="1" applyFill="1" applyBorder="1">
      <alignment vertical="center"/>
    </xf>
    <xf numFmtId="176" fontId="16" fillId="11" borderId="56" xfId="1" applyNumberFormat="1" applyFont="1" applyFill="1" applyBorder="1">
      <alignment vertical="center"/>
    </xf>
    <xf numFmtId="176" fontId="16" fillId="11" borderId="60" xfId="1" applyNumberFormat="1" applyFont="1" applyFill="1" applyBorder="1">
      <alignment vertical="center"/>
    </xf>
    <xf numFmtId="183" fontId="16" fillId="11" borderId="1" xfId="1" applyNumberFormat="1" applyFont="1" applyFill="1" applyBorder="1">
      <alignment vertical="center"/>
    </xf>
    <xf numFmtId="176" fontId="16" fillId="11" borderId="1" xfId="1" applyNumberFormat="1" applyFont="1" applyFill="1" applyBorder="1">
      <alignment vertical="center"/>
    </xf>
    <xf numFmtId="176" fontId="16" fillId="11" borderId="1" xfId="1" applyNumberFormat="1" applyFont="1" applyFill="1" applyBorder="1" applyAlignment="1">
      <alignment horizontal="center" vertical="center"/>
    </xf>
    <xf numFmtId="183" fontId="16" fillId="11" borderId="1" xfId="1" applyNumberFormat="1" applyFont="1" applyFill="1" applyBorder="1" applyAlignment="1">
      <alignment horizontal="center" vertical="center"/>
    </xf>
    <xf numFmtId="183" fontId="16" fillId="11" borderId="27" xfId="1" applyNumberFormat="1" applyFont="1" applyFill="1" applyBorder="1" applyAlignment="1">
      <alignment horizontal="center" vertical="center"/>
    </xf>
    <xf numFmtId="41" fontId="16" fillId="11" borderId="66" xfId="1" applyNumberFormat="1" applyFont="1" applyFill="1" applyBorder="1" applyAlignment="1">
      <alignment horizontal="center" vertical="center"/>
    </xf>
    <xf numFmtId="176" fontId="16" fillId="11" borderId="27" xfId="1" applyNumberFormat="1" applyFont="1" applyFill="1" applyBorder="1" applyAlignment="1">
      <alignment horizontal="center" vertical="center"/>
    </xf>
    <xf numFmtId="41" fontId="16" fillId="11" borderId="1" xfId="1" applyNumberFormat="1" applyFont="1" applyFill="1" applyBorder="1" applyAlignment="1">
      <alignment horizontal="center" vertical="center"/>
    </xf>
    <xf numFmtId="41" fontId="16" fillId="11" borderId="27" xfId="1" applyNumberFormat="1" applyFont="1" applyFill="1" applyBorder="1" applyAlignment="1">
      <alignment horizontal="center" vertical="center"/>
    </xf>
    <xf numFmtId="41" fontId="16" fillId="11" borderId="60" xfId="1" applyNumberFormat="1" applyFont="1" applyFill="1" applyBorder="1" applyAlignment="1">
      <alignment horizontal="center" vertical="center"/>
    </xf>
    <xf numFmtId="176" fontId="16" fillId="11" borderId="17" xfId="1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49" fontId="16" fillId="11" borderId="27" xfId="3" applyNumberFormat="1" applyFont="1" applyFill="1" applyBorder="1" applyAlignment="1">
      <alignment horizontal="center" vertical="center" wrapText="1"/>
    </xf>
    <xf numFmtId="176" fontId="16" fillId="11" borderId="14" xfId="1" applyNumberFormat="1" applyFont="1" applyFill="1" applyBorder="1" applyAlignment="1">
      <alignment horizontal="left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49" xfId="0" applyFont="1" applyFill="1" applyBorder="1" applyAlignment="1">
      <alignment horizontal="center" vertical="center"/>
    </xf>
    <xf numFmtId="176" fontId="16" fillId="11" borderId="60" xfId="1" applyNumberFormat="1" applyFont="1" applyFill="1" applyBorder="1" applyAlignment="1">
      <alignment horizontal="center" vertical="center"/>
    </xf>
    <xf numFmtId="49" fontId="16" fillId="11" borderId="27" xfId="1" applyNumberFormat="1" applyFont="1" applyFill="1" applyBorder="1">
      <alignment vertical="center"/>
    </xf>
    <xf numFmtId="49" fontId="16" fillId="11" borderId="60" xfId="1" applyNumberFormat="1" applyFont="1" applyFill="1" applyBorder="1">
      <alignment vertical="center"/>
    </xf>
    <xf numFmtId="49" fontId="16" fillId="11" borderId="1" xfId="1" applyNumberFormat="1" applyFont="1" applyFill="1" applyBorder="1">
      <alignment vertical="center"/>
    </xf>
    <xf numFmtId="49" fontId="16" fillId="11" borderId="49" xfId="1" applyNumberFormat="1" applyFont="1" applyFill="1" applyBorder="1">
      <alignment vertical="center"/>
    </xf>
    <xf numFmtId="0" fontId="16" fillId="11" borderId="6" xfId="0" applyFont="1" applyFill="1" applyBorder="1" applyAlignment="1">
      <alignment horizontal="center" vertical="center"/>
    </xf>
    <xf numFmtId="49" fontId="16" fillId="11" borderId="27" xfId="0" applyNumberFormat="1" applyFont="1" applyFill="1" applyBorder="1" applyAlignment="1">
      <alignment horizontal="center" vertical="center"/>
    </xf>
    <xf numFmtId="49" fontId="16" fillId="11" borderId="49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11" borderId="49" xfId="1" applyNumberFormat="1" applyFont="1" applyFill="1" applyBorder="1" applyAlignment="1">
      <alignment horizontal="center" vertical="center"/>
    </xf>
    <xf numFmtId="49" fontId="16" fillId="11" borderId="27" xfId="1" applyNumberFormat="1" applyFont="1" applyFill="1" applyBorder="1" applyAlignment="1">
      <alignment horizontal="center" vertical="center"/>
    </xf>
    <xf numFmtId="49" fontId="16" fillId="11" borderId="14" xfId="1" applyNumberFormat="1" applyFont="1" applyFill="1" applyBorder="1" applyAlignment="1">
      <alignment horizontal="center" vertical="center"/>
    </xf>
    <xf numFmtId="49" fontId="16" fillId="11" borderId="60" xfId="1" applyNumberFormat="1" applyFont="1" applyFill="1" applyBorder="1" applyAlignment="1">
      <alignment horizontal="center" vertical="center"/>
    </xf>
    <xf numFmtId="49" fontId="16" fillId="11" borderId="56" xfId="1" applyNumberFormat="1" applyFont="1" applyFill="1" applyBorder="1" applyAlignment="1">
      <alignment horizontal="center" vertical="center"/>
    </xf>
    <xf numFmtId="176" fontId="16" fillId="11" borderId="2" xfId="1" applyNumberFormat="1" applyFont="1" applyFill="1" applyBorder="1">
      <alignment vertical="center"/>
    </xf>
    <xf numFmtId="0" fontId="15" fillId="4" borderId="56" xfId="0" applyFont="1" applyFill="1" applyBorder="1" applyAlignment="1">
      <alignment horizontal="center" vertical="center"/>
    </xf>
    <xf numFmtId="177" fontId="15" fillId="5" borderId="69" xfId="0" applyNumberFormat="1" applyFont="1" applyFill="1" applyBorder="1" applyAlignment="1">
      <alignment horizontal="center" vertical="center"/>
    </xf>
    <xf numFmtId="177" fontId="15" fillId="5" borderId="35" xfId="0" applyNumberFormat="1" applyFont="1" applyFill="1" applyBorder="1" applyAlignment="1">
      <alignment horizontal="center" vertical="center"/>
    </xf>
    <xf numFmtId="177" fontId="15" fillId="5" borderId="68" xfId="0" applyNumberFormat="1" applyFont="1" applyFill="1" applyBorder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5" fillId="5" borderId="3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183" fontId="15" fillId="9" borderId="14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49" fontId="16" fillId="9" borderId="1" xfId="0" applyNumberFormat="1" applyFont="1" applyFill="1" applyBorder="1" applyAlignment="1">
      <alignment horizontal="center" vertical="center"/>
    </xf>
    <xf numFmtId="182" fontId="16" fillId="9" borderId="1" xfId="0" applyNumberFormat="1" applyFont="1" applyFill="1" applyBorder="1" applyAlignment="1">
      <alignment horizontal="center" vertical="center"/>
    </xf>
    <xf numFmtId="176" fontId="16" fillId="9" borderId="17" xfId="1" applyNumberFormat="1" applyFont="1" applyFill="1" applyBorder="1" applyAlignment="1">
      <alignment horizontal="center" vertical="center"/>
    </xf>
    <xf numFmtId="176" fontId="16" fillId="9" borderId="2" xfId="1" applyNumberFormat="1" applyFont="1" applyFill="1" applyBorder="1" applyAlignment="1">
      <alignment horizontal="center" vertical="center"/>
    </xf>
    <xf numFmtId="183" fontId="15" fillId="9" borderId="49" xfId="1" applyNumberFormat="1" applyFont="1" applyFill="1" applyBorder="1" applyAlignment="1">
      <alignment horizontal="center" vertical="center"/>
    </xf>
    <xf numFmtId="177" fontId="15" fillId="9" borderId="2" xfId="1" applyNumberFormat="1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6" fillId="9" borderId="27" xfId="0" applyNumberFormat="1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left" vertical="center" wrapText="1"/>
    </xf>
    <xf numFmtId="0" fontId="16" fillId="9" borderId="60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176" fontId="15" fillId="9" borderId="60" xfId="1" applyNumberFormat="1" applyFont="1" applyFill="1" applyBorder="1" applyAlignment="1">
      <alignment horizontal="center" vertical="center"/>
    </xf>
    <xf numFmtId="176" fontId="15" fillId="9" borderId="27" xfId="1" applyNumberFormat="1" applyFont="1" applyFill="1" applyBorder="1" applyAlignment="1">
      <alignment horizontal="center" vertical="center" wrapText="1"/>
    </xf>
    <xf numFmtId="176" fontId="15" fillId="9" borderId="60" xfId="1" applyNumberFormat="1" applyFont="1" applyFill="1" applyBorder="1" applyAlignment="1">
      <alignment horizontal="center" vertical="center" wrapText="1"/>
    </xf>
    <xf numFmtId="176" fontId="15" fillId="9" borderId="1" xfId="1" applyNumberFormat="1" applyFont="1" applyFill="1" applyBorder="1" applyAlignment="1">
      <alignment horizontal="center" vertical="center" wrapText="1"/>
    </xf>
    <xf numFmtId="176" fontId="15" fillId="9" borderId="14" xfId="1" applyNumberFormat="1" applyFont="1" applyFill="1" applyBorder="1" applyAlignment="1">
      <alignment horizontal="center" vertical="center" wrapText="1"/>
    </xf>
    <xf numFmtId="176" fontId="15" fillId="9" borderId="3" xfId="1" applyNumberFormat="1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49" fontId="16" fillId="9" borderId="14" xfId="0" applyNumberFormat="1" applyFont="1" applyFill="1" applyBorder="1" applyAlignment="1">
      <alignment horizontal="center" vertical="center"/>
    </xf>
    <xf numFmtId="49" fontId="16" fillId="9" borderId="49" xfId="0" applyNumberFormat="1" applyFont="1" applyFill="1" applyBorder="1" applyAlignment="1">
      <alignment horizontal="center" vertical="center"/>
    </xf>
    <xf numFmtId="176" fontId="15" fillId="9" borderId="27" xfId="1" applyNumberFormat="1" applyFont="1" applyFill="1" applyBorder="1" applyAlignment="1">
      <alignment horizontal="center" vertical="center"/>
    </xf>
    <xf numFmtId="3" fontId="15" fillId="9" borderId="2" xfId="2" applyNumberFormat="1" applyFont="1" applyFill="1" applyBorder="1" applyAlignment="1">
      <alignment horizontal="center" vertical="center"/>
    </xf>
    <xf numFmtId="176" fontId="16" fillId="9" borderId="27" xfId="1" applyNumberFormat="1" applyFont="1" applyFill="1" applyBorder="1" applyAlignment="1">
      <alignment horizontal="center" vertical="center"/>
    </xf>
    <xf numFmtId="177" fontId="15" fillId="9" borderId="1" xfId="1" applyNumberFormat="1" applyFont="1" applyFill="1" applyBorder="1" applyAlignment="1">
      <alignment horizontal="center" vertical="center" wrapText="1"/>
    </xf>
    <xf numFmtId="0" fontId="15" fillId="11" borderId="39" xfId="0" applyFont="1" applyFill="1" applyBorder="1" applyAlignment="1">
      <alignment horizontal="center" vertical="center"/>
    </xf>
    <xf numFmtId="0" fontId="15" fillId="11" borderId="37" xfId="0" applyFont="1" applyFill="1" applyBorder="1" applyAlignment="1">
      <alignment horizontal="center" vertical="center"/>
    </xf>
    <xf numFmtId="0" fontId="15" fillId="11" borderId="45" xfId="0" applyFont="1" applyFill="1" applyBorder="1" applyAlignment="1">
      <alignment horizontal="center" vertical="center"/>
    </xf>
    <xf numFmtId="0" fontId="15" fillId="11" borderId="46" xfId="0" applyFont="1" applyFill="1" applyBorder="1" applyAlignment="1">
      <alignment horizontal="center" vertical="center"/>
    </xf>
    <xf numFmtId="0" fontId="15" fillId="11" borderId="38" xfId="0" applyFont="1" applyFill="1" applyBorder="1" applyAlignment="1">
      <alignment horizontal="center" vertical="center"/>
    </xf>
    <xf numFmtId="183" fontId="15" fillId="11" borderId="46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182" fontId="16" fillId="11" borderId="1" xfId="0" applyNumberFormat="1" applyFont="1" applyFill="1" applyBorder="1" applyAlignment="1">
      <alignment horizontal="center" vertical="center"/>
    </xf>
    <xf numFmtId="176" fontId="16" fillId="11" borderId="101" xfId="1" applyNumberFormat="1" applyFont="1" applyFill="1" applyBorder="1" applyAlignment="1">
      <alignment horizontal="center" vertical="center"/>
    </xf>
    <xf numFmtId="176" fontId="16" fillId="11" borderId="37" xfId="1" applyNumberFormat="1" applyFont="1" applyFill="1" applyBorder="1" applyAlignment="1">
      <alignment horizontal="center" vertical="center"/>
    </xf>
    <xf numFmtId="183" fontId="15" fillId="11" borderId="57" xfId="1" applyNumberFormat="1" applyFont="1" applyFill="1" applyBorder="1" applyAlignment="1">
      <alignment horizontal="center" vertical="center"/>
    </xf>
    <xf numFmtId="3" fontId="15" fillId="11" borderId="37" xfId="2" applyNumberFormat="1" applyFont="1" applyFill="1" applyBorder="1" applyAlignment="1">
      <alignment horizontal="center" vertical="center"/>
    </xf>
    <xf numFmtId="176" fontId="15" fillId="11" borderId="37" xfId="1" applyNumberFormat="1" applyFont="1" applyFill="1" applyBorder="1" applyAlignment="1">
      <alignment horizontal="center" vertical="center"/>
    </xf>
    <xf numFmtId="183" fontId="15" fillId="11" borderId="53" xfId="1" applyNumberFormat="1" applyFont="1" applyFill="1" applyBorder="1" applyAlignment="1">
      <alignment horizontal="center" vertical="center"/>
    </xf>
    <xf numFmtId="177" fontId="15" fillId="11" borderId="45" xfId="1" applyNumberFormat="1" applyFont="1" applyFill="1" applyBorder="1" applyAlignment="1">
      <alignment horizontal="center" vertical="center"/>
    </xf>
    <xf numFmtId="177" fontId="15" fillId="11" borderId="38" xfId="1" applyNumberFormat="1" applyFont="1" applyFill="1" applyBorder="1" applyAlignment="1">
      <alignment horizontal="center" vertical="center"/>
    </xf>
    <xf numFmtId="177" fontId="15" fillId="11" borderId="37" xfId="1" applyNumberFormat="1" applyFont="1" applyFill="1" applyBorder="1" applyAlignment="1">
      <alignment horizontal="center" vertical="center"/>
    </xf>
    <xf numFmtId="177" fontId="15" fillId="11" borderId="53" xfId="1" applyNumberFormat="1" applyFont="1" applyFill="1" applyBorder="1" applyAlignment="1">
      <alignment horizontal="center" vertical="center"/>
    </xf>
    <xf numFmtId="177" fontId="15" fillId="11" borderId="39" xfId="1" applyNumberFormat="1" applyFont="1" applyFill="1" applyBorder="1" applyAlignment="1">
      <alignment horizontal="center" vertical="center"/>
    </xf>
    <xf numFmtId="0" fontId="16" fillId="11" borderId="45" xfId="0" applyFont="1" applyFill="1" applyBorder="1" applyAlignment="1">
      <alignment horizontal="center" vertical="center"/>
    </xf>
    <xf numFmtId="0" fontId="16" fillId="11" borderId="38" xfId="0" applyFont="1" applyFill="1" applyBorder="1" applyAlignment="1">
      <alignment horizontal="center" vertical="center"/>
    </xf>
    <xf numFmtId="49" fontId="16" fillId="11" borderId="37" xfId="0" applyNumberFormat="1" applyFont="1" applyFill="1" applyBorder="1" applyAlignment="1">
      <alignment horizontal="center" vertical="center"/>
    </xf>
    <xf numFmtId="49" fontId="16" fillId="11" borderId="45" xfId="0" applyNumberFormat="1" applyFont="1" applyFill="1" applyBorder="1" applyAlignment="1">
      <alignment horizontal="center" vertical="center"/>
    </xf>
    <xf numFmtId="0" fontId="16" fillId="11" borderId="46" xfId="0" applyFont="1" applyFill="1" applyBorder="1" applyAlignment="1">
      <alignment horizontal="left" vertical="center" wrapText="1"/>
    </xf>
    <xf numFmtId="0" fontId="16" fillId="11" borderId="61" xfId="0" applyFont="1" applyFill="1" applyBorder="1" applyAlignment="1">
      <alignment horizontal="center" vertical="center" wrapText="1"/>
    </xf>
    <xf numFmtId="0" fontId="16" fillId="11" borderId="46" xfId="0" applyFont="1" applyFill="1" applyBorder="1" applyAlignment="1">
      <alignment horizontal="center" vertical="center" wrapText="1"/>
    </xf>
    <xf numFmtId="176" fontId="15" fillId="11" borderId="61" xfId="1" applyNumberFormat="1" applyFont="1" applyFill="1" applyBorder="1" applyAlignment="1">
      <alignment horizontal="center" vertical="center"/>
    </xf>
    <xf numFmtId="183" fontId="15" fillId="11" borderId="46" xfId="1" applyNumberFormat="1" applyFont="1" applyFill="1" applyBorder="1" applyAlignment="1">
      <alignment horizontal="center" vertical="center"/>
    </xf>
    <xf numFmtId="176" fontId="15" fillId="11" borderId="38" xfId="1" applyNumberFormat="1" applyFont="1" applyFill="1" applyBorder="1" applyAlignment="1">
      <alignment horizontal="center" vertical="center"/>
    </xf>
    <xf numFmtId="183" fontId="15" fillId="11" borderId="38" xfId="1" applyNumberFormat="1" applyFont="1" applyFill="1" applyBorder="1" applyAlignment="1">
      <alignment horizontal="center" vertical="center"/>
    </xf>
    <xf numFmtId="176" fontId="15" fillId="11" borderId="45" xfId="1" applyNumberFormat="1" applyFont="1" applyFill="1" applyBorder="1" applyAlignment="1">
      <alignment horizontal="center" vertical="center" wrapText="1"/>
    </xf>
    <xf numFmtId="176" fontId="15" fillId="11" borderId="61" xfId="1" applyNumberFormat="1" applyFont="1" applyFill="1" applyBorder="1" applyAlignment="1">
      <alignment horizontal="center" vertical="center" wrapText="1"/>
    </xf>
    <xf numFmtId="176" fontId="15" fillId="11" borderId="38" xfId="1" applyNumberFormat="1" applyFont="1" applyFill="1" applyBorder="1" applyAlignment="1">
      <alignment horizontal="center" vertical="center" wrapText="1"/>
    </xf>
    <xf numFmtId="176" fontId="15" fillId="11" borderId="46" xfId="1" applyNumberFormat="1" applyFont="1" applyFill="1" applyBorder="1" applyAlignment="1">
      <alignment horizontal="center" vertical="center" wrapText="1"/>
    </xf>
    <xf numFmtId="176" fontId="15" fillId="11" borderId="39" xfId="1" applyNumberFormat="1" applyFont="1" applyFill="1" applyBorder="1" applyAlignment="1">
      <alignment horizontal="center" vertical="center" wrapText="1"/>
    </xf>
    <xf numFmtId="0" fontId="16" fillId="11" borderId="37" xfId="0" applyFont="1" applyFill="1" applyBorder="1" applyAlignment="1">
      <alignment horizontal="center" vertical="center"/>
    </xf>
    <xf numFmtId="49" fontId="16" fillId="11" borderId="38" xfId="0" applyNumberFormat="1" applyFont="1" applyFill="1" applyBorder="1" applyAlignment="1">
      <alignment horizontal="center" vertical="center"/>
    </xf>
    <xf numFmtId="49" fontId="16" fillId="11" borderId="46" xfId="0" applyNumberFormat="1" applyFont="1" applyFill="1" applyBorder="1" applyAlignment="1">
      <alignment horizontal="center" vertical="center"/>
    </xf>
    <xf numFmtId="49" fontId="16" fillId="11" borderId="53" xfId="0" applyNumberFormat="1" applyFont="1" applyFill="1" applyBorder="1" applyAlignment="1">
      <alignment horizontal="center" vertical="center"/>
    </xf>
    <xf numFmtId="176" fontId="16" fillId="11" borderId="45" xfId="1" applyNumberFormat="1" applyFont="1" applyFill="1" applyBorder="1" applyAlignment="1">
      <alignment horizontal="center" vertical="center"/>
    </xf>
    <xf numFmtId="177" fontId="15" fillId="11" borderId="38" xfId="1" applyNumberFormat="1" applyFont="1" applyFill="1" applyBorder="1" applyAlignment="1">
      <alignment horizontal="center" vertical="center" wrapText="1"/>
    </xf>
    <xf numFmtId="177" fontId="15" fillId="11" borderId="0" xfId="1" applyNumberFormat="1" applyFont="1" applyFill="1" applyBorder="1" applyAlignment="1">
      <alignment horizontal="center" vertical="center"/>
    </xf>
    <xf numFmtId="177" fontId="15" fillId="11" borderId="35" xfId="1" applyNumberFormat="1" applyFont="1" applyFill="1" applyBorder="1" applyAlignment="1">
      <alignment horizontal="center" vertical="center"/>
    </xf>
    <xf numFmtId="177" fontId="15" fillId="11" borderId="68" xfId="1" applyNumberFormat="1" applyFont="1" applyFill="1" applyBorder="1" applyAlignment="1">
      <alignment horizontal="center" vertical="center"/>
    </xf>
    <xf numFmtId="177" fontId="15" fillId="11" borderId="34" xfId="1" applyNumberFormat="1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183" fontId="16" fillId="2" borderId="12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/>
    </xf>
    <xf numFmtId="182" fontId="16" fillId="6" borderId="1" xfId="0" applyNumberFormat="1" applyFont="1" applyFill="1" applyBorder="1" applyAlignment="1">
      <alignment horizontal="center" vertical="center"/>
    </xf>
    <xf numFmtId="176" fontId="16" fillId="6" borderId="15" xfId="1" applyNumberFormat="1" applyFont="1" applyFill="1" applyBorder="1" applyAlignment="1">
      <alignment horizontal="center" vertical="center"/>
    </xf>
    <xf numFmtId="176" fontId="16" fillId="3" borderId="9" xfId="1" applyNumberFormat="1" applyFont="1" applyFill="1" applyBorder="1" applyAlignment="1">
      <alignment horizontal="center" vertical="center"/>
    </xf>
    <xf numFmtId="183" fontId="15" fillId="3" borderId="55" xfId="1" applyNumberFormat="1" applyFont="1" applyFill="1" applyBorder="1" applyAlignment="1">
      <alignment horizontal="center" vertical="center"/>
    </xf>
    <xf numFmtId="3" fontId="15" fillId="3" borderId="9" xfId="2" applyNumberFormat="1" applyFont="1" applyFill="1" applyBorder="1" applyAlignment="1">
      <alignment horizontal="center" vertical="center"/>
    </xf>
    <xf numFmtId="176" fontId="15" fillId="3" borderId="9" xfId="1" applyNumberFormat="1" applyFont="1" applyFill="1" applyBorder="1" applyAlignment="1">
      <alignment horizontal="center" vertical="center"/>
    </xf>
    <xf numFmtId="183" fontId="15" fillId="3" borderId="51" xfId="1" applyNumberFormat="1" applyFont="1" applyFill="1" applyBorder="1" applyAlignment="1">
      <alignment horizontal="center" vertical="center"/>
    </xf>
    <xf numFmtId="177" fontId="15" fillId="3" borderId="25" xfId="1" applyNumberFormat="1" applyFont="1" applyFill="1" applyBorder="1" applyAlignment="1">
      <alignment horizontal="center" vertical="center"/>
    </xf>
    <xf numFmtId="177" fontId="15" fillId="3" borderId="10" xfId="1" applyNumberFormat="1" applyFont="1" applyFill="1" applyBorder="1" applyAlignment="1">
      <alignment horizontal="center" vertical="center"/>
    </xf>
    <xf numFmtId="177" fontId="15" fillId="3" borderId="9" xfId="1" applyNumberFormat="1" applyFont="1" applyFill="1" applyBorder="1" applyAlignment="1">
      <alignment horizontal="center" vertical="center"/>
    </xf>
    <xf numFmtId="177" fontId="15" fillId="3" borderId="51" xfId="1" applyNumberFormat="1" applyFont="1" applyFill="1" applyBorder="1" applyAlignment="1">
      <alignment horizontal="center" vertical="center"/>
    </xf>
    <xf numFmtId="177" fontId="15" fillId="3" borderId="8" xfId="1" applyNumberFormat="1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49" fontId="16" fillId="4" borderId="9" xfId="0" applyNumberFormat="1" applyFont="1" applyFill="1" applyBorder="1" applyAlignment="1">
      <alignment horizontal="center" vertical="center"/>
    </xf>
    <xf numFmtId="49" fontId="16" fillId="4" borderId="25" xfId="0" applyNumberFormat="1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left" vertical="center" wrapText="1"/>
    </xf>
    <xf numFmtId="0" fontId="16" fillId="4" borderId="58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176" fontId="15" fillId="4" borderId="58" xfId="1" applyNumberFormat="1" applyFont="1" applyFill="1" applyBorder="1" applyAlignment="1">
      <alignment horizontal="center" vertical="center"/>
    </xf>
    <xf numFmtId="183" fontId="15" fillId="4" borderId="51" xfId="1" applyNumberFormat="1" applyFont="1" applyFill="1" applyBorder="1" applyAlignment="1">
      <alignment horizontal="center" vertical="center"/>
    </xf>
    <xf numFmtId="177" fontId="15" fillId="4" borderId="9" xfId="1" applyNumberFormat="1" applyFont="1" applyFill="1" applyBorder="1" applyAlignment="1">
      <alignment horizontal="center" vertical="center"/>
    </xf>
    <xf numFmtId="177" fontId="15" fillId="4" borderId="10" xfId="1" applyNumberFormat="1" applyFont="1" applyFill="1" applyBorder="1" applyAlignment="1">
      <alignment horizontal="center" vertical="center"/>
    </xf>
    <xf numFmtId="177" fontId="15" fillId="4" borderId="51" xfId="1" applyNumberFormat="1" applyFont="1" applyFill="1" applyBorder="1" applyAlignment="1">
      <alignment horizontal="center" vertical="center"/>
    </xf>
    <xf numFmtId="176" fontId="15" fillId="4" borderId="9" xfId="1" applyNumberFormat="1" applyFont="1" applyFill="1" applyBorder="1" applyAlignment="1">
      <alignment horizontal="center" vertical="center"/>
    </xf>
    <xf numFmtId="183" fontId="15" fillId="4" borderId="12" xfId="1" applyNumberFormat="1" applyFont="1" applyFill="1" applyBorder="1" applyAlignment="1">
      <alignment horizontal="center" vertical="center"/>
    </xf>
    <xf numFmtId="176" fontId="15" fillId="4" borderId="10" xfId="1" applyNumberFormat="1" applyFont="1" applyFill="1" applyBorder="1" applyAlignment="1">
      <alignment horizontal="center" vertical="center"/>
    </xf>
    <xf numFmtId="183" fontId="15" fillId="4" borderId="10" xfId="1" applyNumberFormat="1" applyFont="1" applyFill="1" applyBorder="1" applyAlignment="1">
      <alignment horizontal="center" vertical="center"/>
    </xf>
    <xf numFmtId="176" fontId="15" fillId="4" borderId="25" xfId="1" applyNumberFormat="1" applyFont="1" applyFill="1" applyBorder="1" applyAlignment="1">
      <alignment horizontal="center" vertical="center" wrapText="1"/>
    </xf>
    <xf numFmtId="176" fontId="15" fillId="4" borderId="58" xfId="1" applyNumberFormat="1" applyFont="1" applyFill="1" applyBorder="1" applyAlignment="1">
      <alignment horizontal="center" vertical="center" wrapText="1"/>
    </xf>
    <xf numFmtId="176" fontId="15" fillId="4" borderId="10" xfId="1" applyNumberFormat="1" applyFont="1" applyFill="1" applyBorder="1" applyAlignment="1">
      <alignment horizontal="center" vertical="center" wrapText="1"/>
    </xf>
    <xf numFmtId="176" fontId="15" fillId="4" borderId="12" xfId="1" applyNumberFormat="1" applyFont="1" applyFill="1" applyBorder="1" applyAlignment="1">
      <alignment horizontal="center" vertical="center" wrapText="1"/>
    </xf>
    <xf numFmtId="176" fontId="15" fillId="4" borderId="8" xfId="1" applyNumberFormat="1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49" fontId="16" fillId="5" borderId="25" xfId="0" applyNumberFormat="1" applyFont="1" applyFill="1" applyBorder="1" applyAlignment="1">
      <alignment horizontal="center" vertical="center"/>
    </xf>
    <xf numFmtId="49" fontId="16" fillId="5" borderId="10" xfId="0" applyNumberFormat="1" applyFont="1" applyFill="1" applyBorder="1" applyAlignment="1">
      <alignment horizontal="center" vertical="center"/>
    </xf>
    <xf numFmtId="49" fontId="16" fillId="5" borderId="12" xfId="0" applyNumberFormat="1" applyFont="1" applyFill="1" applyBorder="1" applyAlignment="1">
      <alignment horizontal="center" vertical="center"/>
    </xf>
    <xf numFmtId="49" fontId="16" fillId="5" borderId="51" xfId="0" applyNumberFormat="1" applyFont="1" applyFill="1" applyBorder="1" applyAlignment="1">
      <alignment horizontal="center" vertical="center"/>
    </xf>
    <xf numFmtId="49" fontId="16" fillId="5" borderId="9" xfId="0" applyNumberFormat="1" applyFont="1" applyFill="1" applyBorder="1" applyAlignment="1">
      <alignment horizontal="center" vertical="center"/>
    </xf>
    <xf numFmtId="176" fontId="15" fillId="5" borderId="58" xfId="1" applyNumberFormat="1" applyFont="1" applyFill="1" applyBorder="1" applyAlignment="1">
      <alignment horizontal="center" vertical="center"/>
    </xf>
    <xf numFmtId="177" fontId="15" fillId="5" borderId="10" xfId="1" applyNumberFormat="1" applyFont="1" applyFill="1" applyBorder="1" applyAlignment="1">
      <alignment horizontal="center" vertical="center"/>
    </xf>
    <xf numFmtId="177" fontId="15" fillId="5" borderId="51" xfId="1" applyNumberFormat="1" applyFont="1" applyFill="1" applyBorder="1" applyAlignment="1">
      <alignment horizontal="center" vertical="center"/>
    </xf>
    <xf numFmtId="176" fontId="16" fillId="5" borderId="25" xfId="1" applyNumberFormat="1" applyFont="1" applyFill="1" applyBorder="1" applyAlignment="1">
      <alignment horizontal="center" vertical="center"/>
    </xf>
    <xf numFmtId="177" fontId="15" fillId="5" borderId="10" xfId="1" applyNumberFormat="1" applyFont="1" applyFill="1" applyBorder="1" applyAlignment="1">
      <alignment horizontal="center" vertical="center" wrapText="1"/>
    </xf>
    <xf numFmtId="176" fontId="15" fillId="5" borderId="10" xfId="1" applyNumberFormat="1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176" fontId="19" fillId="3" borderId="1" xfId="1" applyNumberFormat="1" applyFont="1" applyFill="1" applyBorder="1" applyAlignment="1">
      <alignment horizontal="center" vertical="center"/>
    </xf>
    <xf numFmtId="41" fontId="19" fillId="3" borderId="27" xfId="1" applyNumberFormat="1" applyFont="1" applyFill="1" applyBorder="1">
      <alignment vertical="center"/>
    </xf>
    <xf numFmtId="0" fontId="13" fillId="2" borderId="11" xfId="0" applyFont="1" applyFill="1" applyBorder="1" applyAlignment="1">
      <alignment horizontal="center" vertical="center"/>
    </xf>
    <xf numFmtId="183" fontId="19" fillId="3" borderId="49" xfId="1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83" fontId="19" fillId="2" borderId="13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181" fontId="19" fillId="6" borderId="1" xfId="0" applyNumberFormat="1" applyFont="1" applyFill="1" applyBorder="1" applyAlignment="1">
      <alignment horizontal="center" vertical="center"/>
    </xf>
    <xf numFmtId="182" fontId="19" fillId="6" borderId="1" xfId="0" applyNumberFormat="1" applyFont="1" applyFill="1" applyBorder="1" applyAlignment="1">
      <alignment horizontal="center" vertical="center"/>
    </xf>
    <xf numFmtId="176" fontId="19" fillId="6" borderId="101" xfId="1" applyNumberFormat="1" applyFont="1" applyFill="1" applyBorder="1" applyAlignment="1">
      <alignment horizontal="center" vertical="center"/>
    </xf>
    <xf numFmtId="176" fontId="19" fillId="3" borderId="6" xfId="1" applyNumberFormat="1" applyFont="1" applyFill="1" applyBorder="1" applyAlignment="1">
      <alignment horizontal="center" vertical="center"/>
    </xf>
    <xf numFmtId="183" fontId="19" fillId="3" borderId="56" xfId="1" applyNumberFormat="1" applyFont="1" applyFill="1" applyBorder="1" applyAlignment="1">
      <alignment horizontal="center" vertical="center"/>
    </xf>
    <xf numFmtId="176" fontId="19" fillId="3" borderId="37" xfId="1" applyNumberFormat="1" applyFont="1" applyFill="1" applyBorder="1" applyAlignment="1">
      <alignment horizontal="center" vertical="center" wrapText="1"/>
    </xf>
    <xf numFmtId="183" fontId="19" fillId="3" borderId="57" xfId="1" applyNumberFormat="1" applyFont="1" applyFill="1" applyBorder="1" applyAlignment="1">
      <alignment horizontal="center" vertical="center"/>
    </xf>
    <xf numFmtId="176" fontId="19" fillId="3" borderId="2" xfId="1" applyNumberFormat="1" applyFont="1" applyFill="1" applyBorder="1" applyAlignment="1">
      <alignment horizontal="center" vertical="center"/>
    </xf>
    <xf numFmtId="183" fontId="19" fillId="3" borderId="53" xfId="1" applyNumberFormat="1" applyFont="1" applyFill="1" applyBorder="1" applyAlignment="1">
      <alignment horizontal="center" vertical="center"/>
    </xf>
    <xf numFmtId="183" fontId="19" fillId="3" borderId="1" xfId="1" applyNumberFormat="1" applyFont="1" applyFill="1" applyBorder="1" applyAlignment="1">
      <alignment horizontal="center" vertical="center"/>
    </xf>
    <xf numFmtId="177" fontId="19" fillId="3" borderId="45" xfId="1" applyNumberFormat="1" applyFont="1" applyFill="1" applyBorder="1" applyAlignment="1">
      <alignment horizontal="center" vertical="center" wrapText="1"/>
    </xf>
    <xf numFmtId="177" fontId="19" fillId="3" borderId="38" xfId="1" applyNumberFormat="1" applyFont="1" applyFill="1" applyBorder="1" applyAlignment="1">
      <alignment horizontal="center" vertical="center" wrapText="1"/>
    </xf>
    <xf numFmtId="177" fontId="19" fillId="3" borderId="37" xfId="1" applyNumberFormat="1" applyFont="1" applyFill="1" applyBorder="1" applyAlignment="1">
      <alignment horizontal="center" vertical="center" wrapText="1"/>
    </xf>
    <xf numFmtId="177" fontId="19" fillId="3" borderId="53" xfId="1" applyNumberFormat="1" applyFont="1" applyFill="1" applyBorder="1" applyAlignment="1">
      <alignment horizontal="center" vertical="center" wrapText="1"/>
    </xf>
    <xf numFmtId="177" fontId="19" fillId="3" borderId="39" xfId="1" applyNumberFormat="1" applyFont="1" applyFill="1" applyBorder="1" applyAlignment="1">
      <alignment horizontal="center" vertical="center" wrapText="1"/>
    </xf>
    <xf numFmtId="0" fontId="19" fillId="4" borderId="45" xfId="0" applyFont="1" applyFill="1" applyBorder="1" applyAlignment="1">
      <alignment horizontal="center" vertical="center"/>
    </xf>
    <xf numFmtId="49" fontId="19" fillId="4" borderId="38" xfId="0" applyNumberFormat="1" applyFont="1" applyFill="1" applyBorder="1" applyAlignment="1">
      <alignment horizontal="center" vertical="center"/>
    </xf>
    <xf numFmtId="49" fontId="19" fillId="4" borderId="37" xfId="0" applyNumberFormat="1" applyFont="1" applyFill="1" applyBorder="1" applyAlignment="1">
      <alignment horizontal="center" vertical="center"/>
    </xf>
    <xf numFmtId="49" fontId="19" fillId="4" borderId="45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left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176" fontId="19" fillId="4" borderId="60" xfId="1" applyNumberFormat="1" applyFont="1" applyFill="1" applyBorder="1" applyAlignment="1">
      <alignment horizontal="center" vertical="center"/>
    </xf>
    <xf numFmtId="183" fontId="19" fillId="4" borderId="49" xfId="1" applyNumberFormat="1" applyFont="1" applyFill="1" applyBorder="1" applyAlignment="1">
      <alignment horizontal="center" vertical="center"/>
    </xf>
    <xf numFmtId="177" fontId="19" fillId="4" borderId="2" xfId="1" applyNumberFormat="1" applyFont="1" applyFill="1" applyBorder="1" applyAlignment="1">
      <alignment horizontal="center" vertical="center"/>
    </xf>
    <xf numFmtId="177" fontId="19" fillId="4" borderId="1" xfId="1" applyNumberFormat="1" applyFont="1" applyFill="1" applyBorder="1" applyAlignment="1">
      <alignment horizontal="center" vertical="center"/>
    </xf>
    <xf numFmtId="177" fontId="19" fillId="4" borderId="49" xfId="1" applyNumberFormat="1" applyFont="1" applyFill="1" applyBorder="1" applyAlignment="1">
      <alignment horizontal="center" vertical="center"/>
    </xf>
    <xf numFmtId="176" fontId="19" fillId="4" borderId="27" xfId="1" applyNumberFormat="1" applyFont="1" applyFill="1" applyBorder="1" applyAlignment="1">
      <alignment horizontal="center" vertical="center"/>
    </xf>
    <xf numFmtId="183" fontId="19" fillId="4" borderId="14" xfId="1" applyNumberFormat="1" applyFont="1" applyFill="1" applyBorder="1" applyAlignment="1">
      <alignment horizontal="center" vertical="center"/>
    </xf>
    <xf numFmtId="176" fontId="19" fillId="4" borderId="1" xfId="1" applyNumberFormat="1" applyFont="1" applyFill="1" applyBorder="1" applyAlignment="1">
      <alignment horizontal="center" vertical="center"/>
    </xf>
    <xf numFmtId="183" fontId="19" fillId="4" borderId="38" xfId="1" applyNumberFormat="1" applyFont="1" applyFill="1" applyBorder="1" applyAlignment="1">
      <alignment horizontal="center" vertical="center"/>
    </xf>
    <xf numFmtId="183" fontId="19" fillId="4" borderId="1" xfId="1" applyNumberFormat="1" applyFont="1" applyFill="1" applyBorder="1" applyAlignment="1">
      <alignment horizontal="center" vertical="center"/>
    </xf>
    <xf numFmtId="176" fontId="19" fillId="4" borderId="45" xfId="1" applyNumberFormat="1" applyFont="1" applyFill="1" applyBorder="1" applyAlignment="1">
      <alignment horizontal="center" vertical="center" wrapText="1"/>
    </xf>
    <xf numFmtId="176" fontId="19" fillId="4" borderId="61" xfId="1" applyNumberFormat="1" applyFont="1" applyFill="1" applyBorder="1" applyAlignment="1">
      <alignment horizontal="center" vertical="center" wrapText="1"/>
    </xf>
    <xf numFmtId="176" fontId="19" fillId="4" borderId="38" xfId="1" applyNumberFormat="1" applyFont="1" applyFill="1" applyBorder="1" applyAlignment="1">
      <alignment horizontal="center" vertical="center" wrapText="1"/>
    </xf>
    <xf numFmtId="176" fontId="19" fillId="4" borderId="46" xfId="1" applyNumberFormat="1" applyFont="1" applyFill="1" applyBorder="1" applyAlignment="1">
      <alignment horizontal="center" vertical="center" wrapText="1"/>
    </xf>
    <xf numFmtId="176" fontId="19" fillId="4" borderId="39" xfId="1" applyNumberFormat="1" applyFont="1" applyFill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/>
    </xf>
    <xf numFmtId="49" fontId="19" fillId="5" borderId="46" xfId="0" applyNumberFormat="1" applyFont="1" applyFill="1" applyBorder="1" applyAlignment="1">
      <alignment horizontal="center" vertical="center"/>
    </xf>
    <xf numFmtId="49" fontId="19" fillId="5" borderId="38" xfId="0" applyNumberFormat="1" applyFont="1" applyFill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14" xfId="0" applyNumberFormat="1" applyFont="1" applyFill="1" applyBorder="1" applyAlignment="1">
      <alignment horizontal="center" vertical="center"/>
    </xf>
    <xf numFmtId="49" fontId="20" fillId="5" borderId="49" xfId="0" applyNumberFormat="1" applyFont="1" applyFill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176" fontId="19" fillId="5" borderId="1" xfId="1" applyNumberFormat="1" applyFont="1" applyFill="1" applyBorder="1" applyAlignment="1">
      <alignment horizontal="center" vertical="center"/>
    </xf>
    <xf numFmtId="177" fontId="19" fillId="5" borderId="1" xfId="1" applyNumberFormat="1" applyFont="1" applyFill="1" applyBorder="1" applyAlignment="1">
      <alignment horizontal="center" vertical="center"/>
    </xf>
    <xf numFmtId="176" fontId="19" fillId="5" borderId="1" xfId="2" applyNumberFormat="1" applyFont="1" applyFill="1" applyBorder="1" applyAlignment="1">
      <alignment horizontal="center" vertical="center"/>
    </xf>
    <xf numFmtId="49" fontId="19" fillId="5" borderId="1" xfId="2" applyNumberFormat="1" applyFont="1" applyFill="1" applyBorder="1" applyAlignment="1">
      <alignment horizontal="center" vertical="center"/>
    </xf>
    <xf numFmtId="176" fontId="21" fillId="5" borderId="1" xfId="1" applyNumberFormat="1" applyFont="1" applyFill="1" applyBorder="1" applyAlignment="1">
      <alignment horizontal="center" vertical="center"/>
    </xf>
    <xf numFmtId="177" fontId="19" fillId="5" borderId="38" xfId="1" applyNumberFormat="1" applyFont="1" applyFill="1" applyBorder="1" applyAlignment="1">
      <alignment horizontal="center" vertical="center" wrapText="1"/>
    </xf>
    <xf numFmtId="177" fontId="19" fillId="5" borderId="0" xfId="1" applyNumberFormat="1" applyFont="1" applyFill="1" applyBorder="1" applyAlignment="1">
      <alignment horizontal="center" vertical="center"/>
    </xf>
    <xf numFmtId="177" fontId="19" fillId="5" borderId="35" xfId="1" applyNumberFormat="1" applyFont="1" applyFill="1" applyBorder="1" applyAlignment="1">
      <alignment horizontal="center" vertical="center"/>
    </xf>
    <xf numFmtId="177" fontId="19" fillId="5" borderId="68" xfId="1" applyNumberFormat="1" applyFont="1" applyFill="1" applyBorder="1" applyAlignment="1">
      <alignment horizontal="center" vertical="center"/>
    </xf>
    <xf numFmtId="177" fontId="19" fillId="5" borderId="34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" borderId="1" xfId="0" applyFont="1" applyFill="1" applyBorder="1">
      <alignment vertical="center"/>
    </xf>
    <xf numFmtId="0" fontId="19" fillId="2" borderId="49" xfId="0" applyFont="1" applyFill="1" applyBorder="1">
      <alignment vertical="center"/>
    </xf>
    <xf numFmtId="41" fontId="15" fillId="3" borderId="1" xfId="1" applyNumberFormat="1" applyFont="1" applyFill="1" applyBorder="1" applyAlignment="1">
      <alignment horizontal="center" vertical="center"/>
    </xf>
    <xf numFmtId="43" fontId="9" fillId="7" borderId="89" xfId="1" applyFont="1" applyFill="1" applyBorder="1" applyAlignment="1">
      <alignment horizontal="center" vertical="center"/>
    </xf>
    <xf numFmtId="43" fontId="9" fillId="7" borderId="27" xfId="1" applyFont="1" applyFill="1" applyBorder="1" applyAlignment="1">
      <alignment horizontal="center" vertical="center"/>
    </xf>
    <xf numFmtId="43" fontId="9" fillId="7" borderId="25" xfId="1" applyFont="1" applyFill="1" applyBorder="1" applyAlignment="1">
      <alignment horizontal="center" vertical="center"/>
    </xf>
    <xf numFmtId="176" fontId="9" fillId="0" borderId="96" xfId="0" applyNumberFormat="1" applyFont="1" applyBorder="1" applyAlignment="1">
      <alignment horizontal="center" vertical="center"/>
    </xf>
    <xf numFmtId="176" fontId="9" fillId="0" borderId="97" xfId="0" applyNumberFormat="1" applyFont="1" applyBorder="1" applyAlignment="1">
      <alignment horizontal="center" vertical="center"/>
    </xf>
    <xf numFmtId="176" fontId="9" fillId="0" borderId="98" xfId="0" applyNumberFormat="1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43" fontId="3" fillId="0" borderId="91" xfId="1" applyFont="1" applyBorder="1" applyAlignment="1">
      <alignment horizontal="center" vertical="center"/>
    </xf>
    <xf numFmtId="43" fontId="3" fillId="0" borderId="85" xfId="1" applyFont="1" applyBorder="1" applyAlignment="1">
      <alignment horizontal="center" vertical="center"/>
    </xf>
    <xf numFmtId="43" fontId="3" fillId="0" borderId="92" xfId="1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right" vertical="center"/>
    </xf>
    <xf numFmtId="0" fontId="11" fillId="0" borderId="14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50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183" fontId="14" fillId="2" borderId="46" xfId="0" applyNumberFormat="1" applyFont="1" applyFill="1" applyBorder="1" applyAlignment="1">
      <alignment horizontal="center" vertical="center" wrapText="1"/>
    </xf>
    <xf numFmtId="183" fontId="14" fillId="2" borderId="36" xfId="0" applyNumberFormat="1" applyFont="1" applyFill="1" applyBorder="1" applyAlignment="1">
      <alignment horizontal="center" vertical="center" wrapText="1"/>
    </xf>
    <xf numFmtId="183" fontId="14" fillId="2" borderId="48" xfId="0" applyNumberFormat="1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66" xfId="0" applyFont="1" applyFill="1" applyBorder="1" applyAlignment="1">
      <alignment horizontal="center" vertical="center"/>
    </xf>
    <xf numFmtId="49" fontId="13" fillId="5" borderId="27" xfId="0" applyNumberFormat="1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43" fontId="13" fillId="5" borderId="1" xfId="1" applyFont="1" applyFill="1" applyBorder="1" applyAlignment="1">
      <alignment horizontal="center" vertical="center"/>
    </xf>
    <xf numFmtId="49" fontId="13" fillId="5" borderId="1" xfId="1" applyNumberFormat="1" applyFont="1" applyFill="1" applyBorder="1" applyAlignment="1">
      <alignment horizontal="center" vertical="center"/>
    </xf>
    <xf numFmtId="176" fontId="13" fillId="5" borderId="38" xfId="1" applyNumberFormat="1" applyFont="1" applyFill="1" applyBorder="1" applyAlignment="1">
      <alignment horizontal="center" vertical="center"/>
    </xf>
    <xf numFmtId="176" fontId="13" fillId="5" borderId="40" xfId="1" applyNumberFormat="1" applyFont="1" applyFill="1" applyBorder="1" applyAlignment="1">
      <alignment horizontal="center" vertical="center"/>
    </xf>
    <xf numFmtId="0" fontId="13" fillId="5" borderId="49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6" fontId="13" fillId="4" borderId="39" xfId="1" applyNumberFormat="1" applyFont="1" applyFill="1" applyBorder="1" applyAlignment="1">
      <alignment horizontal="center" vertical="center" wrapText="1"/>
    </xf>
    <xf numFmtId="176" fontId="13" fillId="4" borderId="47" xfId="1" applyNumberFormat="1" applyFont="1" applyFill="1" applyBorder="1" applyAlignment="1">
      <alignment horizontal="center" vertical="center" wrapText="1"/>
    </xf>
    <xf numFmtId="49" fontId="13" fillId="5" borderId="46" xfId="0" applyNumberFormat="1" applyFont="1" applyFill="1" applyBorder="1" applyAlignment="1">
      <alignment horizontal="center" vertical="center" wrapText="1"/>
    </xf>
    <xf numFmtId="49" fontId="13" fillId="5" borderId="36" xfId="0" applyNumberFormat="1" applyFont="1" applyFill="1" applyBorder="1" applyAlignment="1">
      <alignment horizontal="center" vertical="center" wrapText="1"/>
    </xf>
    <xf numFmtId="49" fontId="13" fillId="5" borderId="14" xfId="0" applyNumberFormat="1" applyFont="1" applyFill="1" applyBorder="1" applyAlignment="1">
      <alignment horizontal="center" vertical="center" wrapText="1"/>
    </xf>
    <xf numFmtId="49" fontId="13" fillId="5" borderId="27" xfId="0" applyNumberFormat="1" applyFont="1" applyFill="1" applyBorder="1" applyAlignment="1">
      <alignment horizontal="center" vertical="center" wrapText="1"/>
    </xf>
    <xf numFmtId="49" fontId="13" fillId="5" borderId="56" xfId="0" applyNumberFormat="1" applyFont="1" applyFill="1" applyBorder="1" applyAlignment="1">
      <alignment horizontal="center" vertical="center" wrapText="1"/>
    </xf>
    <xf numFmtId="49" fontId="13" fillId="5" borderId="49" xfId="1" applyNumberFormat="1" applyFont="1" applyFill="1" applyBorder="1" applyAlignment="1">
      <alignment horizontal="center" vertical="center"/>
    </xf>
    <xf numFmtId="177" fontId="13" fillId="5" borderId="53" xfId="1" applyNumberFormat="1" applyFont="1" applyFill="1" applyBorder="1" applyAlignment="1">
      <alignment horizontal="center" vertical="center"/>
    </xf>
    <xf numFmtId="177" fontId="13" fillId="5" borderId="63" xfId="1" applyNumberFormat="1" applyFont="1" applyFill="1" applyBorder="1" applyAlignment="1">
      <alignment horizontal="center" vertical="center"/>
    </xf>
    <xf numFmtId="49" fontId="13" fillId="5" borderId="60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176" fontId="13" fillId="5" borderId="61" xfId="1" applyNumberFormat="1" applyFont="1" applyFill="1" applyBorder="1" applyAlignment="1">
      <alignment horizontal="center" vertical="center"/>
    </xf>
    <xf numFmtId="176" fontId="13" fillId="5" borderId="72" xfId="1" applyNumberFormat="1" applyFont="1" applyFill="1" applyBorder="1" applyAlignment="1">
      <alignment horizontal="center" vertical="center"/>
    </xf>
    <xf numFmtId="177" fontId="13" fillId="5" borderId="38" xfId="1" applyNumberFormat="1" applyFont="1" applyFill="1" applyBorder="1" applyAlignment="1">
      <alignment horizontal="center" vertical="center" wrapText="1"/>
    </xf>
    <xf numFmtId="177" fontId="13" fillId="5" borderId="40" xfId="1" applyNumberFormat="1" applyFont="1" applyFill="1" applyBorder="1" applyAlignment="1">
      <alignment horizontal="center" vertical="center" wrapText="1"/>
    </xf>
    <xf numFmtId="177" fontId="13" fillId="5" borderId="38" xfId="1" applyNumberFormat="1" applyFont="1" applyFill="1" applyBorder="1" applyAlignment="1">
      <alignment horizontal="center" vertical="center"/>
    </xf>
    <xf numFmtId="177" fontId="13" fillId="5" borderId="40" xfId="1" applyNumberFormat="1" applyFont="1" applyFill="1" applyBorder="1" applyAlignment="1">
      <alignment horizontal="center" vertical="center"/>
    </xf>
    <xf numFmtId="49" fontId="13" fillId="5" borderId="64" xfId="0" applyNumberFormat="1" applyFont="1" applyFill="1" applyBorder="1" applyAlignment="1">
      <alignment horizontal="center" vertical="center" wrapText="1"/>
    </xf>
    <xf numFmtId="49" fontId="13" fillId="5" borderId="45" xfId="0" applyNumberFormat="1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42" xfId="0" applyFont="1" applyFill="1" applyBorder="1" applyAlignment="1">
      <alignment horizontal="center" vertical="center" wrapText="1"/>
    </xf>
    <xf numFmtId="49" fontId="13" fillId="5" borderId="49" xfId="0" applyNumberFormat="1" applyFont="1" applyFill="1" applyBorder="1" applyAlignment="1">
      <alignment horizontal="center" vertical="center" wrapText="1"/>
    </xf>
    <xf numFmtId="49" fontId="13" fillId="5" borderId="2" xfId="0" applyNumberFormat="1" applyFont="1" applyFill="1" applyBorder="1" applyAlignment="1">
      <alignment horizontal="center" vertical="center" wrapText="1"/>
    </xf>
    <xf numFmtId="49" fontId="13" fillId="5" borderId="46" xfId="1" applyNumberFormat="1" applyFont="1" applyFill="1" applyBorder="1" applyAlignment="1">
      <alignment horizontal="center" vertical="center" wrapText="1"/>
    </xf>
    <xf numFmtId="49" fontId="13" fillId="5" borderId="48" xfId="1" applyNumberFormat="1" applyFont="1" applyFill="1" applyBorder="1" applyAlignment="1">
      <alignment horizontal="center" vertical="center" wrapText="1"/>
    </xf>
    <xf numFmtId="49" fontId="13" fillId="5" borderId="38" xfId="0" applyNumberFormat="1" applyFont="1" applyFill="1" applyBorder="1" applyAlignment="1">
      <alignment horizontal="center" vertical="center" wrapText="1"/>
    </xf>
    <xf numFmtId="49" fontId="13" fillId="5" borderId="40" xfId="0" applyNumberFormat="1" applyFont="1" applyFill="1" applyBorder="1" applyAlignment="1">
      <alignment horizontal="center" vertical="center" wrapText="1"/>
    </xf>
    <xf numFmtId="49" fontId="13" fillId="5" borderId="95" xfId="0" applyNumberFormat="1" applyFont="1" applyFill="1" applyBorder="1" applyAlignment="1">
      <alignment horizontal="center" vertical="center" wrapText="1"/>
    </xf>
    <xf numFmtId="49" fontId="13" fillId="5" borderId="61" xfId="0" applyNumberFormat="1" applyFont="1" applyFill="1" applyBorder="1" applyAlignment="1">
      <alignment horizontal="center" vertical="center" wrapText="1"/>
    </xf>
    <xf numFmtId="0" fontId="13" fillId="5" borderId="94" xfId="0" applyFont="1" applyFill="1" applyBorder="1" applyAlignment="1">
      <alignment horizontal="center" vertical="center" wrapText="1"/>
    </xf>
    <xf numFmtId="49" fontId="13" fillId="5" borderId="56" xfId="0" applyNumberFormat="1" applyFont="1" applyFill="1" applyBorder="1" applyAlignment="1">
      <alignment horizontal="center" vertical="center"/>
    </xf>
    <xf numFmtId="0" fontId="13" fillId="6" borderId="81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43" fontId="13" fillId="4" borderId="37" xfId="1" applyFont="1" applyFill="1" applyBorder="1" applyAlignment="1">
      <alignment horizontal="center" vertical="center"/>
    </xf>
    <xf numFmtId="43" fontId="13" fillId="4" borderId="42" xfId="1" applyFont="1" applyFill="1" applyBorder="1" applyAlignment="1">
      <alignment horizontal="center" vertical="center"/>
    </xf>
    <xf numFmtId="177" fontId="13" fillId="4" borderId="38" xfId="1" applyNumberFormat="1" applyFont="1" applyFill="1" applyBorder="1" applyAlignment="1">
      <alignment horizontal="center" vertical="center" wrapText="1"/>
    </xf>
    <xf numFmtId="177" fontId="13" fillId="4" borderId="40" xfId="1" applyNumberFormat="1" applyFont="1" applyFill="1" applyBorder="1" applyAlignment="1">
      <alignment horizontal="center" vertical="center" wrapText="1"/>
    </xf>
    <xf numFmtId="49" fontId="13" fillId="4" borderId="49" xfId="0" applyNumberFormat="1" applyFont="1" applyFill="1" applyBorder="1" applyAlignment="1">
      <alignment horizontal="center" vertical="center"/>
    </xf>
    <xf numFmtId="43" fontId="13" fillId="4" borderId="38" xfId="1" applyFont="1" applyFill="1" applyBorder="1" applyAlignment="1">
      <alignment horizontal="center" vertical="center"/>
    </xf>
    <xf numFmtId="43" fontId="13" fillId="4" borderId="40" xfId="1" applyFont="1" applyFill="1" applyBorder="1" applyAlignment="1">
      <alignment horizontal="center" vertical="center"/>
    </xf>
    <xf numFmtId="177" fontId="13" fillId="4" borderId="53" xfId="1" applyNumberFormat="1" applyFont="1" applyFill="1" applyBorder="1" applyAlignment="1">
      <alignment horizontal="center" vertical="center" wrapText="1"/>
    </xf>
    <xf numFmtId="177" fontId="13" fillId="4" borderId="63" xfId="1" applyNumberFormat="1" applyFont="1" applyFill="1" applyBorder="1" applyAlignment="1">
      <alignment horizontal="center" vertical="center" wrapText="1"/>
    </xf>
    <xf numFmtId="0" fontId="13" fillId="4" borderId="6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49" fontId="13" fillId="4" borderId="14" xfId="0" applyNumberFormat="1" applyFont="1" applyFill="1" applyBorder="1" applyAlignment="1">
      <alignment horizontal="center" vertical="center" wrapText="1"/>
    </xf>
    <xf numFmtId="49" fontId="13" fillId="4" borderId="27" xfId="0" applyNumberFormat="1" applyFont="1" applyFill="1" applyBorder="1" applyAlignment="1">
      <alignment horizontal="center" vertical="center" wrapText="1"/>
    </xf>
    <xf numFmtId="49" fontId="13" fillId="4" borderId="56" xfId="0" applyNumberFormat="1" applyFont="1" applyFill="1" applyBorder="1" applyAlignment="1">
      <alignment horizontal="center" vertical="center" wrapText="1"/>
    </xf>
    <xf numFmtId="49" fontId="13" fillId="4" borderId="45" xfId="0" applyNumberFormat="1" applyFont="1" applyFill="1" applyBorder="1" applyAlignment="1">
      <alignment horizontal="center" vertical="center" wrapText="1"/>
    </xf>
    <xf numFmtId="49" fontId="13" fillId="4" borderId="11" xfId="0" applyNumberFormat="1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0" fontId="13" fillId="4" borderId="69" xfId="0" applyFont="1" applyFill="1" applyBorder="1" applyAlignment="1">
      <alignment horizontal="center" vertical="center" wrapText="1"/>
    </xf>
    <xf numFmtId="0" fontId="13" fillId="4" borderId="72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6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43" fontId="13" fillId="3" borderId="66" xfId="1" applyFont="1" applyFill="1" applyBorder="1" applyAlignment="1">
      <alignment horizontal="center" vertical="center"/>
    </xf>
    <xf numFmtId="43" fontId="13" fillId="3" borderId="27" xfId="1" applyFont="1" applyFill="1" applyBorder="1" applyAlignment="1">
      <alignment horizontal="center" vertical="center"/>
    </xf>
    <xf numFmtId="43" fontId="13" fillId="3" borderId="17" xfId="1" applyFont="1" applyFill="1" applyBorder="1" applyAlignment="1">
      <alignment horizontal="center" vertical="center"/>
    </xf>
    <xf numFmtId="0" fontId="13" fillId="3" borderId="6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7" fontId="13" fillId="6" borderId="1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43" fontId="13" fillId="4" borderId="61" xfId="1" applyFont="1" applyFill="1" applyBorder="1" applyAlignment="1">
      <alignment horizontal="center" vertical="center"/>
    </xf>
    <xf numFmtId="43" fontId="13" fillId="4" borderId="72" xfId="1" applyFont="1" applyFill="1" applyBorder="1" applyAlignment="1">
      <alignment horizontal="center" vertical="center"/>
    </xf>
    <xf numFmtId="176" fontId="13" fillId="4" borderId="46" xfId="1" applyNumberFormat="1" applyFont="1" applyFill="1" applyBorder="1" applyAlignment="1">
      <alignment horizontal="center" vertical="center" wrapText="1"/>
    </xf>
    <xf numFmtId="176" fontId="13" fillId="4" borderId="48" xfId="1" applyNumberFormat="1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49" fontId="13" fillId="4" borderId="38" xfId="0" applyNumberFormat="1" applyFont="1" applyFill="1" applyBorder="1" applyAlignment="1">
      <alignment horizontal="center" vertical="center" wrapText="1"/>
    </xf>
    <xf numFmtId="49" fontId="13" fillId="4" borderId="40" xfId="0" applyNumberFormat="1" applyFont="1" applyFill="1" applyBorder="1" applyAlignment="1">
      <alignment horizontal="center" vertical="center" wrapText="1"/>
    </xf>
    <xf numFmtId="176" fontId="13" fillId="4" borderId="45" xfId="1" applyNumberFormat="1" applyFont="1" applyFill="1" applyBorder="1" applyAlignment="1">
      <alignment horizontal="center" vertical="center" wrapText="1"/>
    </xf>
    <xf numFmtId="176" fontId="13" fillId="4" borderId="11" xfId="1" applyNumberFormat="1" applyFont="1" applyFill="1" applyBorder="1" applyAlignment="1">
      <alignment horizontal="center" vertical="center" wrapText="1"/>
    </xf>
    <xf numFmtId="49" fontId="13" fillId="5" borderId="38" xfId="1" applyNumberFormat="1" applyFont="1" applyFill="1" applyBorder="1" applyAlignment="1">
      <alignment horizontal="center" vertical="center" wrapText="1"/>
    </xf>
    <xf numFmtId="49" fontId="13" fillId="5" borderId="35" xfId="1" applyNumberFormat="1" applyFont="1" applyFill="1" applyBorder="1" applyAlignment="1">
      <alignment horizontal="center" vertical="center" wrapText="1"/>
    </xf>
    <xf numFmtId="49" fontId="13" fillId="5" borderId="35" xfId="0" applyNumberFormat="1" applyFont="1" applyFill="1" applyBorder="1" applyAlignment="1">
      <alignment horizontal="center" vertical="center" wrapText="1"/>
    </xf>
    <xf numFmtId="183" fontId="13" fillId="3" borderId="57" xfId="1" applyNumberFormat="1" applyFont="1" applyFill="1" applyBorder="1" applyAlignment="1">
      <alignment horizontal="center" vertical="center" wrapText="1"/>
    </xf>
    <xf numFmtId="183" fontId="13" fillId="3" borderId="70" xfId="1" applyNumberFormat="1" applyFont="1" applyFill="1" applyBorder="1" applyAlignment="1">
      <alignment horizontal="center" vertical="center" wrapText="1"/>
    </xf>
    <xf numFmtId="0" fontId="13" fillId="3" borderId="104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68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83" fontId="13" fillId="4" borderId="53" xfId="1" applyNumberFormat="1" applyFont="1" applyFill="1" applyBorder="1" applyAlignment="1">
      <alignment horizontal="center" vertical="center" wrapText="1"/>
    </xf>
    <xf numFmtId="183" fontId="13" fillId="4" borderId="63" xfId="1" applyNumberFormat="1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49" fontId="13" fillId="4" borderId="21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182" fontId="13" fillId="6" borderId="1" xfId="0" applyNumberFormat="1" applyFont="1" applyFill="1" applyBorder="1" applyAlignment="1">
      <alignment horizontal="center" vertical="center" wrapText="1"/>
    </xf>
    <xf numFmtId="176" fontId="13" fillId="6" borderId="101" xfId="1" applyNumberFormat="1" applyFont="1" applyFill="1" applyBorder="1" applyAlignment="1">
      <alignment horizontal="center" vertical="center" wrapText="1"/>
    </xf>
    <xf numFmtId="176" fontId="13" fillId="6" borderId="102" xfId="1" applyNumberFormat="1" applyFont="1" applyFill="1" applyBorder="1" applyAlignment="1">
      <alignment horizontal="center" vertical="center" wrapText="1"/>
    </xf>
    <xf numFmtId="176" fontId="13" fillId="6" borderId="103" xfId="1" applyNumberFormat="1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43" fontId="13" fillId="3" borderId="1" xfId="1" applyFont="1" applyFill="1" applyBorder="1" applyAlignment="1">
      <alignment horizontal="center" vertical="center"/>
    </xf>
    <xf numFmtId="176" fontId="13" fillId="3" borderId="37" xfId="1" applyNumberFormat="1" applyFont="1" applyFill="1" applyBorder="1" applyAlignment="1">
      <alignment horizontal="center" vertical="center"/>
    </xf>
    <xf numFmtId="176" fontId="13" fillId="3" borderId="42" xfId="1" applyNumberFormat="1" applyFont="1" applyFill="1" applyBorder="1" applyAlignment="1">
      <alignment horizontal="center" vertical="center"/>
    </xf>
    <xf numFmtId="49" fontId="13" fillId="4" borderId="38" xfId="1" applyNumberFormat="1" applyFont="1" applyFill="1" applyBorder="1" applyAlignment="1">
      <alignment horizontal="center" vertical="center" wrapText="1"/>
    </xf>
    <xf numFmtId="49" fontId="13" fillId="4" borderId="40" xfId="1" applyNumberFormat="1" applyFont="1" applyFill="1" applyBorder="1" applyAlignment="1">
      <alignment horizontal="center" vertical="center" wrapText="1"/>
    </xf>
    <xf numFmtId="181" fontId="13" fillId="6" borderId="1" xfId="0" applyNumberFormat="1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54" xfId="0" applyFont="1" applyFill="1" applyBorder="1" applyAlignment="1">
      <alignment horizontal="center" vertical="center" wrapText="1"/>
    </xf>
    <xf numFmtId="0" fontId="14" fillId="2" borderId="53" xfId="0" applyFont="1" applyFill="1" applyBorder="1" applyAlignment="1">
      <alignment horizontal="center" vertical="center" wrapText="1"/>
    </xf>
    <xf numFmtId="0" fontId="14" fillId="2" borderId="68" xfId="0" applyFont="1" applyFill="1" applyBorder="1" applyAlignment="1">
      <alignment horizontal="center" vertical="center" wrapText="1"/>
    </xf>
    <xf numFmtId="0" fontId="14" fillId="2" borderId="63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5" borderId="60" xfId="0" applyFont="1" applyFill="1" applyBorder="1" applyAlignment="1">
      <alignment horizontal="center" vertical="center"/>
    </xf>
    <xf numFmtId="176" fontId="13" fillId="5" borderId="61" xfId="1" applyNumberFormat="1" applyFont="1" applyFill="1" applyBorder="1" applyAlignment="1">
      <alignment horizontal="center" vertical="center" wrapText="1"/>
    </xf>
    <xf numFmtId="176" fontId="13" fillId="5" borderId="72" xfId="1" applyNumberFormat="1" applyFont="1" applyFill="1" applyBorder="1" applyAlignment="1">
      <alignment horizontal="center" vertical="center" wrapText="1"/>
    </xf>
    <xf numFmtId="177" fontId="13" fillId="5" borderId="57" xfId="1" applyNumberFormat="1" applyFont="1" applyFill="1" applyBorder="1" applyAlignment="1">
      <alignment horizontal="center" vertical="center" wrapText="1"/>
    </xf>
    <xf numFmtId="177" fontId="13" fillId="5" borderId="70" xfId="1" applyNumberFormat="1" applyFont="1" applyFill="1" applyBorder="1" applyAlignment="1">
      <alignment horizontal="center" vertical="center" wrapText="1"/>
    </xf>
    <xf numFmtId="49" fontId="13" fillId="5" borderId="11" xfId="0" applyNumberFormat="1" applyFont="1" applyFill="1" applyBorder="1" applyAlignment="1">
      <alignment horizontal="center" vertical="center" wrapText="1"/>
    </xf>
    <xf numFmtId="176" fontId="13" fillId="4" borderId="53" xfId="1" applyNumberFormat="1" applyFont="1" applyFill="1" applyBorder="1" applyAlignment="1">
      <alignment horizontal="right" vertical="center" wrapText="1"/>
    </xf>
    <xf numFmtId="176" fontId="13" fillId="4" borderId="68" xfId="1" applyNumberFormat="1" applyFont="1" applyFill="1" applyBorder="1" applyAlignment="1">
      <alignment horizontal="right" vertical="center" wrapText="1"/>
    </xf>
    <xf numFmtId="176" fontId="13" fillId="4" borderId="63" xfId="1" applyNumberFormat="1" applyFont="1" applyFill="1" applyBorder="1" applyAlignment="1">
      <alignment horizontal="right" vertical="center" wrapText="1"/>
    </xf>
    <xf numFmtId="0" fontId="13" fillId="4" borderId="17" xfId="0" applyFont="1" applyFill="1" applyBorder="1" applyAlignment="1">
      <alignment horizontal="center" vertical="center"/>
    </xf>
    <xf numFmtId="176" fontId="13" fillId="4" borderId="37" xfId="1" applyNumberFormat="1" applyFont="1" applyFill="1" applyBorder="1" applyAlignment="1">
      <alignment horizontal="center" vertical="center" wrapText="1"/>
    </xf>
    <xf numFmtId="176" fontId="13" fillId="4" borderId="42" xfId="1" applyNumberFormat="1" applyFont="1" applyFill="1" applyBorder="1" applyAlignment="1">
      <alignment horizontal="center" vertical="center" wrapText="1"/>
    </xf>
    <xf numFmtId="177" fontId="13" fillId="4" borderId="45" xfId="1" applyNumberFormat="1" applyFont="1" applyFill="1" applyBorder="1" applyAlignment="1">
      <alignment horizontal="center" vertical="center" wrapText="1"/>
    </xf>
    <xf numFmtId="177" fontId="13" fillId="4" borderId="11" xfId="1" applyNumberFormat="1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83" xfId="0" applyFont="1" applyFill="1" applyBorder="1" applyAlignment="1">
      <alignment horizontal="center" vertical="center" wrapText="1"/>
    </xf>
    <xf numFmtId="176" fontId="13" fillId="5" borderId="45" xfId="1" applyNumberFormat="1" applyFont="1" applyFill="1" applyBorder="1" applyAlignment="1">
      <alignment horizontal="center" vertical="center" wrapText="1"/>
    </xf>
    <xf numFmtId="176" fontId="13" fillId="5" borderId="11" xfId="1" applyNumberFormat="1" applyFont="1" applyFill="1" applyBorder="1" applyAlignment="1">
      <alignment horizontal="center" vertical="center" wrapText="1"/>
    </xf>
    <xf numFmtId="177" fontId="13" fillId="5" borderId="53" xfId="1" applyNumberFormat="1" applyFont="1" applyFill="1" applyBorder="1" applyAlignment="1">
      <alignment horizontal="center" vertical="center" wrapText="1"/>
    </xf>
    <xf numFmtId="177" fontId="13" fillId="5" borderId="63" xfId="1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177" fontId="13" fillId="5" borderId="46" xfId="1" applyNumberFormat="1" applyFont="1" applyFill="1" applyBorder="1" applyAlignment="1">
      <alignment horizontal="center" vertical="center" wrapText="1"/>
    </xf>
    <xf numFmtId="177" fontId="13" fillId="5" borderId="48" xfId="1" applyNumberFormat="1" applyFont="1" applyFill="1" applyBorder="1" applyAlignment="1">
      <alignment horizontal="center" vertical="center" wrapText="1"/>
    </xf>
    <xf numFmtId="176" fontId="13" fillId="4" borderId="45" xfId="1" applyNumberFormat="1" applyFont="1" applyFill="1" applyBorder="1" applyAlignment="1">
      <alignment horizontal="right" vertical="center" wrapText="1"/>
    </xf>
    <xf numFmtId="176" fontId="13" fillId="4" borderId="36" xfId="1" applyNumberFormat="1" applyFont="1" applyFill="1" applyBorder="1" applyAlignment="1">
      <alignment horizontal="right" vertical="center" wrapText="1"/>
    </xf>
    <xf numFmtId="176" fontId="13" fillId="4" borderId="48" xfId="1" applyNumberFormat="1" applyFont="1" applyFill="1" applyBorder="1" applyAlignment="1">
      <alignment horizontal="right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176" fontId="13" fillId="4" borderId="61" xfId="1" applyNumberFormat="1" applyFont="1" applyFill="1" applyBorder="1" applyAlignment="1">
      <alignment horizontal="center" vertical="center" wrapText="1"/>
    </xf>
    <xf numFmtId="176" fontId="13" fillId="4" borderId="72" xfId="1" applyNumberFormat="1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/>
    </xf>
    <xf numFmtId="0" fontId="13" fillId="4" borderId="53" xfId="0" applyFont="1" applyFill="1" applyBorder="1" applyAlignment="1">
      <alignment horizontal="center" vertical="center" wrapText="1"/>
    </xf>
    <xf numFmtId="0" fontId="13" fillId="4" borderId="68" xfId="0" applyFont="1" applyFill="1" applyBorder="1" applyAlignment="1">
      <alignment horizontal="center" vertical="center" wrapText="1"/>
    </xf>
    <xf numFmtId="0" fontId="13" fillId="4" borderId="6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 wrapText="1"/>
    </xf>
    <xf numFmtId="177" fontId="13" fillId="6" borderId="27" xfId="0" applyNumberFormat="1" applyFont="1" applyFill="1" applyBorder="1" applyAlignment="1">
      <alignment horizontal="center" vertical="center" wrapText="1"/>
    </xf>
    <xf numFmtId="177" fontId="13" fillId="6" borderId="75" xfId="0" applyNumberFormat="1" applyFont="1" applyFill="1" applyBorder="1" applyAlignment="1">
      <alignment horizontal="center" vertical="center" wrapText="1"/>
    </xf>
    <xf numFmtId="177" fontId="13" fillId="6" borderId="73" xfId="0" applyNumberFormat="1" applyFont="1" applyFill="1" applyBorder="1" applyAlignment="1">
      <alignment horizontal="center" vertical="center" wrapText="1"/>
    </xf>
    <xf numFmtId="183" fontId="13" fillId="3" borderId="1" xfId="0" applyNumberFormat="1" applyFont="1" applyFill="1" applyBorder="1" applyAlignment="1">
      <alignment horizontal="center" vertical="center"/>
    </xf>
    <xf numFmtId="183" fontId="13" fillId="3" borderId="46" xfId="1" applyNumberFormat="1" applyFont="1" applyFill="1" applyBorder="1" applyAlignment="1">
      <alignment horizontal="center" vertical="center" wrapText="1"/>
    </xf>
    <xf numFmtId="183" fontId="13" fillId="3" borderId="48" xfId="1" applyNumberFormat="1" applyFont="1" applyFill="1" applyBorder="1" applyAlignment="1">
      <alignment horizontal="center" vertical="center" wrapText="1"/>
    </xf>
    <xf numFmtId="177" fontId="13" fillId="6" borderId="38" xfId="0" applyNumberFormat="1" applyFont="1" applyFill="1" applyBorder="1" applyAlignment="1">
      <alignment horizontal="center" vertical="center" wrapText="1"/>
    </xf>
    <xf numFmtId="177" fontId="13" fillId="6" borderId="35" xfId="0" applyNumberFormat="1" applyFont="1" applyFill="1" applyBorder="1" applyAlignment="1">
      <alignment horizontal="center" vertical="center" wrapText="1"/>
    </xf>
    <xf numFmtId="177" fontId="13" fillId="6" borderId="40" xfId="0" applyNumberFormat="1" applyFont="1" applyFill="1" applyBorder="1" applyAlignment="1">
      <alignment horizontal="center" vertical="center" wrapText="1"/>
    </xf>
    <xf numFmtId="176" fontId="13" fillId="3" borderId="24" xfId="1" applyNumberFormat="1" applyFont="1" applyFill="1" applyBorder="1" applyAlignment="1">
      <alignment horizontal="center" vertical="center"/>
    </xf>
    <xf numFmtId="183" fontId="13" fillId="3" borderId="27" xfId="1" applyNumberFormat="1" applyFont="1" applyFill="1" applyBorder="1" applyAlignment="1">
      <alignment horizontal="center" vertical="center"/>
    </xf>
    <xf numFmtId="176" fontId="13" fillId="3" borderId="66" xfId="1" applyNumberFormat="1" applyFont="1" applyFill="1" applyBorder="1" applyAlignment="1">
      <alignment horizontal="center" vertical="center"/>
    </xf>
    <xf numFmtId="183" fontId="13" fillId="3" borderId="56" xfId="1" applyNumberFormat="1" applyFont="1" applyFill="1" applyBorder="1" applyAlignment="1">
      <alignment horizontal="center" vertical="center"/>
    </xf>
    <xf numFmtId="176" fontId="13" fillId="3" borderId="64" xfId="1" applyNumberFormat="1" applyFont="1" applyFill="1" applyBorder="1" applyAlignment="1">
      <alignment horizontal="center" vertical="center"/>
    </xf>
    <xf numFmtId="176" fontId="13" fillId="3" borderId="65" xfId="1" applyNumberFormat="1" applyFont="1" applyFill="1" applyBorder="1" applyAlignment="1">
      <alignment horizontal="center" vertical="center"/>
    </xf>
    <xf numFmtId="183" fontId="13" fillId="3" borderId="53" xfId="1" applyNumberFormat="1" applyFont="1" applyFill="1" applyBorder="1" applyAlignment="1">
      <alignment horizontal="center" vertical="center" wrapText="1"/>
    </xf>
    <xf numFmtId="183" fontId="13" fillId="3" borderId="63" xfId="1" applyNumberFormat="1" applyFont="1" applyFill="1" applyBorder="1" applyAlignment="1">
      <alignment horizontal="center" vertical="center" wrapText="1"/>
    </xf>
    <xf numFmtId="176" fontId="13" fillId="3" borderId="45" xfId="1" applyNumberFormat="1" applyFont="1" applyFill="1" applyBorder="1" applyAlignment="1">
      <alignment horizontal="center" vertical="center"/>
    </xf>
    <xf numFmtId="176" fontId="13" fillId="3" borderId="11" xfId="1" applyNumberFormat="1" applyFont="1" applyFill="1" applyBorder="1" applyAlignment="1">
      <alignment horizontal="center" vertical="center"/>
    </xf>
    <xf numFmtId="176" fontId="13" fillId="3" borderId="27" xfId="1" applyNumberFormat="1" applyFont="1" applyFill="1" applyBorder="1" applyAlignment="1">
      <alignment horizontal="center" vertical="center"/>
    </xf>
    <xf numFmtId="176" fontId="13" fillId="3" borderId="17" xfId="1" applyNumberFormat="1" applyFont="1" applyFill="1" applyBorder="1" applyAlignment="1">
      <alignment horizontal="center" vertical="center"/>
    </xf>
    <xf numFmtId="0" fontId="13" fillId="3" borderId="56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 wrapText="1"/>
    </xf>
    <xf numFmtId="0" fontId="13" fillId="7" borderId="41" xfId="0" applyFont="1" applyFill="1" applyBorder="1" applyAlignment="1">
      <alignment horizontal="center" vertical="center" wrapText="1"/>
    </xf>
    <xf numFmtId="0" fontId="13" fillId="7" borderId="90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69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/>
    </xf>
    <xf numFmtId="176" fontId="13" fillId="3" borderId="56" xfId="1" applyNumberFormat="1" applyFont="1" applyFill="1" applyBorder="1" applyAlignment="1">
      <alignment horizontal="center" vertical="center"/>
    </xf>
    <xf numFmtId="176" fontId="13" fillId="3" borderId="67" xfId="1" applyNumberFormat="1" applyFont="1" applyFill="1" applyBorder="1" applyAlignment="1">
      <alignment horizontal="center" vertical="center"/>
    </xf>
    <xf numFmtId="176" fontId="13" fillId="3" borderId="71" xfId="1" applyNumberFormat="1" applyFont="1" applyFill="1" applyBorder="1" applyAlignment="1">
      <alignment horizontal="center" vertical="center"/>
    </xf>
    <xf numFmtId="177" fontId="13" fillId="3" borderId="53" xfId="1" applyNumberFormat="1" applyFont="1" applyFill="1" applyBorder="1" applyAlignment="1">
      <alignment horizontal="center" vertical="center"/>
    </xf>
    <xf numFmtId="177" fontId="13" fillId="3" borderId="63" xfId="1" applyNumberFormat="1" applyFont="1" applyFill="1" applyBorder="1" applyAlignment="1">
      <alignment horizontal="center" vertical="center"/>
    </xf>
    <xf numFmtId="177" fontId="13" fillId="3" borderId="46" xfId="1" applyNumberFormat="1" applyFont="1" applyFill="1" applyBorder="1" applyAlignment="1">
      <alignment horizontal="center" vertical="center"/>
    </xf>
    <xf numFmtId="177" fontId="13" fillId="3" borderId="48" xfId="1" applyNumberFormat="1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left" vertical="center" wrapText="1"/>
    </xf>
    <xf numFmtId="0" fontId="14" fillId="2" borderId="35" xfId="0" applyFont="1" applyFill="1" applyBorder="1" applyAlignment="1">
      <alignment horizontal="left" vertical="center" wrapText="1"/>
    </xf>
    <xf numFmtId="0" fontId="14" fillId="2" borderId="40" xfId="0" applyFont="1" applyFill="1" applyBorder="1" applyAlignment="1">
      <alignment horizontal="left" vertical="center" wrapText="1"/>
    </xf>
    <xf numFmtId="176" fontId="13" fillId="6" borderId="46" xfId="1" applyNumberFormat="1" applyFont="1" applyFill="1" applyBorder="1" applyAlignment="1">
      <alignment horizontal="center" vertical="center" wrapText="1"/>
    </xf>
    <xf numFmtId="176" fontId="13" fillId="6" borderId="36" xfId="1" applyNumberFormat="1" applyFont="1" applyFill="1" applyBorder="1" applyAlignment="1">
      <alignment horizontal="center" vertical="center" wrapText="1"/>
    </xf>
    <xf numFmtId="176" fontId="13" fillId="6" borderId="47" xfId="1" applyNumberFormat="1" applyFont="1" applyFill="1" applyBorder="1" applyAlignment="1">
      <alignment horizontal="center" vertical="center" wrapText="1"/>
    </xf>
    <xf numFmtId="177" fontId="13" fillId="6" borderId="10" xfId="0" applyNumberFormat="1" applyFont="1" applyFill="1" applyBorder="1" applyAlignment="1">
      <alignment horizontal="center" vertical="center" wrapText="1"/>
    </xf>
    <xf numFmtId="183" fontId="13" fillId="3" borderId="23" xfId="1" applyNumberFormat="1" applyFont="1" applyFill="1" applyBorder="1" applyAlignment="1">
      <alignment horizontal="center" vertical="center"/>
    </xf>
    <xf numFmtId="183" fontId="13" fillId="3" borderId="28" xfId="1" applyNumberFormat="1" applyFont="1" applyFill="1" applyBorder="1" applyAlignment="1">
      <alignment horizontal="center" vertical="center"/>
    </xf>
    <xf numFmtId="183" fontId="13" fillId="3" borderId="27" xfId="0" applyNumberFormat="1" applyFont="1" applyFill="1" applyBorder="1" applyAlignment="1">
      <alignment horizontal="center" vertical="center"/>
    </xf>
  </cellXfs>
  <cellStyles count="11">
    <cellStyle name="一般" xfId="0" builtinId="0"/>
    <cellStyle name="千分位" xfId="1" builtinId="3"/>
    <cellStyle name="千分位 2" xfId="2" xr:uid="{00000000-0005-0000-0000-000003000000}"/>
    <cellStyle name="千分位 2 2" xfId="7" xr:uid="{00000000-0005-0000-0000-000003000000}"/>
    <cellStyle name="千分位 3" xfId="4" xr:uid="{8A34D940-94BE-42A9-B424-9C2C901F4434}"/>
    <cellStyle name="千分位 4" xfId="5" xr:uid="{517560C1-11AE-4244-82CA-1C586434F6A3}"/>
    <cellStyle name="千分位 5" xfId="6" xr:uid="{00000000-0005-0000-0000-000033000000}"/>
    <cellStyle name="千分位 7" xfId="9" xr:uid="{B23F7308-68D7-4C99-9A9C-935E63A23D2A}"/>
    <cellStyle name="千分位[0] 2" xfId="8" xr:uid="{00000000-0005-0000-0000-000035000000}"/>
    <cellStyle name="貨幣" xfId="10" builtinId="4"/>
    <cellStyle name="說明文字 2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jah huang" id="{EFAB54B4-22F4-4460-BCEC-CEA0C37B04D0}" userId="23d99bdb345625b8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B11" dT="2024-08-15T09:15:04.82" personId="{EFAB54B4-22F4-4460-BCEC-CEA0C37B04D0}" id="{C2E8A878-7A69-415F-BA4E-280E7D9D059D}">
    <text>20900</text>
  </threadedComment>
  <threadedComment ref="CZ12" dT="2024-07-22T10:36:32.63" personId="{EFAB54B4-22F4-4460-BCEC-CEA0C37B04D0}" id="{968DA5CA-0A0B-4EF4-86E1-4B388ED920E5}">
    <text>10800</text>
  </threadedComment>
  <threadedComment ref="CZ14" dT="2024-08-15T08:24:20.84" personId="{EFAB54B4-22F4-4460-BCEC-CEA0C37B04D0}" id="{91612DE7-7FA3-4A72-96FD-A7B9A583DCDE}">
    <text>65100</text>
  </threadedComment>
  <threadedComment ref="CZ31" dT="2024-09-16T07:56:13.35" personId="{EFAB54B4-22F4-4460-BCEC-CEA0C37B04D0}" id="{193417AE-D9DF-464C-994B-66D9B7507FC7}">
    <text>10500</text>
  </threadedComment>
  <threadedComment ref="CZ32" dT="2024-07-22T10:26:24.87" personId="{EFAB54B4-22F4-4460-BCEC-CEA0C37B04D0}" id="{AFD680E0-0B45-4F56-B63A-C32EEA72A3DC}">
    <text>10200</text>
  </threadedComment>
  <threadedComment ref="B51" dT="2025-06-27T08:23:56.78" personId="{EFAB54B4-22F4-4460-BCEC-CEA0C37B04D0}" id="{A8796190-6502-41FF-BD62-612EA63E5526}">
    <text>共住案</text>
  </threadedComment>
  <threadedComment ref="B52" dT="2025-07-17T08:49:43.61" personId="{EFAB54B4-22F4-4460-BCEC-CEA0C37B04D0}" id="{E0892ADA-3E1B-4275-9A7F-596F2B37B391}">
    <text>原 4-223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5-06-24T10:21:23.77" personId="{EFAB54B4-22F4-4460-BCEC-CEA0C37B04D0}" id="{DF9C5E26-C879-4E88-B854-490C29C8ACA6}">
    <text>355 家</text>
  </threadedComment>
  <threadedComment ref="S7" dT="2025-06-29T11:03:09.05" personId="{EFAB54B4-22F4-4460-BCEC-CEA0C37B04D0}" id="{99DC9CD9-F3B1-4EA5-BD87-985BA9477964}">
    <text>續約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/>
  <dimension ref="A1:BY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2" sqref="H12"/>
    </sheetView>
  </sheetViews>
  <sheetFormatPr defaultColWidth="9" defaultRowHeight="16.2"/>
  <cols>
    <col min="1" max="1" width="9" style="6"/>
    <col min="2" max="2" width="11.109375" style="6" customWidth="1"/>
    <col min="3" max="7" width="11.21875" style="6" customWidth="1"/>
    <col min="8" max="8" width="12.44140625" style="6" customWidth="1"/>
    <col min="9" max="9" width="11.44140625" style="6" bestFit="1" customWidth="1"/>
    <col min="10" max="10" width="11.44140625" style="6" customWidth="1"/>
    <col min="11" max="11" width="10.44140625" style="6" customWidth="1"/>
    <col min="12" max="12" width="9.77734375" style="6" customWidth="1"/>
    <col min="13" max="13" width="10.44140625" style="6" customWidth="1"/>
    <col min="14" max="14" width="9.44140625" style="6" bestFit="1" customWidth="1"/>
    <col min="15" max="15" width="11.44140625" style="6" customWidth="1"/>
    <col min="16" max="16" width="13.44140625" style="6" bestFit="1" customWidth="1"/>
    <col min="17" max="16384" width="9" style="6"/>
  </cols>
  <sheetData>
    <row r="1" spans="1:77" s="1" customFormat="1" ht="16.8" thickTop="1">
      <c r="A1" s="806" t="s">
        <v>80</v>
      </c>
      <c r="B1" s="808" t="s">
        <v>85</v>
      </c>
      <c r="C1" s="810" t="s">
        <v>5</v>
      </c>
      <c r="D1" s="811"/>
      <c r="E1" s="811"/>
      <c r="F1" s="811"/>
      <c r="G1" s="811"/>
      <c r="H1" s="812"/>
      <c r="I1" s="813" t="s">
        <v>78</v>
      </c>
      <c r="J1" s="814"/>
      <c r="K1" s="814"/>
      <c r="L1" s="814"/>
      <c r="M1" s="814"/>
      <c r="N1" s="814"/>
      <c r="O1" s="815"/>
      <c r="P1" s="816" t="s">
        <v>86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 s="1" customFormat="1" ht="16.8" thickBot="1">
      <c r="A2" s="807"/>
      <c r="B2" s="809"/>
      <c r="C2" s="11" t="s">
        <v>11</v>
      </c>
      <c r="D2" s="11" t="s">
        <v>14</v>
      </c>
      <c r="E2" s="11" t="s">
        <v>82</v>
      </c>
      <c r="F2" s="11" t="s">
        <v>81</v>
      </c>
      <c r="G2" s="11" t="s">
        <v>83</v>
      </c>
      <c r="H2" s="12" t="s">
        <v>87</v>
      </c>
      <c r="I2" s="13" t="s">
        <v>7</v>
      </c>
      <c r="J2" s="11" t="s">
        <v>18</v>
      </c>
      <c r="K2" s="11" t="s">
        <v>82</v>
      </c>
      <c r="L2" s="11" t="s">
        <v>84</v>
      </c>
      <c r="M2" s="11" t="s">
        <v>4</v>
      </c>
      <c r="N2" s="11" t="s">
        <v>83</v>
      </c>
      <c r="O2" s="12" t="s">
        <v>87</v>
      </c>
      <c r="P2" s="817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</row>
    <row r="3" spans="1:77" s="1" customFormat="1" ht="18" thickTop="1">
      <c r="A3" s="800" t="s">
        <v>205</v>
      </c>
      <c r="B3" s="3" t="s">
        <v>204</v>
      </c>
      <c r="C3" s="14" t="e">
        <f>'代租 '!#REF!</f>
        <v>#REF!</v>
      </c>
      <c r="D3" s="14" t="e">
        <f>'代租 '!#REF!</f>
        <v>#REF!</v>
      </c>
      <c r="E3" s="14" t="e">
        <f>'代租 '!#REF!</f>
        <v>#REF!</v>
      </c>
      <c r="F3" s="14" t="e">
        <f>'代租 '!#REF!</f>
        <v>#REF!</v>
      </c>
      <c r="G3" s="14" t="e">
        <f>'代租 '!#REF!</f>
        <v>#REF!</v>
      </c>
      <c r="H3" s="15" t="e">
        <f t="shared" ref="H3:H8" si="0">SUM(C3:G3)</f>
        <v>#REF!</v>
      </c>
      <c r="I3" s="16" t="e">
        <f>'包租 '!#REF!</f>
        <v>#REF!</v>
      </c>
      <c r="J3" s="14" t="e">
        <f>'包租 '!#REF!</f>
        <v>#REF!</v>
      </c>
      <c r="K3" s="14" t="e">
        <f>'包租 '!#REF!</f>
        <v>#REF!</v>
      </c>
      <c r="L3" s="14" t="e">
        <f>'包租 '!#REF!</f>
        <v>#REF!</v>
      </c>
      <c r="M3" s="14" t="e">
        <f>'包租 '!#REF!</f>
        <v>#REF!</v>
      </c>
      <c r="N3" s="14" t="e">
        <f>'包租 '!#REF!</f>
        <v>#REF!</v>
      </c>
      <c r="O3" s="17" t="e">
        <f t="shared" ref="O3" si="1">SUM(I3:N3)</f>
        <v>#REF!</v>
      </c>
      <c r="P3" s="803" t="e">
        <f>SUM(H3:H8,O3:O8)</f>
        <v>#REF!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</row>
    <row r="4" spans="1:77" s="1" customFormat="1">
      <c r="A4" s="801"/>
      <c r="B4" s="18"/>
      <c r="C4" s="19" t="e">
        <f>'代租 '!#REF!</f>
        <v>#REF!</v>
      </c>
      <c r="D4" s="19" t="e">
        <f>'代租 '!#REF!</f>
        <v>#REF!</v>
      </c>
      <c r="E4" s="19" t="e">
        <f>'代租 '!#REF!</f>
        <v>#REF!</v>
      </c>
      <c r="F4" s="19" t="e">
        <f>'代租 '!#REF!</f>
        <v>#REF!</v>
      </c>
      <c r="G4" s="19" t="e">
        <f>'代租 '!#REF!</f>
        <v>#REF!</v>
      </c>
      <c r="H4" s="20" t="e">
        <f t="shared" si="0"/>
        <v>#REF!</v>
      </c>
      <c r="I4" s="21" t="e">
        <f>'包租 '!#REF!</f>
        <v>#REF!</v>
      </c>
      <c r="J4" s="19" t="e">
        <f>'包租 '!#REF!</f>
        <v>#REF!</v>
      </c>
      <c r="K4" s="19" t="e">
        <f>'包租 '!#REF!</f>
        <v>#REF!</v>
      </c>
      <c r="L4" s="19" t="e">
        <f>'包租 '!#REF!</f>
        <v>#REF!</v>
      </c>
      <c r="M4" s="19" t="e">
        <f>'包租 '!#REF!</f>
        <v>#REF!</v>
      </c>
      <c r="N4" s="19" t="e">
        <f>'包租 '!#REF!</f>
        <v>#REF!</v>
      </c>
      <c r="O4" s="22" t="e">
        <f t="shared" ref="O4:O8" si="2">SUM(I4:N4)</f>
        <v>#REF!</v>
      </c>
      <c r="P4" s="804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</row>
    <row r="5" spans="1:77" s="1" customFormat="1">
      <c r="A5" s="801"/>
      <c r="B5" s="18"/>
      <c r="C5" s="19" t="e">
        <f>'代租 '!#REF!</f>
        <v>#REF!</v>
      </c>
      <c r="D5" s="19" t="e">
        <f>'代租 '!#REF!</f>
        <v>#REF!</v>
      </c>
      <c r="E5" s="19" t="e">
        <f>'代租 '!#REF!</f>
        <v>#REF!</v>
      </c>
      <c r="F5" s="19" t="e">
        <f>'代租 '!#REF!</f>
        <v>#REF!</v>
      </c>
      <c r="G5" s="19" t="e">
        <f>'代租 '!#REF!</f>
        <v>#REF!</v>
      </c>
      <c r="H5" s="20" t="e">
        <f>SUM(C5:G5)</f>
        <v>#REF!</v>
      </c>
      <c r="I5" s="21" t="e">
        <f>'包租 '!#REF!</f>
        <v>#REF!</v>
      </c>
      <c r="J5" s="19" t="e">
        <f>'包租 '!#REF!</f>
        <v>#REF!</v>
      </c>
      <c r="K5" s="19" t="e">
        <f>'包租 '!#REF!</f>
        <v>#REF!</v>
      </c>
      <c r="L5" s="19" t="e">
        <f>'包租 '!#REF!</f>
        <v>#REF!</v>
      </c>
      <c r="M5" s="19" t="e">
        <f>'包租 '!#REF!</f>
        <v>#REF!</v>
      </c>
      <c r="N5" s="19" t="e">
        <f>'包租 '!#REF!</f>
        <v>#REF!</v>
      </c>
      <c r="O5" s="22" t="e">
        <f t="shared" si="2"/>
        <v>#REF!</v>
      </c>
      <c r="P5" s="804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</row>
    <row r="6" spans="1:77" s="1" customFormat="1">
      <c r="A6" s="801"/>
      <c r="B6" s="18"/>
      <c r="C6" s="19" t="e">
        <f>'代租 '!#REF!</f>
        <v>#REF!</v>
      </c>
      <c r="D6" s="19" t="e">
        <f>'代租 '!#REF!</f>
        <v>#REF!</v>
      </c>
      <c r="E6" s="19" t="e">
        <f>'代租 '!#REF!</f>
        <v>#REF!</v>
      </c>
      <c r="F6" s="19" t="e">
        <f>'代租 '!#REF!</f>
        <v>#REF!</v>
      </c>
      <c r="G6" s="19" t="e">
        <f>'代租 '!#REF!</f>
        <v>#REF!</v>
      </c>
      <c r="H6" s="20" t="e">
        <f t="shared" si="0"/>
        <v>#REF!</v>
      </c>
      <c r="I6" s="21" t="e">
        <f>SUM('包租 '!#REF!)</f>
        <v>#REF!</v>
      </c>
      <c r="J6" s="19" t="e">
        <f>SUM('包租 '!#REF!)</f>
        <v>#REF!</v>
      </c>
      <c r="K6" s="19" t="e">
        <f>SUM('包租 '!#REF!)</f>
        <v>#REF!</v>
      </c>
      <c r="L6" s="19" t="e">
        <f>SUM('包租 '!#REF!)</f>
        <v>#REF!</v>
      </c>
      <c r="M6" s="19" t="e">
        <f>SUM('包租 '!#REF!)</f>
        <v>#REF!</v>
      </c>
      <c r="N6" s="19" t="e">
        <f>SUM('包租 '!#REF!)</f>
        <v>#REF!</v>
      </c>
      <c r="O6" s="22" t="e">
        <f t="shared" si="2"/>
        <v>#REF!</v>
      </c>
      <c r="P6" s="80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</row>
    <row r="7" spans="1:77">
      <c r="A7" s="801"/>
      <c r="B7" s="18"/>
      <c r="C7" s="19" t="e">
        <f>SUM('代租 '!#REF!)</f>
        <v>#REF!</v>
      </c>
      <c r="D7" s="19" t="e">
        <f>'代租 '!#REF!</f>
        <v>#REF!</v>
      </c>
      <c r="E7" s="19" t="e">
        <f>'代租 '!#REF!</f>
        <v>#REF!</v>
      </c>
      <c r="F7" s="19" t="e">
        <f>'代租 '!#REF!</f>
        <v>#REF!</v>
      </c>
      <c r="G7" s="19" t="e">
        <f>'代租 '!#REF!</f>
        <v>#REF!</v>
      </c>
      <c r="H7" s="20" t="e">
        <f t="shared" si="0"/>
        <v>#REF!</v>
      </c>
      <c r="I7" s="19" t="e">
        <f>'包租 '!#REF!</f>
        <v>#REF!</v>
      </c>
      <c r="J7" s="19" t="e">
        <f>'包租 '!#REF!</f>
        <v>#REF!</v>
      </c>
      <c r="K7" s="19" t="e">
        <f>'包租 '!#REF!</f>
        <v>#REF!</v>
      </c>
      <c r="L7" s="19" t="e">
        <f>'包租 '!#REF!</f>
        <v>#REF!</v>
      </c>
      <c r="M7" s="19" t="e">
        <f>'包租 '!#REF!</f>
        <v>#REF!</v>
      </c>
      <c r="N7" s="19" t="e">
        <f>'包租 '!#REF!</f>
        <v>#REF!</v>
      </c>
      <c r="O7" s="22" t="e">
        <f t="shared" si="2"/>
        <v>#REF!</v>
      </c>
      <c r="P7" s="804"/>
    </row>
    <row r="8" spans="1:77" ht="16.8" thickBot="1">
      <c r="A8" s="802"/>
      <c r="B8" s="23"/>
      <c r="C8" s="24">
        <f>'代租 '!Q255</f>
        <v>808000</v>
      </c>
      <c r="D8" s="24">
        <f>'代租 '!S256</f>
        <v>2503200</v>
      </c>
      <c r="E8" s="24">
        <f>'代租 '!CZ256</f>
        <v>468860</v>
      </c>
      <c r="F8" s="24">
        <f>'代租 '!EU256</f>
        <v>87750</v>
      </c>
      <c r="G8" s="24">
        <f>'代租 '!FA256</f>
        <v>0</v>
      </c>
      <c r="H8" s="25">
        <f t="shared" si="0"/>
        <v>3867810</v>
      </c>
      <c r="I8" s="24">
        <f>'包租 '!S49</f>
        <v>36000</v>
      </c>
      <c r="J8" s="24">
        <f>'包租 '!AA50</f>
        <v>96000</v>
      </c>
      <c r="K8" s="24">
        <f>'包租 '!DB50</f>
        <v>10000</v>
      </c>
      <c r="L8" s="24">
        <f>'包租 '!DK49</f>
        <v>2766</v>
      </c>
      <c r="M8" s="24">
        <f>'包租 '!FD50</f>
        <v>6500</v>
      </c>
      <c r="N8" s="24">
        <f>'包租 '!FJ50</f>
        <v>0</v>
      </c>
      <c r="O8" s="26">
        <f t="shared" si="2"/>
        <v>151266</v>
      </c>
      <c r="P8" s="805"/>
    </row>
    <row r="9" spans="1:77" ht="16.8" thickTop="1"/>
  </sheetData>
  <mergeCells count="7">
    <mergeCell ref="A3:A8"/>
    <mergeCell ref="P3:P8"/>
    <mergeCell ref="A1:A2"/>
    <mergeCell ref="B1:B2"/>
    <mergeCell ref="C1:H1"/>
    <mergeCell ref="I1:O1"/>
    <mergeCell ref="P1:P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EFA9-51C1-4065-A293-B28737659551}">
  <sheetPr codeName="工作表2">
    <pageSetUpPr fitToPage="1"/>
  </sheetPr>
  <dimension ref="A1:L10"/>
  <sheetViews>
    <sheetView zoomScaleNormal="100" workbookViewId="0">
      <selection activeCell="A4" sqref="A4"/>
    </sheetView>
  </sheetViews>
  <sheetFormatPr defaultColWidth="8.88671875" defaultRowHeight="16.2"/>
  <cols>
    <col min="1" max="1" width="11.77734375" customWidth="1"/>
    <col min="2" max="2" width="10.88671875" bestFit="1" customWidth="1"/>
    <col min="3" max="3" width="10.109375" bestFit="1" customWidth="1"/>
    <col min="4" max="4" width="10.77734375" customWidth="1"/>
    <col min="5" max="5" width="12.88671875" customWidth="1"/>
    <col min="6" max="6" width="13.44140625" customWidth="1"/>
    <col min="7" max="7" width="9" bestFit="1" customWidth="1"/>
    <col min="8" max="10" width="12.44140625" bestFit="1" customWidth="1"/>
    <col min="11" max="11" width="11.44140625" customWidth="1"/>
    <col min="12" max="12" width="16.44140625" customWidth="1"/>
  </cols>
  <sheetData>
    <row r="1" spans="1:12" ht="17.399999999999999">
      <c r="A1" s="821" t="s">
        <v>124</v>
      </c>
      <c r="B1" s="821" t="s">
        <v>123</v>
      </c>
      <c r="C1" s="821"/>
      <c r="D1" s="821"/>
      <c r="E1" s="821" t="s">
        <v>122</v>
      </c>
      <c r="F1" s="821"/>
      <c r="G1" s="821" t="s">
        <v>121</v>
      </c>
      <c r="H1" s="821"/>
      <c r="I1" s="821"/>
      <c r="J1" s="821"/>
      <c r="K1" s="821"/>
      <c r="L1" s="822" t="s">
        <v>120</v>
      </c>
    </row>
    <row r="2" spans="1:12" ht="34.799999999999997">
      <c r="A2" s="821"/>
      <c r="B2" s="3" t="s">
        <v>119</v>
      </c>
      <c r="C2" s="3" t="s">
        <v>4</v>
      </c>
      <c r="D2" s="3" t="s">
        <v>15</v>
      </c>
      <c r="E2" s="3" t="s">
        <v>4</v>
      </c>
      <c r="F2" s="3" t="s">
        <v>118</v>
      </c>
      <c r="G2" s="3" t="s">
        <v>4</v>
      </c>
      <c r="H2" s="3" t="s">
        <v>117</v>
      </c>
      <c r="I2" s="3" t="s">
        <v>116</v>
      </c>
      <c r="J2" s="3" t="s">
        <v>115</v>
      </c>
      <c r="K2" s="3" t="s">
        <v>114</v>
      </c>
      <c r="L2" s="822"/>
    </row>
    <row r="3" spans="1:12" ht="17.399999999999999">
      <c r="A3" s="3" t="s">
        <v>204</v>
      </c>
      <c r="B3" s="4"/>
      <c r="C3" s="4"/>
      <c r="D3" s="4" t="e">
        <f>SUM('包租 '!#REF!)</f>
        <v>#REF!</v>
      </c>
      <c r="E3" s="27" t="e">
        <f>SUM('包租 '!#REF!)</f>
        <v>#REF!</v>
      </c>
      <c r="F3" s="27"/>
      <c r="G3" s="27"/>
      <c r="H3" s="27" t="e">
        <f>SUM('包租 '!#REF!)</f>
        <v>#REF!</v>
      </c>
      <c r="I3" s="27" t="e">
        <f>SUM('包租 '!#REF!)</f>
        <v>#REF!</v>
      </c>
      <c r="J3" s="27" t="e">
        <f>SUM('代租 '!#REF!)</f>
        <v>#REF!</v>
      </c>
      <c r="K3" s="27" t="e">
        <f>SUM('代租 '!#REF!)</f>
        <v>#REF!</v>
      </c>
      <c r="L3" s="5" t="e">
        <f>SUM(H3:K3)</f>
        <v>#REF!</v>
      </c>
    </row>
    <row r="4" spans="1:12" ht="17.399999999999999">
      <c r="A4" s="3"/>
      <c r="B4" s="4"/>
      <c r="C4" s="4"/>
      <c r="D4" s="4"/>
      <c r="E4" s="27"/>
      <c r="F4" s="27"/>
      <c r="G4" s="27"/>
      <c r="H4" s="27"/>
      <c r="I4" s="27"/>
      <c r="J4" s="27"/>
      <c r="K4" s="27"/>
      <c r="L4" s="5">
        <f>SUM(H4:K4)</f>
        <v>0</v>
      </c>
    </row>
    <row r="5" spans="1:12" ht="17.399999999999999">
      <c r="A5" s="3"/>
      <c r="B5" s="4"/>
      <c r="C5" s="4"/>
      <c r="D5" s="4"/>
      <c r="E5" s="28"/>
      <c r="F5" s="27"/>
      <c r="G5" s="27"/>
      <c r="H5" s="27"/>
      <c r="I5" s="27"/>
      <c r="J5" s="27"/>
      <c r="K5" s="27"/>
      <c r="L5" s="5">
        <f>SUM(H5:K5)</f>
        <v>0</v>
      </c>
    </row>
    <row r="6" spans="1:12" ht="17.399999999999999">
      <c r="A6" s="3"/>
      <c r="B6" s="4"/>
      <c r="C6" s="4"/>
      <c r="D6" s="4"/>
      <c r="E6" s="27" t="e">
        <f>SUM('包租 '!#REF!)</f>
        <v>#REF!</v>
      </c>
      <c r="F6" s="27" t="e">
        <f>SUM('包租 '!#REF!)</f>
        <v>#REF!</v>
      </c>
      <c r="G6" s="27"/>
      <c r="H6" s="27" t="e">
        <f>SUM('包租 '!#REF!)</f>
        <v>#REF!</v>
      </c>
      <c r="I6" s="27" t="e">
        <f>SUM('包租 '!#REF!)</f>
        <v>#REF!</v>
      </c>
      <c r="J6" s="27" t="e">
        <f>SUM('代租 '!#REF!)</f>
        <v>#REF!</v>
      </c>
      <c r="K6" s="27" t="e">
        <f>SUM('代租 '!#REF!)</f>
        <v>#REF!</v>
      </c>
      <c r="L6" s="5" t="e">
        <f>SUM(H6:K6)</f>
        <v>#REF!</v>
      </c>
    </row>
    <row r="7" spans="1:12" ht="17.399999999999999">
      <c r="A7" s="3"/>
      <c r="B7" s="4"/>
      <c r="C7" s="4"/>
      <c r="D7" s="4"/>
      <c r="E7" s="27" t="e">
        <f>SUM('包租 '!#REF!)</f>
        <v>#REF!</v>
      </c>
      <c r="F7" s="27" t="e">
        <f>'包租 '!#REF!</f>
        <v>#REF!</v>
      </c>
      <c r="G7" s="27"/>
      <c r="H7" s="27" t="e">
        <f>SUM('包租 '!#REF!)</f>
        <v>#REF!</v>
      </c>
      <c r="I7" s="27" t="e">
        <f>'包租 '!#REF!</f>
        <v>#REF!</v>
      </c>
      <c r="J7" s="27" t="e">
        <f>'代租 '!#REF!</f>
        <v>#REF!</v>
      </c>
      <c r="K7" s="27" t="e">
        <f>'代租 '!#REF!</f>
        <v>#REF!</v>
      </c>
      <c r="L7" s="5" t="e">
        <f t="shared" ref="L7:L8" si="0">SUM(H7:K7)</f>
        <v>#REF!</v>
      </c>
    </row>
    <row r="8" spans="1:12" ht="17.399999999999999">
      <c r="A8" s="3"/>
      <c r="B8" s="4"/>
      <c r="C8" s="4"/>
      <c r="D8" s="4"/>
      <c r="E8" s="27" t="e">
        <f>'包租 '!FD52</f>
        <v>#REF!</v>
      </c>
      <c r="F8" s="27">
        <f>'包租 '!FJ52</f>
        <v>0</v>
      </c>
      <c r="G8" s="27"/>
      <c r="H8" s="27" t="e">
        <f>'包租 '!S51</f>
        <v>#REF!</v>
      </c>
      <c r="I8" s="27" t="e">
        <f>'包租 '!AA51</f>
        <v>#REF!</v>
      </c>
      <c r="J8" s="27">
        <f>'代租 '!Q257</f>
        <v>8000</v>
      </c>
      <c r="K8" s="27">
        <f>'代租 '!S257</f>
        <v>4800</v>
      </c>
      <c r="L8" s="5" t="e">
        <f t="shared" si="0"/>
        <v>#REF!</v>
      </c>
    </row>
    <row r="9" spans="1:12" s="2" customFormat="1" ht="17.399999999999999">
      <c r="A9" s="7" t="s">
        <v>77</v>
      </c>
      <c r="B9" s="8">
        <f t="shared" ref="B9:L9" si="1">SUM(B3:B8)</f>
        <v>0</v>
      </c>
      <c r="C9" s="9">
        <f t="shared" si="1"/>
        <v>0</v>
      </c>
      <c r="D9" s="8" t="e">
        <f t="shared" si="1"/>
        <v>#REF!</v>
      </c>
      <c r="E9" s="9" t="e">
        <f t="shared" si="1"/>
        <v>#REF!</v>
      </c>
      <c r="F9" s="8" t="e">
        <f t="shared" si="1"/>
        <v>#REF!</v>
      </c>
      <c r="G9" s="8">
        <f t="shared" si="1"/>
        <v>0</v>
      </c>
      <c r="H9" s="8" t="e">
        <f t="shared" si="1"/>
        <v>#REF!</v>
      </c>
      <c r="I9" s="8" t="e">
        <f t="shared" si="1"/>
        <v>#REF!</v>
      </c>
      <c r="J9" s="8" t="e">
        <f t="shared" si="1"/>
        <v>#REF!</v>
      </c>
      <c r="K9" s="8" t="e">
        <f t="shared" si="1"/>
        <v>#REF!</v>
      </c>
      <c r="L9" s="5" t="e">
        <f t="shared" si="1"/>
        <v>#REF!</v>
      </c>
    </row>
    <row r="10" spans="1:12" ht="19.8">
      <c r="A10" s="10"/>
      <c r="B10" s="10"/>
      <c r="C10" s="818" t="s">
        <v>113</v>
      </c>
      <c r="D10" s="818"/>
      <c r="E10" s="9" t="e">
        <f>C9+E9</f>
        <v>#REF!</v>
      </c>
      <c r="F10" s="10"/>
      <c r="G10" s="10"/>
      <c r="H10" s="10"/>
      <c r="I10" s="10"/>
      <c r="J10" s="819" t="s">
        <v>112</v>
      </c>
      <c r="K10" s="820"/>
      <c r="L10" s="8" t="e">
        <f>SUM(B9:K9)</f>
        <v>#REF!</v>
      </c>
    </row>
  </sheetData>
  <mergeCells count="7">
    <mergeCell ref="C10:D10"/>
    <mergeCell ref="J10:K10"/>
    <mergeCell ref="A1:A2"/>
    <mergeCell ref="L1:L2"/>
    <mergeCell ref="B1:D1"/>
    <mergeCell ref="E1:F1"/>
    <mergeCell ref="G1:K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horizontalDpi="300" verticalDpi="300" r:id="rId1"/>
  <headerFooter>
    <oddHeader>&amp;L&amp;"標楷體,標準"&amp;14附件3&amp;C&amp;"標楷體,標準"&amp;20核撥第四期台南公會所轄業者相關款項及金額一覽表 &amp;R&amp;"標楷體,標準"&amp;14單位：新臺幣／元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autoPageBreaks="0"/>
  </sheetPr>
  <dimension ref="A1:JP271"/>
  <sheetViews>
    <sheetView tabSelected="1" zoomScale="115" zoomScaleNormal="115" workbookViewId="0">
      <pane xSplit="4" ySplit="4" topLeftCell="E73" activePane="bottomRight" state="frozen"/>
      <selection pane="topRight" activeCell="E1" sqref="E1"/>
      <selection pane="bottomLeft" activeCell="A5" sqref="A5"/>
      <selection pane="bottomRight" activeCell="F75" sqref="F75"/>
    </sheetView>
  </sheetViews>
  <sheetFormatPr defaultColWidth="8.88671875" defaultRowHeight="16.2"/>
  <cols>
    <col min="1" max="1" width="4.44140625" style="722" customWidth="1"/>
    <col min="2" max="2" width="13" style="273" customWidth="1"/>
    <col min="3" max="3" width="13" style="311" customWidth="1"/>
    <col min="4" max="4" width="24.44140625" style="274" bestFit="1" customWidth="1"/>
    <col min="5" max="5" width="16" style="275" customWidth="1"/>
    <col min="6" max="6" width="17.44140625" style="276" customWidth="1"/>
    <col min="7" max="7" width="58.21875" style="205" customWidth="1"/>
    <col min="8" max="8" width="8.109375" style="206" customWidth="1"/>
    <col min="9" max="9" width="15.44140625" style="206" customWidth="1"/>
    <col min="10" max="10" width="53" style="206" bestFit="1" customWidth="1"/>
    <col min="11" max="11" width="13.44140625" style="206" customWidth="1"/>
    <col min="12" max="12" width="11.77734375" style="207" customWidth="1"/>
    <col min="13" max="13" width="12.44140625" style="206" customWidth="1"/>
    <col min="14" max="15" width="13.77734375" style="208" customWidth="1"/>
    <col min="16" max="16" width="11.44140625" style="277" customWidth="1"/>
    <col min="17" max="17" width="14.44140625" style="214" customWidth="1"/>
    <col min="18" max="18" width="15.44140625" style="211" customWidth="1"/>
    <col min="19" max="19" width="12.109375" style="214" customWidth="1"/>
    <col min="20" max="20" width="14.21875" style="215" customWidth="1"/>
    <col min="21" max="21" width="13.109375" style="214" customWidth="1"/>
    <col min="22" max="22" width="14.21875" style="215" customWidth="1"/>
    <col min="23" max="23" width="11.44140625" style="214" customWidth="1"/>
    <col min="24" max="24" width="12.88671875" style="215" customWidth="1"/>
    <col min="25" max="25" width="10.44140625" style="214" customWidth="1"/>
    <col min="26" max="26" width="13" style="215" customWidth="1"/>
    <col min="27" max="27" width="10.21875" style="214" customWidth="1"/>
    <col min="28" max="28" width="12.88671875" style="215" customWidth="1"/>
    <col min="29" max="29" width="10.77734375" style="214" customWidth="1"/>
    <col min="30" max="30" width="13.109375" style="215" customWidth="1"/>
    <col min="31" max="31" width="11" style="214" customWidth="1"/>
    <col min="32" max="32" width="12.77734375" style="215" customWidth="1"/>
    <col min="33" max="33" width="11.109375" style="214" customWidth="1"/>
    <col min="34" max="34" width="13.44140625" style="215" customWidth="1"/>
    <col min="35" max="35" width="9.44140625" style="214" customWidth="1"/>
    <col min="36" max="36" width="14.44140625" style="215" customWidth="1"/>
    <col min="37" max="37" width="10.77734375" style="214" bestFit="1" customWidth="1"/>
    <col min="38" max="38" width="14.44140625" style="215" customWidth="1"/>
    <col min="39" max="39" width="10.6640625" style="214" bestFit="1" customWidth="1"/>
    <col min="40" max="40" width="12.77734375" style="215" customWidth="1"/>
    <col min="41" max="41" width="10.44140625" style="214" bestFit="1" customWidth="1"/>
    <col min="42" max="42" width="13.88671875" style="215" customWidth="1"/>
    <col min="43" max="43" width="11.88671875" style="278" hidden="1" customWidth="1"/>
    <col min="44" max="44" width="11.88671875" style="279" hidden="1" customWidth="1"/>
    <col min="45" max="45" width="11.88671875" style="280" hidden="1" customWidth="1"/>
    <col min="46" max="65" width="11.88671875" style="279" hidden="1" customWidth="1"/>
    <col min="66" max="66" width="11.88671875" style="281" hidden="1" customWidth="1"/>
    <col min="67" max="67" width="11.88671875" style="278" hidden="1" customWidth="1"/>
    <col min="68" max="89" width="11.88671875" style="279" hidden="1" customWidth="1"/>
    <col min="90" max="90" width="1.5546875" style="282" hidden="1" customWidth="1"/>
    <col min="91" max="91" width="12.44140625" style="283" customWidth="1"/>
    <col min="92" max="92" width="14" style="284" customWidth="1"/>
    <col min="93" max="93" width="13.44140625" style="305" customWidth="1"/>
    <col min="94" max="94" width="18.21875" style="285" customWidth="1"/>
    <col min="95" max="95" width="49.44140625" style="227" bestFit="1" customWidth="1"/>
    <col min="96" max="96" width="19.77734375" style="228" customWidth="1"/>
    <col min="97" max="97" width="16.44140625" style="229" customWidth="1"/>
    <col min="98" max="98" width="11.44140625" style="230" customWidth="1"/>
    <col min="99" max="99" width="12.21875" style="231" customWidth="1"/>
    <col min="100" max="100" width="12.21875" style="232" hidden="1" customWidth="1"/>
    <col min="101" max="102" width="12.21875" style="233" hidden="1" customWidth="1"/>
    <col min="103" max="103" width="12.21875" style="234" hidden="1" customWidth="1"/>
    <col min="104" max="104" width="12" style="306" customWidth="1"/>
    <col min="105" max="105" width="13.77734375" style="236" customWidth="1"/>
    <col min="106" max="106" width="13.77734375" style="237" customWidth="1"/>
    <col min="107" max="107" width="13.77734375" style="239" customWidth="1"/>
    <col min="108" max="108" width="11" style="237" customWidth="1"/>
    <col min="109" max="109" width="12.77734375" style="239" customWidth="1"/>
    <col min="110" max="110" width="9.109375" style="237" customWidth="1"/>
    <col min="111" max="111" width="12.88671875" style="239" customWidth="1"/>
    <col min="112" max="112" width="15.88671875" style="235" bestFit="1" customWidth="1"/>
    <col min="113" max="113" width="9.109375" style="230" hidden="1" customWidth="1"/>
    <col min="114" max="120" width="9.109375" style="237" hidden="1" customWidth="1"/>
    <col min="121" max="121" width="9.109375" style="307" hidden="1" customWidth="1"/>
    <col min="122" max="122" width="9.109375" style="230" hidden="1" customWidth="1"/>
    <col min="123" max="129" width="9.109375" style="237" hidden="1" customWidth="1"/>
    <col min="130" max="130" width="9.109375" style="308" hidden="1" customWidth="1"/>
    <col min="131" max="131" width="10.44140625" style="296" customWidth="1"/>
    <col min="132" max="132" width="13.88671875" style="248" customWidth="1"/>
    <col min="133" max="133" width="9.88671875" style="248" bestFit="1" customWidth="1"/>
    <col min="134" max="134" width="18.21875" style="248" bestFit="1" customWidth="1"/>
    <col min="135" max="135" width="8.88671875" style="272" customWidth="1"/>
    <col min="136" max="136" width="13.44140625" style="272" customWidth="1"/>
    <col min="137" max="137" width="10.44140625" style="272" customWidth="1"/>
    <col min="138" max="138" width="8.21875" style="272" customWidth="1"/>
    <col min="139" max="139" width="13.109375" style="248" bestFit="1" customWidth="1"/>
    <col min="140" max="140" width="9.88671875" style="248" customWidth="1"/>
    <col min="141" max="141" width="9" style="248" customWidth="1"/>
    <col min="142" max="142" width="13.109375" style="248" customWidth="1"/>
    <col min="143" max="143" width="9.77734375" style="297" customWidth="1"/>
    <col min="144" max="144" width="10.44140625" style="298" customWidth="1"/>
    <col min="145" max="145" width="13.109375" style="272" customWidth="1"/>
    <col min="146" max="146" width="12.109375" style="272" customWidth="1"/>
    <col min="147" max="147" width="16.44140625" style="248" customWidth="1"/>
    <col min="148" max="149" width="16.44140625" style="272" customWidth="1"/>
    <col min="150" max="150" width="16.44140625" style="248" customWidth="1"/>
    <col min="151" max="151" width="11.21875" style="299" customWidth="1"/>
    <col min="152" max="152" width="13.44140625" style="261" customWidth="1"/>
    <col min="153" max="155" width="11.21875" style="261" customWidth="1"/>
    <col min="156" max="156" width="11.21875" style="309" customWidth="1"/>
    <col min="157" max="157" width="13.44140625" style="310" customWidth="1"/>
    <col min="158" max="158" width="13.44140625" style="261" customWidth="1"/>
    <col min="159" max="159" width="12.88671875" style="260" customWidth="1"/>
    <col min="160" max="160" width="12.88671875" style="261" customWidth="1"/>
    <col min="161" max="161" width="12.109375" style="260" customWidth="1"/>
    <col min="162" max="162" width="12.109375" style="261" customWidth="1"/>
    <col min="163" max="163" width="11.88671875" style="260" customWidth="1"/>
    <col min="164" max="164" width="11.88671875" style="261" customWidth="1"/>
    <col min="165" max="165" width="12.44140625" style="260" customWidth="1"/>
    <col min="166" max="166" width="12.44140625" style="261" customWidth="1"/>
    <col min="167" max="167" width="12.21875" style="260" customWidth="1"/>
    <col min="168" max="168" width="12.21875" style="261" customWidth="1"/>
    <col min="169" max="169" width="11.21875" style="260" customWidth="1"/>
    <col min="170" max="170" width="12.109375" style="261" customWidth="1"/>
    <col min="171" max="171" width="11.21875" style="260" customWidth="1"/>
    <col min="172" max="172" width="12.44140625" style="261" customWidth="1"/>
    <col min="173" max="173" width="10.88671875" style="260" customWidth="1"/>
    <col min="174" max="174" width="11.44140625" style="261" customWidth="1"/>
    <col min="175" max="175" width="11.44140625" style="260" customWidth="1"/>
    <col min="176" max="176" width="13.44140625" style="261" customWidth="1"/>
    <col min="177" max="177" width="11.77734375" style="260" customWidth="1"/>
    <col min="178" max="178" width="11.77734375" style="261" customWidth="1"/>
    <col min="179" max="179" width="12.44140625" style="260" customWidth="1"/>
    <col min="180" max="180" width="12.44140625" style="309" customWidth="1"/>
    <col min="181" max="181" width="12.44140625" style="267" customWidth="1"/>
    <col min="182" max="203" width="12.44140625" style="256" customWidth="1"/>
    <col min="204" max="204" width="12.44140625" style="257" customWidth="1"/>
    <col min="205" max="205" width="12.44140625" style="267" customWidth="1"/>
    <col min="206" max="227" width="12.44140625" style="256" customWidth="1"/>
    <col min="228" max="228" width="12.44140625" style="268" customWidth="1"/>
    <col min="229" max="16384" width="8.88671875" style="416"/>
  </cols>
  <sheetData>
    <row r="1" spans="1:276" s="588" customFormat="1" ht="16.95" customHeight="1" thickTop="1">
      <c r="A1" s="943" t="s">
        <v>6</v>
      </c>
      <c r="B1" s="946" t="s">
        <v>0</v>
      </c>
      <c r="C1" s="29"/>
      <c r="D1" s="823"/>
      <c r="E1" s="824"/>
      <c r="F1" s="825"/>
      <c r="G1" s="881" t="s">
        <v>76</v>
      </c>
      <c r="H1" s="882"/>
      <c r="I1" s="882"/>
      <c r="J1" s="882"/>
      <c r="K1" s="882"/>
      <c r="L1" s="882"/>
      <c r="M1" s="882"/>
      <c r="N1" s="882"/>
      <c r="O1" s="882"/>
      <c r="P1" s="883"/>
      <c r="Q1" s="940" t="s">
        <v>0</v>
      </c>
      <c r="R1" s="941"/>
      <c r="S1" s="941"/>
      <c r="T1" s="941"/>
      <c r="U1" s="941"/>
      <c r="V1" s="942"/>
      <c r="W1" s="941"/>
      <c r="X1" s="942"/>
      <c r="Y1" s="941"/>
      <c r="Z1" s="942"/>
      <c r="AA1" s="941"/>
      <c r="AB1" s="942"/>
      <c r="AC1" s="941"/>
      <c r="AD1" s="942"/>
      <c r="AE1" s="941"/>
      <c r="AF1" s="942"/>
      <c r="AG1" s="941"/>
      <c r="AH1" s="942"/>
      <c r="AI1" s="941"/>
      <c r="AJ1" s="942"/>
      <c r="AK1" s="941"/>
      <c r="AL1" s="942"/>
      <c r="AM1" s="941"/>
      <c r="AN1" s="942"/>
      <c r="AO1" s="941"/>
      <c r="AP1" s="942"/>
      <c r="AQ1" s="941"/>
      <c r="AR1" s="941"/>
      <c r="AS1" s="941"/>
      <c r="AT1" s="941"/>
      <c r="AU1" s="941"/>
      <c r="AV1" s="941"/>
      <c r="AW1" s="941"/>
      <c r="AX1" s="941"/>
      <c r="AY1" s="941"/>
      <c r="AZ1" s="941"/>
      <c r="BA1" s="941"/>
      <c r="BB1" s="941"/>
      <c r="BC1" s="941"/>
      <c r="BD1" s="941"/>
      <c r="BE1" s="941"/>
      <c r="BF1" s="941"/>
      <c r="BG1" s="941"/>
      <c r="BH1" s="941"/>
      <c r="BI1" s="941"/>
      <c r="BJ1" s="941"/>
      <c r="BK1" s="941"/>
      <c r="BL1" s="941"/>
      <c r="BM1" s="941"/>
      <c r="BN1" s="941"/>
      <c r="BO1" s="941"/>
      <c r="BP1" s="941"/>
      <c r="BQ1" s="941"/>
      <c r="BR1" s="941"/>
      <c r="BS1" s="941"/>
      <c r="BT1" s="941"/>
      <c r="BU1" s="941"/>
      <c r="BV1" s="941"/>
      <c r="BW1" s="941"/>
      <c r="BX1" s="941"/>
      <c r="BY1" s="941"/>
      <c r="BZ1" s="941"/>
      <c r="CA1" s="941"/>
      <c r="CB1" s="941"/>
      <c r="CC1" s="941"/>
      <c r="CD1" s="941"/>
      <c r="CE1" s="941"/>
      <c r="CF1" s="941"/>
      <c r="CG1" s="941"/>
      <c r="CH1" s="941"/>
      <c r="CI1" s="941"/>
      <c r="CJ1" s="941"/>
      <c r="CK1" s="941"/>
      <c r="CL1" s="942"/>
      <c r="CM1" s="949" t="s">
        <v>2</v>
      </c>
      <c r="CN1" s="949"/>
      <c r="CO1" s="949"/>
      <c r="CP1" s="949"/>
      <c r="CQ1" s="949"/>
      <c r="CR1" s="949"/>
      <c r="CS1" s="949"/>
      <c r="CT1" s="950"/>
      <c r="CU1" s="951"/>
      <c r="CV1" s="951"/>
      <c r="CW1" s="951"/>
      <c r="CX1" s="951"/>
      <c r="CY1" s="951"/>
      <c r="CZ1" s="950"/>
      <c r="DA1" s="950"/>
      <c r="DB1" s="950"/>
      <c r="DC1" s="950"/>
      <c r="DD1" s="950"/>
      <c r="DE1" s="950"/>
      <c r="DF1" s="950"/>
      <c r="DG1" s="950"/>
      <c r="DH1" s="950"/>
      <c r="DI1" s="950"/>
      <c r="DJ1" s="950"/>
      <c r="DK1" s="950"/>
      <c r="DL1" s="950"/>
      <c r="DM1" s="950"/>
      <c r="DN1" s="950"/>
      <c r="DO1" s="950"/>
      <c r="DP1" s="950"/>
      <c r="DQ1" s="950"/>
      <c r="DR1" s="950"/>
      <c r="DS1" s="950"/>
      <c r="DT1" s="950"/>
      <c r="DU1" s="950"/>
      <c r="DV1" s="950"/>
      <c r="DW1" s="950"/>
      <c r="DX1" s="950"/>
      <c r="DY1" s="950"/>
      <c r="DZ1" s="950"/>
      <c r="EA1" s="832" t="s">
        <v>3</v>
      </c>
      <c r="EB1" s="833"/>
      <c r="EC1" s="833"/>
      <c r="ED1" s="833"/>
      <c r="EE1" s="833"/>
      <c r="EF1" s="833"/>
      <c r="EG1" s="833"/>
      <c r="EH1" s="833"/>
      <c r="EI1" s="833"/>
      <c r="EJ1" s="833"/>
      <c r="EK1" s="833"/>
      <c r="EL1" s="833"/>
      <c r="EM1" s="833"/>
      <c r="EN1" s="833"/>
      <c r="EO1" s="833"/>
      <c r="EP1" s="833"/>
      <c r="EQ1" s="833"/>
      <c r="ER1" s="833"/>
      <c r="ES1" s="833"/>
      <c r="ET1" s="833"/>
      <c r="EU1" s="833"/>
      <c r="EV1" s="833"/>
      <c r="EW1" s="833"/>
      <c r="EX1" s="833"/>
      <c r="EY1" s="833"/>
      <c r="EZ1" s="833"/>
      <c r="FA1" s="833"/>
      <c r="FB1" s="833"/>
      <c r="FC1" s="833"/>
      <c r="FD1" s="833"/>
      <c r="FE1" s="833"/>
      <c r="FF1" s="833"/>
      <c r="FG1" s="833"/>
      <c r="FH1" s="833"/>
      <c r="FI1" s="833"/>
      <c r="FJ1" s="833"/>
      <c r="FK1" s="833"/>
      <c r="FL1" s="833"/>
      <c r="FM1" s="833"/>
      <c r="FN1" s="833"/>
      <c r="FO1" s="833"/>
      <c r="FP1" s="833"/>
      <c r="FQ1" s="833"/>
      <c r="FR1" s="833"/>
      <c r="FS1" s="833"/>
      <c r="FT1" s="833"/>
      <c r="FU1" s="833"/>
      <c r="FV1" s="833"/>
      <c r="FW1" s="833"/>
      <c r="FX1" s="833"/>
      <c r="FY1" s="833"/>
      <c r="FZ1" s="833"/>
      <c r="GA1" s="833"/>
      <c r="GB1" s="833"/>
      <c r="GC1" s="833"/>
      <c r="GD1" s="833"/>
      <c r="GE1" s="833"/>
      <c r="GF1" s="833"/>
      <c r="GG1" s="833"/>
      <c r="GH1" s="833"/>
      <c r="GI1" s="833"/>
      <c r="GJ1" s="833"/>
      <c r="GK1" s="833"/>
      <c r="GL1" s="833"/>
      <c r="GM1" s="833"/>
      <c r="GN1" s="833"/>
      <c r="GO1" s="833"/>
      <c r="GP1" s="833"/>
      <c r="GQ1" s="833"/>
      <c r="GR1" s="833"/>
      <c r="GS1" s="833"/>
      <c r="GT1" s="833"/>
      <c r="GU1" s="833"/>
      <c r="GV1" s="833"/>
      <c r="GW1" s="833"/>
      <c r="GX1" s="833"/>
      <c r="GY1" s="833"/>
      <c r="GZ1" s="833"/>
      <c r="HA1" s="833"/>
      <c r="HB1" s="833"/>
      <c r="HC1" s="833"/>
      <c r="HD1" s="833"/>
      <c r="HE1" s="833"/>
      <c r="HF1" s="833"/>
      <c r="HG1" s="833"/>
      <c r="HH1" s="833"/>
      <c r="HI1" s="833"/>
      <c r="HJ1" s="833"/>
      <c r="HK1" s="833"/>
      <c r="HL1" s="833"/>
      <c r="HM1" s="833"/>
      <c r="HN1" s="833"/>
      <c r="HO1" s="833"/>
      <c r="HP1" s="833"/>
      <c r="HQ1" s="833"/>
      <c r="HR1" s="833"/>
      <c r="HS1" s="833"/>
      <c r="HT1" s="834"/>
    </row>
    <row r="2" spans="1:276" s="588" customFormat="1" ht="16.95" customHeight="1">
      <c r="A2" s="944"/>
      <c r="B2" s="947"/>
      <c r="C2" s="30"/>
      <c r="D2" s="952" t="s">
        <v>1</v>
      </c>
      <c r="E2" s="826" t="s">
        <v>203</v>
      </c>
      <c r="F2" s="829" t="s">
        <v>152</v>
      </c>
      <c r="G2" s="915" t="s">
        <v>67</v>
      </c>
      <c r="H2" s="915" t="s">
        <v>68</v>
      </c>
      <c r="I2" s="915" t="s">
        <v>69</v>
      </c>
      <c r="J2" s="915" t="s">
        <v>140</v>
      </c>
      <c r="K2" s="915" t="s">
        <v>139</v>
      </c>
      <c r="L2" s="967" t="s">
        <v>70</v>
      </c>
      <c r="M2" s="915" t="s">
        <v>71</v>
      </c>
      <c r="N2" s="955" t="s">
        <v>111</v>
      </c>
      <c r="O2" s="955" t="s">
        <v>126</v>
      </c>
      <c r="P2" s="956" t="s">
        <v>8</v>
      </c>
      <c r="Q2" s="961" t="s">
        <v>11</v>
      </c>
      <c r="R2" s="909"/>
      <c r="S2" s="962" t="s">
        <v>88</v>
      </c>
      <c r="T2" s="962"/>
      <c r="U2" s="962"/>
      <c r="V2" s="962"/>
      <c r="W2" s="962"/>
      <c r="X2" s="962"/>
      <c r="Y2" s="962"/>
      <c r="Z2" s="962"/>
      <c r="AA2" s="962"/>
      <c r="AB2" s="962"/>
      <c r="AC2" s="962"/>
      <c r="AD2" s="962"/>
      <c r="AE2" s="962"/>
      <c r="AF2" s="962"/>
      <c r="AG2" s="962"/>
      <c r="AH2" s="962"/>
      <c r="AI2" s="962"/>
      <c r="AJ2" s="962"/>
      <c r="AK2" s="962"/>
      <c r="AL2" s="962"/>
      <c r="AM2" s="962"/>
      <c r="AN2" s="962"/>
      <c r="AO2" s="962"/>
      <c r="AP2" s="962"/>
      <c r="AQ2" s="911" t="s">
        <v>90</v>
      </c>
      <c r="AR2" s="911"/>
      <c r="AS2" s="911"/>
      <c r="AT2" s="911"/>
      <c r="AU2" s="911"/>
      <c r="AV2" s="911"/>
      <c r="AW2" s="911"/>
      <c r="AX2" s="911"/>
      <c r="AY2" s="911"/>
      <c r="AZ2" s="911"/>
      <c r="BA2" s="911"/>
      <c r="BB2" s="911"/>
      <c r="BC2" s="911"/>
      <c r="BD2" s="911"/>
      <c r="BE2" s="911"/>
      <c r="BF2" s="911"/>
      <c r="BG2" s="911"/>
      <c r="BH2" s="911"/>
      <c r="BI2" s="911"/>
      <c r="BJ2" s="911"/>
      <c r="BK2" s="911"/>
      <c r="BL2" s="911"/>
      <c r="BM2" s="911"/>
      <c r="BN2" s="912"/>
      <c r="BO2" s="910" t="s">
        <v>91</v>
      </c>
      <c r="BP2" s="911"/>
      <c r="BQ2" s="911"/>
      <c r="BR2" s="911"/>
      <c r="BS2" s="911"/>
      <c r="BT2" s="911"/>
      <c r="BU2" s="911"/>
      <c r="BV2" s="911"/>
      <c r="BW2" s="911"/>
      <c r="BX2" s="911"/>
      <c r="BY2" s="911"/>
      <c r="BZ2" s="911"/>
      <c r="CA2" s="911"/>
      <c r="CB2" s="911"/>
      <c r="CC2" s="911"/>
      <c r="CD2" s="911"/>
      <c r="CE2" s="911"/>
      <c r="CF2" s="911"/>
      <c r="CG2" s="911"/>
      <c r="CH2" s="911"/>
      <c r="CI2" s="911"/>
      <c r="CJ2" s="911"/>
      <c r="CK2" s="911"/>
      <c r="CL2" s="912"/>
      <c r="CM2" s="921" t="s">
        <v>131</v>
      </c>
      <c r="CN2" s="896" t="s">
        <v>38</v>
      </c>
      <c r="CO2" s="897"/>
      <c r="CP2" s="897"/>
      <c r="CQ2" s="898"/>
      <c r="CR2" s="901" t="s">
        <v>136</v>
      </c>
      <c r="CS2" s="904" t="s">
        <v>137</v>
      </c>
      <c r="CT2" s="847" t="s">
        <v>92</v>
      </c>
      <c r="CU2" s="884"/>
      <c r="CV2" s="848" t="s">
        <v>93</v>
      </c>
      <c r="CW2" s="884"/>
      <c r="CX2" s="848" t="s">
        <v>94</v>
      </c>
      <c r="CY2" s="889"/>
      <c r="CZ2" s="959" t="s">
        <v>15</v>
      </c>
      <c r="DA2" s="895"/>
      <c r="DB2" s="895"/>
      <c r="DC2" s="895"/>
      <c r="DD2" s="895"/>
      <c r="DE2" s="895"/>
      <c r="DF2" s="895"/>
      <c r="DG2" s="895"/>
      <c r="DH2" s="895"/>
      <c r="DI2" s="895"/>
      <c r="DJ2" s="895"/>
      <c r="DK2" s="895"/>
      <c r="DL2" s="895"/>
      <c r="DM2" s="895"/>
      <c r="DN2" s="895"/>
      <c r="DO2" s="895"/>
      <c r="DP2" s="895"/>
      <c r="DQ2" s="895"/>
      <c r="DR2" s="895"/>
      <c r="DS2" s="895"/>
      <c r="DT2" s="895"/>
      <c r="DU2" s="895"/>
      <c r="DV2" s="895"/>
      <c r="DW2" s="895"/>
      <c r="DX2" s="895"/>
      <c r="DY2" s="895"/>
      <c r="DZ2" s="895"/>
      <c r="EA2" s="867" t="s">
        <v>133</v>
      </c>
      <c r="EB2" s="868"/>
      <c r="EC2" s="868"/>
      <c r="ED2" s="868"/>
      <c r="EE2" s="853" t="s">
        <v>142</v>
      </c>
      <c r="EF2" s="854"/>
      <c r="EG2" s="854"/>
      <c r="EH2" s="854"/>
      <c r="EI2" s="854"/>
      <c r="EJ2" s="854"/>
      <c r="EK2" s="854"/>
      <c r="EL2" s="854"/>
      <c r="EM2" s="855"/>
      <c r="EN2" s="878" t="s">
        <v>138</v>
      </c>
      <c r="EO2" s="875"/>
      <c r="EP2" s="875"/>
      <c r="EQ2" s="851"/>
      <c r="ER2" s="853" t="s">
        <v>148</v>
      </c>
      <c r="ES2" s="854"/>
      <c r="ET2" s="872"/>
      <c r="EU2" s="859" t="s">
        <v>92</v>
      </c>
      <c r="EV2" s="860"/>
      <c r="EW2" s="842" t="s">
        <v>93</v>
      </c>
      <c r="EX2" s="843"/>
      <c r="EY2" s="842" t="s">
        <v>94</v>
      </c>
      <c r="EZ2" s="856"/>
      <c r="FA2" s="835" t="s">
        <v>103</v>
      </c>
      <c r="FB2" s="836"/>
      <c r="FC2" s="837"/>
      <c r="FD2" s="837"/>
      <c r="FE2" s="837"/>
      <c r="FF2" s="837"/>
      <c r="FG2" s="837"/>
      <c r="FH2" s="837"/>
      <c r="FI2" s="837"/>
      <c r="FJ2" s="837"/>
      <c r="FK2" s="837"/>
      <c r="FL2" s="837"/>
      <c r="FM2" s="837"/>
      <c r="FN2" s="837"/>
      <c r="FO2" s="837"/>
      <c r="FP2" s="837"/>
      <c r="FQ2" s="837"/>
      <c r="FR2" s="837"/>
      <c r="FS2" s="837"/>
      <c r="FT2" s="837"/>
      <c r="FU2" s="837"/>
      <c r="FV2" s="837"/>
      <c r="FW2" s="837"/>
      <c r="FX2" s="838"/>
      <c r="FY2" s="835" t="s">
        <v>104</v>
      </c>
      <c r="FZ2" s="836"/>
      <c r="GA2" s="837"/>
      <c r="GB2" s="837"/>
      <c r="GC2" s="837"/>
      <c r="GD2" s="837"/>
      <c r="GE2" s="837"/>
      <c r="GF2" s="837"/>
      <c r="GG2" s="837"/>
      <c r="GH2" s="837"/>
      <c r="GI2" s="837"/>
      <c r="GJ2" s="837"/>
      <c r="GK2" s="837"/>
      <c r="GL2" s="837"/>
      <c r="GM2" s="837"/>
      <c r="GN2" s="837"/>
      <c r="GO2" s="837"/>
      <c r="GP2" s="837"/>
      <c r="GQ2" s="837"/>
      <c r="GR2" s="837"/>
      <c r="GS2" s="837"/>
      <c r="GT2" s="837"/>
      <c r="GU2" s="837"/>
      <c r="GV2" s="838"/>
      <c r="GW2" s="835" t="s">
        <v>105</v>
      </c>
      <c r="GX2" s="836"/>
      <c r="GY2" s="837"/>
      <c r="GZ2" s="837"/>
      <c r="HA2" s="837"/>
      <c r="HB2" s="837"/>
      <c r="HC2" s="837"/>
      <c r="HD2" s="837"/>
      <c r="HE2" s="837"/>
      <c r="HF2" s="837"/>
      <c r="HG2" s="837"/>
      <c r="HH2" s="837"/>
      <c r="HI2" s="837"/>
      <c r="HJ2" s="837"/>
      <c r="HK2" s="837"/>
      <c r="HL2" s="837"/>
      <c r="HM2" s="837"/>
      <c r="HN2" s="837"/>
      <c r="HO2" s="837"/>
      <c r="HP2" s="837"/>
      <c r="HQ2" s="837"/>
      <c r="HR2" s="837"/>
      <c r="HS2" s="837"/>
      <c r="HT2" s="838"/>
    </row>
    <row r="3" spans="1:276" s="588" customFormat="1" ht="16.95" customHeight="1">
      <c r="A3" s="944"/>
      <c r="B3" s="947"/>
      <c r="C3" s="30"/>
      <c r="D3" s="953"/>
      <c r="E3" s="827"/>
      <c r="F3" s="830"/>
      <c r="G3" s="915"/>
      <c r="H3" s="915"/>
      <c r="I3" s="915"/>
      <c r="J3" s="915"/>
      <c r="K3" s="915"/>
      <c r="L3" s="967"/>
      <c r="M3" s="915"/>
      <c r="N3" s="955"/>
      <c r="O3" s="955"/>
      <c r="P3" s="957"/>
      <c r="Q3" s="963" t="s">
        <v>11</v>
      </c>
      <c r="R3" s="931" t="s">
        <v>127</v>
      </c>
      <c r="S3" s="933" t="s">
        <v>19</v>
      </c>
      <c r="T3" s="934"/>
      <c r="U3" s="907" t="s">
        <v>20</v>
      </c>
      <c r="V3" s="935"/>
      <c r="W3" s="936" t="s">
        <v>21</v>
      </c>
      <c r="X3" s="935"/>
      <c r="Y3" s="936" t="s">
        <v>22</v>
      </c>
      <c r="Z3" s="935"/>
      <c r="AA3" s="936" t="s">
        <v>23</v>
      </c>
      <c r="AB3" s="960"/>
      <c r="AC3" s="907" t="s">
        <v>24</v>
      </c>
      <c r="AD3" s="907"/>
      <c r="AE3" s="907" t="s">
        <v>25</v>
      </c>
      <c r="AF3" s="907"/>
      <c r="AG3" s="907" t="s">
        <v>26</v>
      </c>
      <c r="AH3" s="907"/>
      <c r="AI3" s="907" t="s">
        <v>27</v>
      </c>
      <c r="AJ3" s="907"/>
      <c r="AK3" s="907" t="s">
        <v>28</v>
      </c>
      <c r="AL3" s="907"/>
      <c r="AM3" s="907" t="s">
        <v>29</v>
      </c>
      <c r="AN3" s="907"/>
      <c r="AO3" s="907" t="s">
        <v>30</v>
      </c>
      <c r="AP3" s="907"/>
      <c r="AQ3" s="909" t="s">
        <v>154</v>
      </c>
      <c r="AR3" s="937"/>
      <c r="AS3" s="937" t="s">
        <v>156</v>
      </c>
      <c r="AT3" s="914"/>
      <c r="AU3" s="914" t="s">
        <v>158</v>
      </c>
      <c r="AV3" s="914"/>
      <c r="AW3" s="914" t="s">
        <v>160</v>
      </c>
      <c r="AX3" s="914"/>
      <c r="AY3" s="914" t="s">
        <v>162</v>
      </c>
      <c r="AZ3" s="914"/>
      <c r="BA3" s="914" t="s">
        <v>164</v>
      </c>
      <c r="BB3" s="914"/>
      <c r="BC3" s="914" t="s">
        <v>166</v>
      </c>
      <c r="BD3" s="914"/>
      <c r="BE3" s="914" t="s">
        <v>168</v>
      </c>
      <c r="BF3" s="914"/>
      <c r="BG3" s="914" t="s">
        <v>170</v>
      </c>
      <c r="BH3" s="914"/>
      <c r="BI3" s="914" t="s">
        <v>172</v>
      </c>
      <c r="BJ3" s="914"/>
      <c r="BK3" s="914" t="s">
        <v>174</v>
      </c>
      <c r="BL3" s="914"/>
      <c r="BM3" s="908" t="s">
        <v>176</v>
      </c>
      <c r="BN3" s="909"/>
      <c r="BO3" s="913" t="s">
        <v>178</v>
      </c>
      <c r="BP3" s="914"/>
      <c r="BQ3" s="914" t="s">
        <v>180</v>
      </c>
      <c r="BR3" s="914"/>
      <c r="BS3" s="914" t="s">
        <v>182</v>
      </c>
      <c r="BT3" s="914"/>
      <c r="BU3" s="914" t="s">
        <v>184</v>
      </c>
      <c r="BV3" s="914"/>
      <c r="BW3" s="914" t="s">
        <v>186</v>
      </c>
      <c r="BX3" s="914"/>
      <c r="BY3" s="914" t="s">
        <v>188</v>
      </c>
      <c r="BZ3" s="914"/>
      <c r="CA3" s="914" t="s">
        <v>190</v>
      </c>
      <c r="CB3" s="914"/>
      <c r="CC3" s="914" t="s">
        <v>192</v>
      </c>
      <c r="CD3" s="914"/>
      <c r="CE3" s="914" t="s">
        <v>194</v>
      </c>
      <c r="CF3" s="914"/>
      <c r="CG3" s="914" t="s">
        <v>196</v>
      </c>
      <c r="CH3" s="914"/>
      <c r="CI3" s="914" t="s">
        <v>198</v>
      </c>
      <c r="CJ3" s="914"/>
      <c r="CK3" s="914" t="s">
        <v>200</v>
      </c>
      <c r="CL3" s="916"/>
      <c r="CM3" s="922"/>
      <c r="CN3" s="965" t="s">
        <v>132</v>
      </c>
      <c r="CO3" s="924" t="s">
        <v>36</v>
      </c>
      <c r="CP3" s="899" t="s">
        <v>35</v>
      </c>
      <c r="CQ3" s="904" t="s">
        <v>37</v>
      </c>
      <c r="CR3" s="902"/>
      <c r="CS3" s="905"/>
      <c r="CT3" s="917" t="s">
        <v>4</v>
      </c>
      <c r="CU3" s="938" t="s">
        <v>127</v>
      </c>
      <c r="CV3" s="885" t="s">
        <v>4</v>
      </c>
      <c r="CW3" s="887" t="s">
        <v>13</v>
      </c>
      <c r="CX3" s="890" t="s">
        <v>4</v>
      </c>
      <c r="CY3" s="892" t="s">
        <v>13</v>
      </c>
      <c r="CZ3" s="894" t="s">
        <v>31</v>
      </c>
      <c r="DA3" s="895"/>
      <c r="DB3" s="848" t="s">
        <v>32</v>
      </c>
      <c r="DC3" s="848"/>
      <c r="DD3" s="848" t="s">
        <v>33</v>
      </c>
      <c r="DE3" s="848"/>
      <c r="DF3" s="848" t="s">
        <v>34</v>
      </c>
      <c r="DG3" s="848"/>
      <c r="DH3" s="926" t="s">
        <v>17</v>
      </c>
      <c r="DI3" s="847" t="s">
        <v>95</v>
      </c>
      <c r="DJ3" s="848"/>
      <c r="DK3" s="848" t="s">
        <v>96</v>
      </c>
      <c r="DL3" s="848"/>
      <c r="DM3" s="848" t="s">
        <v>97</v>
      </c>
      <c r="DN3" s="848"/>
      <c r="DO3" s="848" t="s">
        <v>98</v>
      </c>
      <c r="DP3" s="848"/>
      <c r="DQ3" s="919" t="s">
        <v>17</v>
      </c>
      <c r="DR3" s="847" t="s">
        <v>99</v>
      </c>
      <c r="DS3" s="848"/>
      <c r="DT3" s="848" t="s">
        <v>100</v>
      </c>
      <c r="DU3" s="848"/>
      <c r="DV3" s="848" t="s">
        <v>101</v>
      </c>
      <c r="DW3" s="848"/>
      <c r="DX3" s="848" t="s">
        <v>102</v>
      </c>
      <c r="DY3" s="848"/>
      <c r="DZ3" s="849" t="s">
        <v>17</v>
      </c>
      <c r="EA3" s="869" t="s">
        <v>134</v>
      </c>
      <c r="EB3" s="873" t="s">
        <v>135</v>
      </c>
      <c r="EC3" s="875" t="s">
        <v>36</v>
      </c>
      <c r="ED3" s="851" t="s">
        <v>35</v>
      </c>
      <c r="EE3" s="853" t="s">
        <v>143</v>
      </c>
      <c r="EF3" s="854"/>
      <c r="EG3" s="872"/>
      <c r="EH3" s="853" t="s">
        <v>144</v>
      </c>
      <c r="EI3" s="854"/>
      <c r="EJ3" s="872"/>
      <c r="EK3" s="853" t="s">
        <v>147</v>
      </c>
      <c r="EL3" s="854"/>
      <c r="EM3" s="855"/>
      <c r="EN3" s="869" t="s">
        <v>134</v>
      </c>
      <c r="EO3" s="928" t="s">
        <v>135</v>
      </c>
      <c r="EP3" s="875" t="s">
        <v>36</v>
      </c>
      <c r="EQ3" s="851" t="s">
        <v>35</v>
      </c>
      <c r="ER3" s="860" t="s">
        <v>141</v>
      </c>
      <c r="ES3" s="860"/>
      <c r="ET3" s="871"/>
      <c r="EU3" s="861" t="s">
        <v>4</v>
      </c>
      <c r="EV3" s="863" t="s">
        <v>127</v>
      </c>
      <c r="EW3" s="844" t="s">
        <v>4</v>
      </c>
      <c r="EX3" s="865" t="s">
        <v>13</v>
      </c>
      <c r="EY3" s="844" t="s">
        <v>4</v>
      </c>
      <c r="EZ3" s="857" t="s">
        <v>13</v>
      </c>
      <c r="FA3" s="835" t="s">
        <v>19</v>
      </c>
      <c r="FB3" s="880"/>
      <c r="FC3" s="840" t="s">
        <v>20</v>
      </c>
      <c r="FD3" s="840"/>
      <c r="FE3" s="840" t="s">
        <v>21</v>
      </c>
      <c r="FF3" s="840"/>
      <c r="FG3" s="840" t="s">
        <v>22</v>
      </c>
      <c r="FH3" s="840"/>
      <c r="FI3" s="840" t="s">
        <v>23</v>
      </c>
      <c r="FJ3" s="840"/>
      <c r="FK3" s="840" t="s">
        <v>24</v>
      </c>
      <c r="FL3" s="840"/>
      <c r="FM3" s="840" t="s">
        <v>25</v>
      </c>
      <c r="FN3" s="840"/>
      <c r="FO3" s="840" t="s">
        <v>26</v>
      </c>
      <c r="FP3" s="840"/>
      <c r="FQ3" s="840" t="s">
        <v>27</v>
      </c>
      <c r="FR3" s="840"/>
      <c r="FS3" s="840" t="s">
        <v>28</v>
      </c>
      <c r="FT3" s="840"/>
      <c r="FU3" s="840" t="s">
        <v>29</v>
      </c>
      <c r="FV3" s="840"/>
      <c r="FW3" s="840" t="s">
        <v>30</v>
      </c>
      <c r="FX3" s="846"/>
      <c r="FY3" s="835" t="s">
        <v>153</v>
      </c>
      <c r="FZ3" s="839"/>
      <c r="GA3" s="840" t="s">
        <v>155</v>
      </c>
      <c r="GB3" s="840"/>
      <c r="GC3" s="840" t="s">
        <v>157</v>
      </c>
      <c r="GD3" s="840"/>
      <c r="GE3" s="840" t="s">
        <v>159</v>
      </c>
      <c r="GF3" s="840"/>
      <c r="GG3" s="840" t="s">
        <v>161</v>
      </c>
      <c r="GH3" s="840"/>
      <c r="GI3" s="840" t="s">
        <v>163</v>
      </c>
      <c r="GJ3" s="840"/>
      <c r="GK3" s="840" t="s">
        <v>165</v>
      </c>
      <c r="GL3" s="840"/>
      <c r="GM3" s="840" t="s">
        <v>167</v>
      </c>
      <c r="GN3" s="840"/>
      <c r="GO3" s="840" t="s">
        <v>169</v>
      </c>
      <c r="GP3" s="840"/>
      <c r="GQ3" s="840" t="s">
        <v>171</v>
      </c>
      <c r="GR3" s="840"/>
      <c r="GS3" s="840" t="s">
        <v>173</v>
      </c>
      <c r="GT3" s="840"/>
      <c r="GU3" s="840" t="s">
        <v>175</v>
      </c>
      <c r="GV3" s="846"/>
      <c r="GW3" s="835" t="s">
        <v>177</v>
      </c>
      <c r="GX3" s="839"/>
      <c r="GY3" s="840" t="s">
        <v>179</v>
      </c>
      <c r="GZ3" s="840"/>
      <c r="HA3" s="840" t="s">
        <v>181</v>
      </c>
      <c r="HB3" s="840"/>
      <c r="HC3" s="840" t="s">
        <v>183</v>
      </c>
      <c r="HD3" s="840"/>
      <c r="HE3" s="840" t="s">
        <v>185</v>
      </c>
      <c r="HF3" s="840"/>
      <c r="HG3" s="840" t="s">
        <v>187</v>
      </c>
      <c r="HH3" s="840"/>
      <c r="HI3" s="840" t="s">
        <v>189</v>
      </c>
      <c r="HJ3" s="840"/>
      <c r="HK3" s="840" t="s">
        <v>191</v>
      </c>
      <c r="HL3" s="840"/>
      <c r="HM3" s="840" t="s">
        <v>193</v>
      </c>
      <c r="HN3" s="840"/>
      <c r="HO3" s="840" t="s">
        <v>195</v>
      </c>
      <c r="HP3" s="840"/>
      <c r="HQ3" s="840" t="s">
        <v>197</v>
      </c>
      <c r="HR3" s="840"/>
      <c r="HS3" s="840" t="s">
        <v>199</v>
      </c>
      <c r="HT3" s="841"/>
    </row>
    <row r="4" spans="1:276" s="588" customFormat="1" ht="87" customHeight="1" thickBot="1">
      <c r="A4" s="945"/>
      <c r="B4" s="948"/>
      <c r="C4" s="725" t="s">
        <v>1213</v>
      </c>
      <c r="D4" s="954"/>
      <c r="E4" s="828"/>
      <c r="F4" s="831"/>
      <c r="G4" s="915"/>
      <c r="H4" s="915"/>
      <c r="I4" s="915"/>
      <c r="J4" s="915"/>
      <c r="K4" s="915"/>
      <c r="L4" s="967"/>
      <c r="M4" s="915"/>
      <c r="N4" s="955"/>
      <c r="O4" s="955"/>
      <c r="P4" s="958"/>
      <c r="Q4" s="964"/>
      <c r="R4" s="932"/>
      <c r="S4" s="31" t="s">
        <v>14</v>
      </c>
      <c r="T4" s="32" t="s">
        <v>127</v>
      </c>
      <c r="U4" s="31" t="s">
        <v>14</v>
      </c>
      <c r="V4" s="32" t="s">
        <v>127</v>
      </c>
      <c r="W4" s="31" t="s">
        <v>14</v>
      </c>
      <c r="X4" s="32" t="s">
        <v>127</v>
      </c>
      <c r="Y4" s="31" t="s">
        <v>14</v>
      </c>
      <c r="Z4" s="32" t="s">
        <v>127</v>
      </c>
      <c r="AA4" s="31" t="s">
        <v>14</v>
      </c>
      <c r="AB4" s="32" t="s">
        <v>127</v>
      </c>
      <c r="AC4" s="31" t="s">
        <v>14</v>
      </c>
      <c r="AD4" s="32" t="s">
        <v>127</v>
      </c>
      <c r="AE4" s="31" t="s">
        <v>14</v>
      </c>
      <c r="AF4" s="32" t="s">
        <v>127</v>
      </c>
      <c r="AG4" s="31" t="s">
        <v>14</v>
      </c>
      <c r="AH4" s="32" t="s">
        <v>127</v>
      </c>
      <c r="AI4" s="31" t="s">
        <v>14</v>
      </c>
      <c r="AJ4" s="32" t="s">
        <v>127</v>
      </c>
      <c r="AK4" s="31" t="s">
        <v>14</v>
      </c>
      <c r="AL4" s="32" t="s">
        <v>127</v>
      </c>
      <c r="AM4" s="31" t="s">
        <v>14</v>
      </c>
      <c r="AN4" s="32" t="s">
        <v>127</v>
      </c>
      <c r="AO4" s="31" t="s">
        <v>14</v>
      </c>
      <c r="AP4" s="32" t="s">
        <v>127</v>
      </c>
      <c r="AQ4" s="33" t="s">
        <v>14</v>
      </c>
      <c r="AR4" s="34" t="s">
        <v>13</v>
      </c>
      <c r="AS4" s="31" t="s">
        <v>14</v>
      </c>
      <c r="AT4" s="34" t="s">
        <v>13</v>
      </c>
      <c r="AU4" s="35" t="s">
        <v>14</v>
      </c>
      <c r="AV4" s="34" t="s">
        <v>13</v>
      </c>
      <c r="AW4" s="35" t="s">
        <v>14</v>
      </c>
      <c r="AX4" s="34" t="s">
        <v>13</v>
      </c>
      <c r="AY4" s="35" t="s">
        <v>14</v>
      </c>
      <c r="AZ4" s="34" t="s">
        <v>13</v>
      </c>
      <c r="BA4" s="35" t="s">
        <v>14</v>
      </c>
      <c r="BB4" s="34" t="s">
        <v>13</v>
      </c>
      <c r="BC4" s="35" t="s">
        <v>14</v>
      </c>
      <c r="BD4" s="34" t="s">
        <v>13</v>
      </c>
      <c r="BE4" s="35" t="s">
        <v>14</v>
      </c>
      <c r="BF4" s="34" t="s">
        <v>13</v>
      </c>
      <c r="BG4" s="35" t="s">
        <v>14</v>
      </c>
      <c r="BH4" s="34" t="s">
        <v>13</v>
      </c>
      <c r="BI4" s="35" t="s">
        <v>14</v>
      </c>
      <c r="BJ4" s="34" t="s">
        <v>13</v>
      </c>
      <c r="BK4" s="35" t="s">
        <v>14</v>
      </c>
      <c r="BL4" s="34" t="s">
        <v>13</v>
      </c>
      <c r="BM4" s="35" t="s">
        <v>14</v>
      </c>
      <c r="BN4" s="36" t="s">
        <v>13</v>
      </c>
      <c r="BO4" s="33" t="s">
        <v>14</v>
      </c>
      <c r="BP4" s="34" t="s">
        <v>13</v>
      </c>
      <c r="BQ4" s="35" t="s">
        <v>14</v>
      </c>
      <c r="BR4" s="34" t="s">
        <v>13</v>
      </c>
      <c r="BS4" s="35" t="s">
        <v>14</v>
      </c>
      <c r="BT4" s="34" t="s">
        <v>13</v>
      </c>
      <c r="BU4" s="35" t="s">
        <v>14</v>
      </c>
      <c r="BV4" s="34" t="s">
        <v>13</v>
      </c>
      <c r="BW4" s="35" t="s">
        <v>14</v>
      </c>
      <c r="BX4" s="34" t="s">
        <v>13</v>
      </c>
      <c r="BY4" s="35" t="s">
        <v>14</v>
      </c>
      <c r="BZ4" s="34" t="s">
        <v>13</v>
      </c>
      <c r="CA4" s="35" t="s">
        <v>14</v>
      </c>
      <c r="CB4" s="34" t="s">
        <v>13</v>
      </c>
      <c r="CC4" s="35" t="s">
        <v>14</v>
      </c>
      <c r="CD4" s="34" t="s">
        <v>13</v>
      </c>
      <c r="CE4" s="35" t="s">
        <v>14</v>
      </c>
      <c r="CF4" s="34" t="s">
        <v>13</v>
      </c>
      <c r="CG4" s="35" t="s">
        <v>14</v>
      </c>
      <c r="CH4" s="34" t="s">
        <v>13</v>
      </c>
      <c r="CI4" s="35" t="s">
        <v>14</v>
      </c>
      <c r="CJ4" s="34" t="s">
        <v>13</v>
      </c>
      <c r="CK4" s="35" t="s">
        <v>14</v>
      </c>
      <c r="CL4" s="37" t="s">
        <v>13</v>
      </c>
      <c r="CM4" s="923"/>
      <c r="CN4" s="966"/>
      <c r="CO4" s="925"/>
      <c r="CP4" s="900"/>
      <c r="CQ4" s="905"/>
      <c r="CR4" s="903"/>
      <c r="CS4" s="906"/>
      <c r="CT4" s="918"/>
      <c r="CU4" s="939"/>
      <c r="CV4" s="886"/>
      <c r="CW4" s="888"/>
      <c r="CX4" s="891"/>
      <c r="CY4" s="893"/>
      <c r="CZ4" s="38" t="s">
        <v>15</v>
      </c>
      <c r="DA4" s="39" t="s">
        <v>127</v>
      </c>
      <c r="DB4" s="40" t="s">
        <v>15</v>
      </c>
      <c r="DC4" s="41" t="s">
        <v>127</v>
      </c>
      <c r="DD4" s="40" t="s">
        <v>15</v>
      </c>
      <c r="DE4" s="41" t="s">
        <v>127</v>
      </c>
      <c r="DF4" s="40" t="s">
        <v>15</v>
      </c>
      <c r="DG4" s="41" t="s">
        <v>127</v>
      </c>
      <c r="DH4" s="927"/>
      <c r="DI4" s="42" t="s">
        <v>15</v>
      </c>
      <c r="DJ4" s="43" t="s">
        <v>13</v>
      </c>
      <c r="DK4" s="40" t="s">
        <v>15</v>
      </c>
      <c r="DL4" s="43" t="s">
        <v>13</v>
      </c>
      <c r="DM4" s="40" t="s">
        <v>15</v>
      </c>
      <c r="DN4" s="43" t="s">
        <v>12</v>
      </c>
      <c r="DO4" s="40" t="s">
        <v>15</v>
      </c>
      <c r="DP4" s="43" t="s">
        <v>13</v>
      </c>
      <c r="DQ4" s="920"/>
      <c r="DR4" s="42" t="s">
        <v>15</v>
      </c>
      <c r="DS4" s="43" t="s">
        <v>13</v>
      </c>
      <c r="DT4" s="40" t="s">
        <v>15</v>
      </c>
      <c r="DU4" s="43" t="s">
        <v>13</v>
      </c>
      <c r="DV4" s="40" t="s">
        <v>15</v>
      </c>
      <c r="DW4" s="43" t="s">
        <v>12</v>
      </c>
      <c r="DX4" s="40" t="s">
        <v>15</v>
      </c>
      <c r="DY4" s="43" t="s">
        <v>13</v>
      </c>
      <c r="DZ4" s="850"/>
      <c r="EA4" s="870"/>
      <c r="EB4" s="874"/>
      <c r="EC4" s="876"/>
      <c r="ED4" s="877"/>
      <c r="EE4" s="44" t="s">
        <v>146</v>
      </c>
      <c r="EF4" s="44" t="s">
        <v>135</v>
      </c>
      <c r="EG4" s="44" t="s">
        <v>145</v>
      </c>
      <c r="EH4" s="44" t="s">
        <v>146</v>
      </c>
      <c r="EI4" s="44" t="s">
        <v>135</v>
      </c>
      <c r="EJ4" s="44" t="s">
        <v>145</v>
      </c>
      <c r="EK4" s="44" t="s">
        <v>146</v>
      </c>
      <c r="EL4" s="44" t="s">
        <v>135</v>
      </c>
      <c r="EM4" s="45" t="s">
        <v>145</v>
      </c>
      <c r="EN4" s="879"/>
      <c r="EO4" s="929"/>
      <c r="EP4" s="930"/>
      <c r="EQ4" s="852"/>
      <c r="ER4" s="44" t="s">
        <v>146</v>
      </c>
      <c r="ES4" s="44" t="s">
        <v>135</v>
      </c>
      <c r="ET4" s="46" t="s">
        <v>145</v>
      </c>
      <c r="EU4" s="862"/>
      <c r="EV4" s="864"/>
      <c r="EW4" s="845"/>
      <c r="EX4" s="866"/>
      <c r="EY4" s="845"/>
      <c r="EZ4" s="858"/>
      <c r="FA4" s="47" t="s">
        <v>16</v>
      </c>
      <c r="FB4" s="48" t="s">
        <v>127</v>
      </c>
      <c r="FC4" s="49" t="s">
        <v>16</v>
      </c>
      <c r="FD4" s="48" t="s">
        <v>127</v>
      </c>
      <c r="FE4" s="49" t="s">
        <v>16</v>
      </c>
      <c r="FF4" s="48" t="s">
        <v>127</v>
      </c>
      <c r="FG4" s="49" t="s">
        <v>16</v>
      </c>
      <c r="FH4" s="48" t="s">
        <v>127</v>
      </c>
      <c r="FI4" s="49" t="s">
        <v>16</v>
      </c>
      <c r="FJ4" s="48" t="s">
        <v>127</v>
      </c>
      <c r="FK4" s="49" t="s">
        <v>16</v>
      </c>
      <c r="FL4" s="48" t="s">
        <v>127</v>
      </c>
      <c r="FM4" s="49" t="s">
        <v>16</v>
      </c>
      <c r="FN4" s="48" t="s">
        <v>127</v>
      </c>
      <c r="FO4" s="49" t="s">
        <v>16</v>
      </c>
      <c r="FP4" s="48" t="s">
        <v>127</v>
      </c>
      <c r="FQ4" s="49" t="s">
        <v>16</v>
      </c>
      <c r="FR4" s="48" t="s">
        <v>127</v>
      </c>
      <c r="FS4" s="49" t="s">
        <v>16</v>
      </c>
      <c r="FT4" s="48" t="s">
        <v>127</v>
      </c>
      <c r="FU4" s="49" t="s">
        <v>16</v>
      </c>
      <c r="FV4" s="48" t="s">
        <v>127</v>
      </c>
      <c r="FW4" s="49" t="s">
        <v>16</v>
      </c>
      <c r="FX4" s="50" t="s">
        <v>127</v>
      </c>
      <c r="FY4" s="47" t="s">
        <v>16</v>
      </c>
      <c r="FZ4" s="48" t="s">
        <v>13</v>
      </c>
      <c r="GA4" s="49" t="s">
        <v>16</v>
      </c>
      <c r="GB4" s="48" t="s">
        <v>13</v>
      </c>
      <c r="GC4" s="49" t="s">
        <v>16</v>
      </c>
      <c r="GD4" s="48" t="s">
        <v>13</v>
      </c>
      <c r="GE4" s="49" t="s">
        <v>16</v>
      </c>
      <c r="GF4" s="48" t="s">
        <v>13</v>
      </c>
      <c r="GG4" s="49" t="s">
        <v>16</v>
      </c>
      <c r="GH4" s="48" t="s">
        <v>13</v>
      </c>
      <c r="GI4" s="49" t="s">
        <v>16</v>
      </c>
      <c r="GJ4" s="48" t="s">
        <v>13</v>
      </c>
      <c r="GK4" s="49" t="s">
        <v>16</v>
      </c>
      <c r="GL4" s="48" t="s">
        <v>13</v>
      </c>
      <c r="GM4" s="49" t="s">
        <v>16</v>
      </c>
      <c r="GN4" s="48" t="s">
        <v>13</v>
      </c>
      <c r="GO4" s="49" t="s">
        <v>16</v>
      </c>
      <c r="GP4" s="48" t="s">
        <v>13</v>
      </c>
      <c r="GQ4" s="49" t="s">
        <v>16</v>
      </c>
      <c r="GR4" s="48" t="s">
        <v>13</v>
      </c>
      <c r="GS4" s="49" t="s">
        <v>16</v>
      </c>
      <c r="GT4" s="48" t="s">
        <v>13</v>
      </c>
      <c r="GU4" s="49" t="s">
        <v>16</v>
      </c>
      <c r="GV4" s="50" t="s">
        <v>13</v>
      </c>
      <c r="GW4" s="47" t="s">
        <v>16</v>
      </c>
      <c r="GX4" s="48" t="s">
        <v>13</v>
      </c>
      <c r="GY4" s="49" t="s">
        <v>16</v>
      </c>
      <c r="GZ4" s="48" t="s">
        <v>13</v>
      </c>
      <c r="HA4" s="49" t="s">
        <v>16</v>
      </c>
      <c r="HB4" s="48" t="s">
        <v>13</v>
      </c>
      <c r="HC4" s="49" t="s">
        <v>16</v>
      </c>
      <c r="HD4" s="48" t="s">
        <v>13</v>
      </c>
      <c r="HE4" s="49" t="s">
        <v>16</v>
      </c>
      <c r="HF4" s="48" t="s">
        <v>13</v>
      </c>
      <c r="HG4" s="49" t="s">
        <v>16</v>
      </c>
      <c r="HH4" s="48" t="s">
        <v>13</v>
      </c>
      <c r="HI4" s="49" t="s">
        <v>16</v>
      </c>
      <c r="HJ4" s="48" t="s">
        <v>13</v>
      </c>
      <c r="HK4" s="49" t="s">
        <v>16</v>
      </c>
      <c r="HL4" s="48" t="s">
        <v>13</v>
      </c>
      <c r="HM4" s="49" t="s">
        <v>16</v>
      </c>
      <c r="HN4" s="48" t="s">
        <v>13</v>
      </c>
      <c r="HO4" s="49" t="s">
        <v>16</v>
      </c>
      <c r="HP4" s="48" t="s">
        <v>13</v>
      </c>
      <c r="HQ4" s="49" t="s">
        <v>16</v>
      </c>
      <c r="HR4" s="48" t="s">
        <v>13</v>
      </c>
      <c r="HS4" s="49" t="s">
        <v>16</v>
      </c>
      <c r="HT4" s="51" t="s">
        <v>13</v>
      </c>
    </row>
    <row r="5" spans="1:276" s="590" customFormat="1" ht="16.8" thickTop="1">
      <c r="A5" s="52">
        <f>ROW()-4</f>
        <v>1</v>
      </c>
      <c r="B5" s="53" t="s">
        <v>206</v>
      </c>
      <c r="C5" s="54"/>
      <c r="D5" s="55" t="s">
        <v>207</v>
      </c>
      <c r="E5" s="56" t="s">
        <v>780</v>
      </c>
      <c r="F5" s="57" t="s">
        <v>917</v>
      </c>
      <c r="G5" s="58" t="s">
        <v>224</v>
      </c>
      <c r="H5" s="58" t="str">
        <f t="shared" ref="H5:H45" si="0">MID(G5,4,3)</f>
        <v>南港區</v>
      </c>
      <c r="I5" s="56" t="s">
        <v>225</v>
      </c>
      <c r="J5" s="56" t="s">
        <v>226</v>
      </c>
      <c r="K5" s="56" t="s">
        <v>227</v>
      </c>
      <c r="L5" s="59">
        <v>111.75</v>
      </c>
      <c r="M5" s="56" t="s">
        <v>228</v>
      </c>
      <c r="N5" s="60">
        <f>O5-365</f>
        <v>45113</v>
      </c>
      <c r="O5" s="60">
        <v>45478</v>
      </c>
      <c r="P5" s="61">
        <v>33000</v>
      </c>
      <c r="Q5" s="62">
        <v>16000</v>
      </c>
      <c r="R5" s="63" t="s">
        <v>229</v>
      </c>
      <c r="S5" s="64">
        <v>2400</v>
      </c>
      <c r="T5" s="65" t="s">
        <v>229</v>
      </c>
      <c r="U5" s="66">
        <v>2400</v>
      </c>
      <c r="V5" s="67" t="s">
        <v>230</v>
      </c>
      <c r="W5" s="64">
        <v>2400</v>
      </c>
      <c r="X5" s="68" t="s">
        <v>231</v>
      </c>
      <c r="Y5" s="64">
        <v>2400</v>
      </c>
      <c r="Z5" s="68" t="s">
        <v>232</v>
      </c>
      <c r="AA5" s="64">
        <v>2400</v>
      </c>
      <c r="AB5" s="68" t="s">
        <v>233</v>
      </c>
      <c r="AC5" s="69">
        <v>2400</v>
      </c>
      <c r="AD5" s="70" t="s">
        <v>234</v>
      </c>
      <c r="AE5" s="64">
        <v>2400</v>
      </c>
      <c r="AF5" s="70" t="s">
        <v>235</v>
      </c>
      <c r="AG5" s="64">
        <v>2400</v>
      </c>
      <c r="AH5" s="70" t="s">
        <v>236</v>
      </c>
      <c r="AI5" s="64">
        <v>2400</v>
      </c>
      <c r="AJ5" s="70" t="s">
        <v>569</v>
      </c>
      <c r="AK5" s="71">
        <v>2400</v>
      </c>
      <c r="AL5" s="72" t="s">
        <v>551</v>
      </c>
      <c r="AM5" s="64">
        <v>2400</v>
      </c>
      <c r="AN5" s="68" t="s">
        <v>622</v>
      </c>
      <c r="AO5" s="71">
        <v>2400</v>
      </c>
      <c r="AP5" s="73" t="s">
        <v>652</v>
      </c>
      <c r="AQ5" s="74"/>
      <c r="AR5" s="75"/>
      <c r="AS5" s="76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7"/>
      <c r="BO5" s="74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8"/>
      <c r="CM5" s="54" t="s">
        <v>309</v>
      </c>
      <c r="CN5" s="79" t="s">
        <v>310</v>
      </c>
      <c r="CO5" s="80" t="s">
        <v>311</v>
      </c>
      <c r="CP5" s="81" t="s">
        <v>312</v>
      </c>
      <c r="CQ5" s="82" t="s">
        <v>313</v>
      </c>
      <c r="CR5" s="83"/>
      <c r="CS5" s="55"/>
      <c r="CT5" s="84">
        <v>4500</v>
      </c>
      <c r="CU5" s="68" t="s">
        <v>229</v>
      </c>
      <c r="CV5" s="85"/>
      <c r="CW5" s="86"/>
      <c r="CX5" s="86"/>
      <c r="CY5" s="87"/>
      <c r="CZ5" s="88">
        <v>1428</v>
      </c>
      <c r="DA5" s="89" t="s">
        <v>229</v>
      </c>
      <c r="DB5" s="90">
        <v>4200</v>
      </c>
      <c r="DC5" s="91" t="s">
        <v>235</v>
      </c>
      <c r="DD5" s="90"/>
      <c r="DE5" s="91"/>
      <c r="DF5" s="90"/>
      <c r="DG5" s="91"/>
      <c r="DH5" s="92">
        <f t="shared" ref="DH5:DH39" si="1">10000-DF5-DD5-DB5-CZ5</f>
        <v>4372</v>
      </c>
      <c r="DI5" s="93"/>
      <c r="DJ5" s="94"/>
      <c r="DK5" s="94"/>
      <c r="DL5" s="94"/>
      <c r="DM5" s="94"/>
      <c r="DN5" s="94"/>
      <c r="DO5" s="94"/>
      <c r="DP5" s="94"/>
      <c r="DQ5" s="95"/>
      <c r="DR5" s="93"/>
      <c r="DS5" s="94"/>
      <c r="DT5" s="94"/>
      <c r="DU5" s="94"/>
      <c r="DV5" s="94"/>
      <c r="DW5" s="94"/>
      <c r="DX5" s="94"/>
      <c r="DY5" s="94"/>
      <c r="DZ5" s="96"/>
      <c r="EA5" s="53" t="s">
        <v>704</v>
      </c>
      <c r="EB5" s="97" t="s">
        <v>381</v>
      </c>
      <c r="EC5" s="97" t="s">
        <v>382</v>
      </c>
      <c r="ED5" s="97" t="s">
        <v>383</v>
      </c>
      <c r="EE5" s="79"/>
      <c r="EF5" s="79"/>
      <c r="EG5" s="79"/>
      <c r="EH5" s="79"/>
      <c r="EI5" s="97"/>
      <c r="EJ5" s="97"/>
      <c r="EK5" s="97"/>
      <c r="EL5" s="97"/>
      <c r="EM5" s="98"/>
      <c r="EN5" s="80"/>
      <c r="EO5" s="79"/>
      <c r="EP5" s="79"/>
      <c r="EQ5" s="97"/>
      <c r="ER5" s="79"/>
      <c r="ES5" s="79"/>
      <c r="ET5" s="97"/>
      <c r="EU5" s="84"/>
      <c r="EV5" s="86"/>
      <c r="EW5" s="86"/>
      <c r="EX5" s="86"/>
      <c r="EY5" s="86"/>
      <c r="EZ5" s="87"/>
      <c r="FA5" s="88"/>
      <c r="FB5" s="86"/>
      <c r="FC5" s="90"/>
      <c r="FD5" s="86"/>
      <c r="FE5" s="90"/>
      <c r="FF5" s="86"/>
      <c r="FG5" s="90"/>
      <c r="FH5" s="86"/>
      <c r="FI5" s="90"/>
      <c r="FJ5" s="99"/>
      <c r="FK5" s="100"/>
      <c r="FL5" s="101"/>
      <c r="FM5" s="102"/>
      <c r="FN5" s="101"/>
      <c r="FO5" s="102"/>
      <c r="FP5" s="101"/>
      <c r="FQ5" s="90"/>
      <c r="FR5" s="101"/>
      <c r="FS5" s="90"/>
      <c r="FT5" s="86"/>
      <c r="FU5" s="90"/>
      <c r="FV5" s="86"/>
      <c r="FW5" s="90"/>
      <c r="FX5" s="87"/>
      <c r="FY5" s="103"/>
      <c r="FZ5" s="99"/>
      <c r="GA5" s="99"/>
      <c r="GB5" s="99"/>
      <c r="GC5" s="99"/>
      <c r="GD5" s="99"/>
      <c r="GE5" s="99"/>
      <c r="GF5" s="99"/>
      <c r="GG5" s="99"/>
      <c r="GH5" s="99"/>
      <c r="GI5" s="99"/>
      <c r="GJ5" s="99"/>
      <c r="GK5" s="99"/>
      <c r="GL5" s="99"/>
      <c r="GM5" s="99"/>
      <c r="GN5" s="99"/>
      <c r="GO5" s="99"/>
      <c r="GP5" s="99"/>
      <c r="GQ5" s="99"/>
      <c r="GR5" s="99"/>
      <c r="GS5" s="99"/>
      <c r="GT5" s="99"/>
      <c r="GU5" s="99"/>
      <c r="GV5" s="104"/>
      <c r="GW5" s="103"/>
      <c r="GX5" s="99"/>
      <c r="GY5" s="99"/>
      <c r="GZ5" s="99"/>
      <c r="HA5" s="99"/>
      <c r="HB5" s="99"/>
      <c r="HC5" s="99"/>
      <c r="HD5" s="99"/>
      <c r="HE5" s="99"/>
      <c r="HF5" s="99"/>
      <c r="HG5" s="99"/>
      <c r="HH5" s="99"/>
      <c r="HI5" s="99"/>
      <c r="HJ5" s="99"/>
      <c r="HK5" s="99"/>
      <c r="HL5" s="99"/>
      <c r="HM5" s="99"/>
      <c r="HN5" s="99"/>
      <c r="HO5" s="99"/>
      <c r="HP5" s="99"/>
      <c r="HQ5" s="99"/>
      <c r="HR5" s="99"/>
      <c r="HS5" s="99"/>
      <c r="HT5" s="105"/>
      <c r="HU5" s="589"/>
      <c r="HV5" s="589"/>
      <c r="HW5" s="589"/>
      <c r="HX5" s="589"/>
      <c r="HY5" s="589"/>
      <c r="HZ5" s="589"/>
      <c r="IA5" s="589"/>
      <c r="IB5" s="589"/>
      <c r="IC5" s="589"/>
      <c r="ID5" s="589"/>
      <c r="IE5" s="589"/>
      <c r="IF5" s="589"/>
      <c r="JE5" s="589"/>
      <c r="JF5" s="589"/>
      <c r="JG5" s="589"/>
      <c r="JH5" s="589"/>
      <c r="JI5" s="589"/>
      <c r="JJ5" s="589"/>
      <c r="JK5" s="589"/>
      <c r="JL5" s="589"/>
      <c r="JM5" s="589"/>
      <c r="JN5" s="589"/>
      <c r="JO5" s="589"/>
      <c r="JP5" s="589"/>
    </row>
    <row r="6" spans="1:276" s="590" customFormat="1">
      <c r="A6" s="52">
        <f t="shared" ref="A6:A105" si="2">ROW()-4</f>
        <v>2</v>
      </c>
      <c r="B6" s="53" t="s">
        <v>206</v>
      </c>
      <c r="C6" s="54"/>
      <c r="D6" s="55" t="s">
        <v>208</v>
      </c>
      <c r="E6" s="106" t="s">
        <v>993</v>
      </c>
      <c r="F6" s="107"/>
      <c r="G6" s="58" t="s">
        <v>237</v>
      </c>
      <c r="H6" s="58" t="str">
        <f t="shared" si="0"/>
        <v>信義區</v>
      </c>
      <c r="I6" s="108" t="s">
        <v>238</v>
      </c>
      <c r="J6" s="56" t="s">
        <v>239</v>
      </c>
      <c r="K6" s="56" t="s">
        <v>240</v>
      </c>
      <c r="L6" s="59">
        <v>71.819999999999993</v>
      </c>
      <c r="M6" s="109" t="s">
        <v>228</v>
      </c>
      <c r="N6" s="60">
        <f t="shared" ref="N6:N14" si="3">O6-365</f>
        <v>45122</v>
      </c>
      <c r="O6" s="60">
        <v>45487</v>
      </c>
      <c r="P6" s="110">
        <v>20000</v>
      </c>
      <c r="Q6" s="111">
        <v>16000</v>
      </c>
      <c r="R6" s="112" t="s">
        <v>229</v>
      </c>
      <c r="S6" s="113">
        <v>2400</v>
      </c>
      <c r="T6" s="114" t="s">
        <v>229</v>
      </c>
      <c r="U6" s="115">
        <v>2400</v>
      </c>
      <c r="V6" s="73" t="s">
        <v>230</v>
      </c>
      <c r="W6" s="71">
        <v>2400</v>
      </c>
      <c r="X6" s="73" t="s">
        <v>231</v>
      </c>
      <c r="Y6" s="71">
        <v>2400</v>
      </c>
      <c r="Z6" s="73" t="s">
        <v>232</v>
      </c>
      <c r="AA6" s="116">
        <v>2400</v>
      </c>
      <c r="AB6" s="73" t="s">
        <v>233</v>
      </c>
      <c r="AC6" s="71">
        <v>2400</v>
      </c>
      <c r="AD6" s="72" t="s">
        <v>234</v>
      </c>
      <c r="AE6" s="71">
        <v>2400</v>
      </c>
      <c r="AF6" s="72" t="s">
        <v>235</v>
      </c>
      <c r="AG6" s="71">
        <v>2400</v>
      </c>
      <c r="AH6" s="72" t="s">
        <v>236</v>
      </c>
      <c r="AI6" s="71">
        <v>2400</v>
      </c>
      <c r="AJ6" s="72" t="s">
        <v>569</v>
      </c>
      <c r="AK6" s="71">
        <v>2400</v>
      </c>
      <c r="AL6" s="72" t="s">
        <v>551</v>
      </c>
      <c r="AM6" s="71">
        <v>2400</v>
      </c>
      <c r="AN6" s="73" t="s">
        <v>639</v>
      </c>
      <c r="AO6" s="71">
        <v>2400</v>
      </c>
      <c r="AP6" s="73" t="s">
        <v>652</v>
      </c>
      <c r="AQ6" s="117"/>
      <c r="AR6" s="118"/>
      <c r="AS6" s="119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20"/>
      <c r="BO6" s="117"/>
      <c r="BP6" s="118"/>
      <c r="BQ6" s="118"/>
      <c r="BR6" s="118"/>
      <c r="BS6" s="118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118"/>
      <c r="CF6" s="118"/>
      <c r="CG6" s="118"/>
      <c r="CH6" s="118"/>
      <c r="CI6" s="118"/>
      <c r="CJ6" s="118"/>
      <c r="CK6" s="118"/>
      <c r="CL6" s="121"/>
      <c r="CM6" s="122" t="s">
        <v>314</v>
      </c>
      <c r="CN6" s="123" t="s">
        <v>315</v>
      </c>
      <c r="CO6" s="124" t="s">
        <v>316</v>
      </c>
      <c r="CP6" s="125" t="s">
        <v>317</v>
      </c>
      <c r="CQ6" s="126" t="s">
        <v>318</v>
      </c>
      <c r="CR6" s="127"/>
      <c r="CS6" s="128"/>
      <c r="CT6" s="129"/>
      <c r="CU6" s="73"/>
      <c r="CV6" s="130"/>
      <c r="CW6" s="131"/>
      <c r="CX6" s="131"/>
      <c r="CY6" s="132"/>
      <c r="CZ6" s="133"/>
      <c r="DA6" s="134"/>
      <c r="DB6" s="135"/>
      <c r="DC6" s="136"/>
      <c r="DD6" s="135"/>
      <c r="DE6" s="137"/>
      <c r="DF6" s="135"/>
      <c r="DG6" s="137"/>
      <c r="DH6" s="92">
        <f t="shared" si="1"/>
        <v>10000</v>
      </c>
      <c r="DI6" s="138"/>
      <c r="DJ6" s="139"/>
      <c r="DK6" s="139"/>
      <c r="DL6" s="139"/>
      <c r="DM6" s="139"/>
      <c r="DN6" s="139"/>
      <c r="DO6" s="139"/>
      <c r="DP6" s="139"/>
      <c r="DQ6" s="140"/>
      <c r="DR6" s="138"/>
      <c r="DS6" s="139"/>
      <c r="DT6" s="139"/>
      <c r="DU6" s="139"/>
      <c r="DV6" s="139"/>
      <c r="DW6" s="139"/>
      <c r="DX6" s="139"/>
      <c r="DY6" s="139"/>
      <c r="DZ6" s="141"/>
      <c r="EA6" s="142" t="s">
        <v>384</v>
      </c>
      <c r="EB6" s="143" t="s">
        <v>385</v>
      </c>
      <c r="EC6" s="123">
        <v>7000021</v>
      </c>
      <c r="ED6" s="144" t="s">
        <v>386</v>
      </c>
      <c r="EE6" s="145"/>
      <c r="EF6" s="145"/>
      <c r="EG6" s="145"/>
      <c r="EH6" s="145"/>
      <c r="EI6" s="144"/>
      <c r="EJ6" s="144"/>
      <c r="EK6" s="144"/>
      <c r="EL6" s="144"/>
      <c r="EM6" s="146"/>
      <c r="EN6" s="147"/>
      <c r="EO6" s="145"/>
      <c r="EP6" s="145"/>
      <c r="EQ6" s="144"/>
      <c r="ER6" s="145"/>
      <c r="ES6" s="145"/>
      <c r="ET6" s="144"/>
      <c r="EU6" s="129"/>
      <c r="EV6" s="131"/>
      <c r="EW6" s="131"/>
      <c r="EX6" s="131"/>
      <c r="EY6" s="131"/>
      <c r="EZ6" s="132"/>
      <c r="FA6" s="148"/>
      <c r="FB6" s="131"/>
      <c r="FC6" s="135"/>
      <c r="FD6" s="131"/>
      <c r="FE6" s="135"/>
      <c r="FF6" s="131"/>
      <c r="FG6" s="135"/>
      <c r="FH6" s="131"/>
      <c r="FI6" s="149"/>
      <c r="FJ6" s="150"/>
      <c r="FK6" s="151"/>
      <c r="FL6" s="118"/>
      <c r="FM6" s="135"/>
      <c r="FN6" s="118"/>
      <c r="FO6" s="151"/>
      <c r="FP6" s="118"/>
      <c r="FQ6" s="151"/>
      <c r="FR6" s="118"/>
      <c r="FS6" s="135"/>
      <c r="FT6" s="131"/>
      <c r="FU6" s="135"/>
      <c r="FV6" s="131"/>
      <c r="FW6" s="135"/>
      <c r="FX6" s="132"/>
      <c r="FY6" s="103"/>
      <c r="FZ6" s="99"/>
      <c r="GA6" s="99"/>
      <c r="GB6" s="99"/>
      <c r="GC6" s="99"/>
      <c r="GD6" s="99"/>
      <c r="GE6" s="99"/>
      <c r="GF6" s="99"/>
      <c r="GG6" s="99"/>
      <c r="GH6" s="99"/>
      <c r="GI6" s="99"/>
      <c r="GJ6" s="99"/>
      <c r="GK6" s="99"/>
      <c r="GL6" s="99"/>
      <c r="GM6" s="99"/>
      <c r="GN6" s="99"/>
      <c r="GO6" s="99"/>
      <c r="GP6" s="99"/>
      <c r="GQ6" s="99"/>
      <c r="GR6" s="99"/>
      <c r="GS6" s="99"/>
      <c r="GT6" s="99"/>
      <c r="GU6" s="99"/>
      <c r="GV6" s="104"/>
      <c r="GW6" s="103"/>
      <c r="GX6" s="99"/>
      <c r="GY6" s="99"/>
      <c r="GZ6" s="99"/>
      <c r="HA6" s="99"/>
      <c r="HB6" s="99"/>
      <c r="HC6" s="99"/>
      <c r="HD6" s="99"/>
      <c r="HE6" s="99"/>
      <c r="HF6" s="99"/>
      <c r="HG6" s="99"/>
      <c r="HH6" s="99"/>
      <c r="HI6" s="99"/>
      <c r="HJ6" s="99"/>
      <c r="HK6" s="99"/>
      <c r="HL6" s="99"/>
      <c r="HM6" s="99"/>
      <c r="HN6" s="99"/>
      <c r="HO6" s="99"/>
      <c r="HP6" s="99"/>
      <c r="HQ6" s="99"/>
      <c r="HR6" s="99"/>
      <c r="HS6" s="99"/>
      <c r="HT6" s="105"/>
      <c r="IG6" s="589"/>
      <c r="IH6" s="589"/>
      <c r="II6" s="589"/>
      <c r="IJ6" s="589"/>
      <c r="IK6" s="589"/>
      <c r="IL6" s="589"/>
      <c r="IM6" s="589"/>
      <c r="IN6" s="589"/>
      <c r="IO6" s="589"/>
      <c r="IP6" s="589"/>
      <c r="IQ6" s="589"/>
      <c r="IR6" s="589"/>
      <c r="JE6" s="589"/>
      <c r="JF6" s="589"/>
      <c r="JG6" s="589"/>
      <c r="JH6" s="589"/>
      <c r="JI6" s="589"/>
      <c r="JJ6" s="589"/>
      <c r="JK6" s="589"/>
      <c r="JL6" s="589"/>
      <c r="JM6" s="589"/>
      <c r="JN6" s="589"/>
      <c r="JO6" s="589"/>
      <c r="JP6" s="589"/>
    </row>
    <row r="7" spans="1:276" s="590" customFormat="1">
      <c r="A7" s="52">
        <f t="shared" si="2"/>
        <v>3</v>
      </c>
      <c r="B7" s="53" t="s">
        <v>206</v>
      </c>
      <c r="C7" s="54"/>
      <c r="D7" s="55" t="s">
        <v>209</v>
      </c>
      <c r="E7" s="106" t="s">
        <v>993</v>
      </c>
      <c r="F7" s="107"/>
      <c r="G7" s="58" t="s">
        <v>241</v>
      </c>
      <c r="H7" s="58" t="str">
        <f t="shared" si="0"/>
        <v>內湖區</v>
      </c>
      <c r="I7" s="56" t="s">
        <v>242</v>
      </c>
      <c r="J7" s="56" t="s">
        <v>243</v>
      </c>
      <c r="K7" s="56" t="s">
        <v>244</v>
      </c>
      <c r="L7" s="59">
        <v>108.46</v>
      </c>
      <c r="M7" s="109" t="s">
        <v>228</v>
      </c>
      <c r="N7" s="60">
        <f t="shared" si="3"/>
        <v>45126</v>
      </c>
      <c r="O7" s="60">
        <v>45491</v>
      </c>
      <c r="P7" s="152">
        <v>23000</v>
      </c>
      <c r="Q7" s="111">
        <v>8000</v>
      </c>
      <c r="R7" s="112" t="s">
        <v>230</v>
      </c>
      <c r="S7" s="153">
        <v>2400</v>
      </c>
      <c r="T7" s="65" t="s">
        <v>230</v>
      </c>
      <c r="U7" s="71">
        <v>2400</v>
      </c>
      <c r="V7" s="73" t="s">
        <v>245</v>
      </c>
      <c r="W7" s="153">
        <v>2400</v>
      </c>
      <c r="X7" s="70" t="s">
        <v>246</v>
      </c>
      <c r="Y7" s="153">
        <v>2400</v>
      </c>
      <c r="Z7" s="70" t="s">
        <v>247</v>
      </c>
      <c r="AA7" s="116">
        <v>2400</v>
      </c>
      <c r="AB7" s="73" t="s">
        <v>248</v>
      </c>
      <c r="AC7" s="71">
        <v>2400</v>
      </c>
      <c r="AD7" s="72" t="s">
        <v>234</v>
      </c>
      <c r="AE7" s="71">
        <v>2400</v>
      </c>
      <c r="AF7" s="72" t="s">
        <v>235</v>
      </c>
      <c r="AG7" s="153">
        <v>2400</v>
      </c>
      <c r="AH7" s="72" t="s">
        <v>236</v>
      </c>
      <c r="AI7" s="71">
        <v>2400</v>
      </c>
      <c r="AJ7" s="72" t="s">
        <v>569</v>
      </c>
      <c r="AK7" s="71">
        <v>2400</v>
      </c>
      <c r="AL7" s="72" t="s">
        <v>551</v>
      </c>
      <c r="AM7" s="71">
        <v>2400</v>
      </c>
      <c r="AN7" s="73" t="s">
        <v>640</v>
      </c>
      <c r="AO7" s="71">
        <v>2400</v>
      </c>
      <c r="AP7" s="73" t="s">
        <v>705</v>
      </c>
      <c r="AQ7" s="154"/>
      <c r="AR7" s="155"/>
      <c r="AS7" s="156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7"/>
      <c r="BO7" s="154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  <c r="CJ7" s="155"/>
      <c r="CK7" s="155"/>
      <c r="CL7" s="158"/>
      <c r="CM7" s="159" t="s">
        <v>319</v>
      </c>
      <c r="CN7" s="160" t="s">
        <v>320</v>
      </c>
      <c r="CO7" s="161" t="s">
        <v>321</v>
      </c>
      <c r="CP7" s="162" t="s">
        <v>322</v>
      </c>
      <c r="CQ7" s="126" t="s">
        <v>323</v>
      </c>
      <c r="CR7" s="127"/>
      <c r="CS7" s="128"/>
      <c r="CT7" s="129"/>
      <c r="CU7" s="73"/>
      <c r="CV7" s="130"/>
      <c r="CW7" s="131"/>
      <c r="CX7" s="131"/>
      <c r="CY7" s="132"/>
      <c r="CZ7" s="148">
        <v>6930</v>
      </c>
      <c r="DA7" s="134" t="s">
        <v>300</v>
      </c>
      <c r="DB7" s="135">
        <v>3070</v>
      </c>
      <c r="DC7" s="137" t="s">
        <v>742</v>
      </c>
      <c r="DD7" s="135"/>
      <c r="DE7" s="137"/>
      <c r="DF7" s="135"/>
      <c r="DG7" s="137"/>
      <c r="DH7" s="92">
        <f t="shared" si="1"/>
        <v>0</v>
      </c>
      <c r="DI7" s="138"/>
      <c r="DJ7" s="139"/>
      <c r="DK7" s="139"/>
      <c r="DL7" s="139"/>
      <c r="DM7" s="139"/>
      <c r="DN7" s="139"/>
      <c r="DO7" s="139"/>
      <c r="DP7" s="139"/>
      <c r="DQ7" s="140"/>
      <c r="DR7" s="138"/>
      <c r="DS7" s="139"/>
      <c r="DT7" s="139"/>
      <c r="DU7" s="139"/>
      <c r="DV7" s="139"/>
      <c r="DW7" s="139"/>
      <c r="DX7" s="139"/>
      <c r="DY7" s="139"/>
      <c r="DZ7" s="141"/>
      <c r="EA7" s="163" t="s">
        <v>387</v>
      </c>
      <c r="EB7" s="164" t="s">
        <v>388</v>
      </c>
      <c r="EC7" s="160">
        <v>7000021</v>
      </c>
      <c r="ED7" s="165" t="s">
        <v>389</v>
      </c>
      <c r="EE7" s="166" t="s">
        <v>390</v>
      </c>
      <c r="EF7" s="166" t="s">
        <v>391</v>
      </c>
      <c r="EG7" s="166" t="s">
        <v>392</v>
      </c>
      <c r="EH7" s="166" t="s">
        <v>393</v>
      </c>
      <c r="EI7" s="165" t="s">
        <v>394</v>
      </c>
      <c r="EJ7" s="165" t="s">
        <v>395</v>
      </c>
      <c r="EK7" s="165" t="s">
        <v>396</v>
      </c>
      <c r="EL7" s="165" t="s">
        <v>397</v>
      </c>
      <c r="EM7" s="167" t="s">
        <v>398</v>
      </c>
      <c r="EN7" s="168"/>
      <c r="EO7" s="166"/>
      <c r="EP7" s="166"/>
      <c r="EQ7" s="165"/>
      <c r="ER7" s="169"/>
      <c r="ES7" s="169"/>
      <c r="ET7" s="170"/>
      <c r="EU7" s="171"/>
      <c r="EV7" s="99"/>
      <c r="EW7" s="99"/>
      <c r="EX7" s="99"/>
      <c r="EY7" s="99"/>
      <c r="EZ7" s="104"/>
      <c r="FA7" s="172"/>
      <c r="FB7" s="173"/>
      <c r="FC7" s="135"/>
      <c r="FD7" s="131"/>
      <c r="FE7" s="135"/>
      <c r="FF7" s="131"/>
      <c r="FG7" s="174"/>
      <c r="FH7" s="99"/>
      <c r="FI7" s="149"/>
      <c r="FJ7" s="150"/>
      <c r="FK7" s="151"/>
      <c r="FL7" s="118"/>
      <c r="FM7" s="135"/>
      <c r="FN7" s="118"/>
      <c r="FO7" s="151"/>
      <c r="FP7" s="118"/>
      <c r="FQ7" s="151"/>
      <c r="FR7" s="118"/>
      <c r="FS7" s="135"/>
      <c r="FT7" s="131"/>
      <c r="FU7" s="174"/>
      <c r="FV7" s="99"/>
      <c r="FW7" s="135"/>
      <c r="FX7" s="104"/>
      <c r="FY7" s="103"/>
      <c r="FZ7" s="99"/>
      <c r="GA7" s="99"/>
      <c r="GB7" s="99"/>
      <c r="GC7" s="99"/>
      <c r="GD7" s="99"/>
      <c r="GE7" s="99"/>
      <c r="GF7" s="99"/>
      <c r="GG7" s="99"/>
      <c r="GH7" s="99"/>
      <c r="GI7" s="99"/>
      <c r="GJ7" s="99"/>
      <c r="GK7" s="99"/>
      <c r="GL7" s="99"/>
      <c r="GM7" s="99"/>
      <c r="GN7" s="99"/>
      <c r="GO7" s="99"/>
      <c r="GP7" s="99"/>
      <c r="GQ7" s="99"/>
      <c r="GR7" s="99"/>
      <c r="GS7" s="99"/>
      <c r="GT7" s="99"/>
      <c r="GU7" s="99"/>
      <c r="GV7" s="104"/>
      <c r="GW7" s="103"/>
      <c r="GX7" s="99"/>
      <c r="GY7" s="99"/>
      <c r="GZ7" s="99"/>
      <c r="HA7" s="99"/>
      <c r="HB7" s="99"/>
      <c r="HC7" s="99"/>
      <c r="HD7" s="99"/>
      <c r="HE7" s="99"/>
      <c r="HF7" s="99"/>
      <c r="HG7" s="99"/>
      <c r="HH7" s="99"/>
      <c r="HI7" s="99"/>
      <c r="HJ7" s="99"/>
      <c r="HK7" s="99"/>
      <c r="HL7" s="99"/>
      <c r="HM7" s="99"/>
      <c r="HN7" s="99"/>
      <c r="HO7" s="99"/>
      <c r="HP7" s="99"/>
      <c r="HQ7" s="99"/>
      <c r="HR7" s="99"/>
      <c r="HS7" s="99"/>
      <c r="HT7" s="105"/>
      <c r="IG7" s="589"/>
      <c r="IH7" s="589"/>
      <c r="II7" s="589"/>
      <c r="IJ7" s="589"/>
      <c r="IK7" s="589"/>
      <c r="IL7" s="589"/>
      <c r="IM7" s="589"/>
      <c r="IN7" s="589"/>
      <c r="IO7" s="589"/>
      <c r="IP7" s="589"/>
      <c r="IQ7" s="589"/>
      <c r="IR7" s="589"/>
      <c r="JE7" s="589"/>
      <c r="JF7" s="589"/>
      <c r="JG7" s="589"/>
      <c r="JH7" s="589"/>
      <c r="JI7" s="589"/>
      <c r="JJ7" s="589"/>
      <c r="JK7" s="589"/>
      <c r="JL7" s="589"/>
      <c r="JM7" s="589"/>
      <c r="JN7" s="589"/>
      <c r="JO7" s="589"/>
      <c r="JP7" s="589"/>
    </row>
    <row r="8" spans="1:276" s="590" customFormat="1">
      <c r="A8" s="52">
        <f t="shared" si="2"/>
        <v>4</v>
      </c>
      <c r="B8" s="142" t="s">
        <v>206</v>
      </c>
      <c r="C8" s="54"/>
      <c r="D8" s="128" t="s">
        <v>210</v>
      </c>
      <c r="E8" s="106" t="s">
        <v>993</v>
      </c>
      <c r="F8" s="57"/>
      <c r="G8" s="58" t="s">
        <v>249</v>
      </c>
      <c r="H8" s="58" t="str">
        <f t="shared" si="0"/>
        <v>內湖區</v>
      </c>
      <c r="I8" s="56" t="s">
        <v>250</v>
      </c>
      <c r="J8" s="56" t="s">
        <v>251</v>
      </c>
      <c r="K8" s="56" t="s">
        <v>252</v>
      </c>
      <c r="L8" s="59">
        <v>85.32</v>
      </c>
      <c r="M8" s="56" t="s">
        <v>228</v>
      </c>
      <c r="N8" s="60">
        <f t="shared" si="3"/>
        <v>45139</v>
      </c>
      <c r="O8" s="60">
        <v>45504</v>
      </c>
      <c r="P8" s="175">
        <v>20000</v>
      </c>
      <c r="Q8" s="111">
        <v>8000</v>
      </c>
      <c r="R8" s="112" t="s">
        <v>230</v>
      </c>
      <c r="S8" s="71">
        <v>2400</v>
      </c>
      <c r="T8" s="73" t="s">
        <v>230</v>
      </c>
      <c r="U8" s="71">
        <v>2400</v>
      </c>
      <c r="V8" s="73" t="s">
        <v>231</v>
      </c>
      <c r="W8" s="71">
        <v>2400</v>
      </c>
      <c r="X8" s="73" t="s">
        <v>232</v>
      </c>
      <c r="Y8" s="71">
        <v>2400</v>
      </c>
      <c r="Z8" s="73" t="s">
        <v>233</v>
      </c>
      <c r="AA8" s="176">
        <v>2400</v>
      </c>
      <c r="AB8" s="72" t="s">
        <v>234</v>
      </c>
      <c r="AC8" s="71">
        <v>2400</v>
      </c>
      <c r="AD8" s="72" t="s">
        <v>235</v>
      </c>
      <c r="AE8" s="71">
        <v>2400</v>
      </c>
      <c r="AF8" s="72" t="s">
        <v>236</v>
      </c>
      <c r="AG8" s="71">
        <v>2400</v>
      </c>
      <c r="AH8" s="72" t="s">
        <v>569</v>
      </c>
      <c r="AI8" s="71">
        <v>2400</v>
      </c>
      <c r="AJ8" s="72" t="s">
        <v>551</v>
      </c>
      <c r="AK8" s="71">
        <v>2400</v>
      </c>
      <c r="AL8" s="73" t="s">
        <v>639</v>
      </c>
      <c r="AM8" s="71">
        <v>2400</v>
      </c>
      <c r="AN8" s="73" t="s">
        <v>652</v>
      </c>
      <c r="AO8" s="71">
        <v>2400</v>
      </c>
      <c r="AP8" s="73" t="s">
        <v>782</v>
      </c>
      <c r="AQ8" s="177"/>
      <c r="AR8" s="131"/>
      <c r="AS8" s="130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2"/>
      <c r="BO8" s="177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78"/>
      <c r="CM8" s="179" t="s">
        <v>324</v>
      </c>
      <c r="CN8" s="180" t="s">
        <v>325</v>
      </c>
      <c r="CO8" s="180">
        <v>8220141</v>
      </c>
      <c r="CP8" s="181" t="s">
        <v>326</v>
      </c>
      <c r="CQ8" s="126" t="s">
        <v>327</v>
      </c>
      <c r="CR8" s="127"/>
      <c r="CS8" s="128"/>
      <c r="CT8" s="129"/>
      <c r="CU8" s="73"/>
      <c r="CV8" s="85"/>
      <c r="CW8" s="86"/>
      <c r="CX8" s="86"/>
      <c r="CY8" s="87"/>
      <c r="CZ8" s="88"/>
      <c r="DA8" s="134"/>
      <c r="DB8" s="135"/>
      <c r="DC8" s="137"/>
      <c r="DD8" s="135"/>
      <c r="DE8" s="91"/>
      <c r="DF8" s="90"/>
      <c r="DG8" s="91"/>
      <c r="DH8" s="92">
        <f t="shared" si="1"/>
        <v>10000</v>
      </c>
      <c r="DI8" s="93"/>
      <c r="DJ8" s="94"/>
      <c r="DK8" s="94"/>
      <c r="DL8" s="94"/>
      <c r="DM8" s="94"/>
      <c r="DN8" s="94"/>
      <c r="DO8" s="94"/>
      <c r="DP8" s="94"/>
      <c r="DQ8" s="95"/>
      <c r="DR8" s="93"/>
      <c r="DS8" s="94"/>
      <c r="DT8" s="94"/>
      <c r="DU8" s="94"/>
      <c r="DV8" s="94"/>
      <c r="DW8" s="94"/>
      <c r="DX8" s="94"/>
      <c r="DY8" s="94"/>
      <c r="DZ8" s="96"/>
      <c r="EA8" s="142" t="s">
        <v>399</v>
      </c>
      <c r="EB8" s="180" t="s">
        <v>400</v>
      </c>
      <c r="EC8" s="180">
        <v>8080129</v>
      </c>
      <c r="ED8" s="182" t="s">
        <v>401</v>
      </c>
      <c r="EE8" s="180"/>
      <c r="EF8" s="180"/>
      <c r="EG8" s="180"/>
      <c r="EH8" s="180"/>
      <c r="EI8" s="182"/>
      <c r="EJ8" s="182"/>
      <c r="EK8" s="182"/>
      <c r="EL8" s="182"/>
      <c r="EM8" s="183"/>
      <c r="EN8" s="184"/>
      <c r="EO8" s="180"/>
      <c r="EP8" s="180"/>
      <c r="EQ8" s="182"/>
      <c r="ER8" s="180"/>
      <c r="ES8" s="180"/>
      <c r="ET8" s="182"/>
      <c r="EU8" s="129"/>
      <c r="EV8" s="131"/>
      <c r="EW8" s="185"/>
      <c r="EX8" s="185"/>
      <c r="EY8" s="185"/>
      <c r="EZ8" s="186"/>
      <c r="FA8" s="187"/>
      <c r="FB8" s="131"/>
      <c r="FC8" s="188"/>
      <c r="FD8" s="185"/>
      <c r="FE8" s="188"/>
      <c r="FF8" s="131"/>
      <c r="FG8" s="188"/>
      <c r="FH8" s="185"/>
      <c r="FI8" s="149"/>
      <c r="FJ8" s="149"/>
      <c r="FK8" s="135"/>
      <c r="FL8" s="131"/>
      <c r="FM8" s="135"/>
      <c r="FN8" s="99"/>
      <c r="FO8" s="151"/>
      <c r="FP8" s="99"/>
      <c r="FQ8" s="151"/>
      <c r="FR8" s="131"/>
      <c r="FS8" s="90"/>
      <c r="FT8" s="99"/>
      <c r="FU8" s="135"/>
      <c r="FV8" s="185"/>
      <c r="FW8" s="174"/>
      <c r="FX8" s="186"/>
      <c r="FY8" s="103"/>
      <c r="FZ8" s="99"/>
      <c r="GA8" s="99"/>
      <c r="GB8" s="99"/>
      <c r="GC8" s="99"/>
      <c r="GD8" s="99"/>
      <c r="GE8" s="99"/>
      <c r="GF8" s="99"/>
      <c r="GG8" s="99"/>
      <c r="GH8" s="99"/>
      <c r="GI8" s="99"/>
      <c r="GJ8" s="99"/>
      <c r="GK8" s="99"/>
      <c r="GL8" s="99"/>
      <c r="GM8" s="99"/>
      <c r="GN8" s="99"/>
      <c r="GO8" s="99"/>
      <c r="GP8" s="99"/>
      <c r="GQ8" s="99"/>
      <c r="GR8" s="99"/>
      <c r="GS8" s="99"/>
      <c r="GT8" s="99"/>
      <c r="GU8" s="99"/>
      <c r="GV8" s="104"/>
      <c r="GW8" s="103"/>
      <c r="GX8" s="99"/>
      <c r="GY8" s="99"/>
      <c r="GZ8" s="99"/>
      <c r="HA8" s="99"/>
      <c r="HB8" s="99"/>
      <c r="HC8" s="99"/>
      <c r="HD8" s="99"/>
      <c r="HE8" s="99"/>
      <c r="HF8" s="99"/>
      <c r="HG8" s="99"/>
      <c r="HH8" s="99"/>
      <c r="HI8" s="99"/>
      <c r="HJ8" s="99"/>
      <c r="HK8" s="99"/>
      <c r="HL8" s="99"/>
      <c r="HM8" s="99"/>
      <c r="HN8" s="99"/>
      <c r="HO8" s="99"/>
      <c r="HP8" s="99"/>
      <c r="HQ8" s="99"/>
      <c r="HR8" s="99"/>
      <c r="HS8" s="99"/>
      <c r="HT8" s="105"/>
      <c r="IG8" s="589"/>
      <c r="IH8" s="589"/>
      <c r="II8" s="589"/>
      <c r="IJ8" s="589"/>
      <c r="IK8" s="589"/>
      <c r="IL8" s="589"/>
      <c r="IM8" s="589"/>
      <c r="IN8" s="589"/>
      <c r="IO8" s="589"/>
      <c r="IP8" s="589"/>
      <c r="IQ8" s="589"/>
      <c r="IR8" s="589"/>
      <c r="JD8" s="589"/>
      <c r="JE8" s="589"/>
      <c r="JF8" s="589"/>
      <c r="JG8" s="589"/>
      <c r="JH8" s="589"/>
      <c r="JI8" s="589"/>
      <c r="JJ8" s="589"/>
      <c r="JK8" s="589"/>
      <c r="JL8" s="589"/>
      <c r="JM8" s="589"/>
      <c r="JN8" s="589"/>
      <c r="JO8" s="589"/>
      <c r="JP8" s="589"/>
    </row>
    <row r="9" spans="1:276" s="590" customFormat="1">
      <c r="A9" s="52">
        <f t="shared" si="2"/>
        <v>5</v>
      </c>
      <c r="B9" s="142" t="s">
        <v>206</v>
      </c>
      <c r="C9" s="54"/>
      <c r="D9" s="128" t="s">
        <v>211</v>
      </c>
      <c r="E9" s="106" t="s">
        <v>993</v>
      </c>
      <c r="F9" s="57"/>
      <c r="G9" s="58" t="s">
        <v>253</v>
      </c>
      <c r="H9" s="58" t="str">
        <f t="shared" si="0"/>
        <v>中山區</v>
      </c>
      <c r="I9" s="56" t="s">
        <v>254</v>
      </c>
      <c r="J9" s="56" t="s">
        <v>255</v>
      </c>
      <c r="K9" s="56" t="s">
        <v>256</v>
      </c>
      <c r="L9" s="59">
        <v>46.27</v>
      </c>
      <c r="M9" s="56" t="s">
        <v>228</v>
      </c>
      <c r="N9" s="60">
        <f t="shared" si="3"/>
        <v>45139</v>
      </c>
      <c r="O9" s="60">
        <v>45504</v>
      </c>
      <c r="P9" s="61">
        <v>15000</v>
      </c>
      <c r="Q9" s="111">
        <v>16000</v>
      </c>
      <c r="R9" s="73" t="s">
        <v>245</v>
      </c>
      <c r="S9" s="71">
        <v>2400</v>
      </c>
      <c r="T9" s="73" t="s">
        <v>245</v>
      </c>
      <c r="U9" s="71">
        <v>2400</v>
      </c>
      <c r="V9" s="73" t="s">
        <v>231</v>
      </c>
      <c r="W9" s="71">
        <v>2400</v>
      </c>
      <c r="X9" s="73" t="s">
        <v>232</v>
      </c>
      <c r="Y9" s="71">
        <v>2400</v>
      </c>
      <c r="Z9" s="73" t="s">
        <v>233</v>
      </c>
      <c r="AA9" s="116">
        <v>2400</v>
      </c>
      <c r="AB9" s="73" t="s">
        <v>234</v>
      </c>
      <c r="AC9" s="71">
        <v>2400</v>
      </c>
      <c r="AD9" s="72" t="s">
        <v>235</v>
      </c>
      <c r="AE9" s="71">
        <v>2400</v>
      </c>
      <c r="AF9" s="72" t="s">
        <v>236</v>
      </c>
      <c r="AG9" s="71">
        <v>2400</v>
      </c>
      <c r="AH9" s="72" t="s">
        <v>569</v>
      </c>
      <c r="AI9" s="71">
        <v>2400</v>
      </c>
      <c r="AJ9" s="72" t="s">
        <v>551</v>
      </c>
      <c r="AK9" s="71">
        <v>2400</v>
      </c>
      <c r="AL9" s="73" t="s">
        <v>639</v>
      </c>
      <c r="AM9" s="71">
        <v>2400</v>
      </c>
      <c r="AN9" s="73" t="s">
        <v>652</v>
      </c>
      <c r="AO9" s="71">
        <v>2400</v>
      </c>
      <c r="AP9" s="73" t="s">
        <v>782</v>
      </c>
      <c r="AQ9" s="74"/>
      <c r="AR9" s="75"/>
      <c r="AS9" s="76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7"/>
      <c r="BO9" s="74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8"/>
      <c r="CM9" s="54" t="s">
        <v>328</v>
      </c>
      <c r="CN9" s="79" t="s">
        <v>329</v>
      </c>
      <c r="CO9" s="80">
        <v>8080211</v>
      </c>
      <c r="CP9" s="81" t="s">
        <v>330</v>
      </c>
      <c r="CQ9" s="126" t="s">
        <v>331</v>
      </c>
      <c r="CR9" s="83"/>
      <c r="CS9" s="55"/>
      <c r="CT9" s="84"/>
      <c r="CU9" s="68"/>
      <c r="CV9" s="85"/>
      <c r="CW9" s="86"/>
      <c r="CX9" s="86"/>
      <c r="CY9" s="87"/>
      <c r="CZ9" s="88"/>
      <c r="DA9" s="134"/>
      <c r="DB9" s="135"/>
      <c r="DC9" s="137"/>
      <c r="DD9" s="135"/>
      <c r="DE9" s="91"/>
      <c r="DF9" s="90"/>
      <c r="DG9" s="91"/>
      <c r="DH9" s="92">
        <f t="shared" si="1"/>
        <v>10000</v>
      </c>
      <c r="DI9" s="93"/>
      <c r="DJ9" s="94"/>
      <c r="DK9" s="94"/>
      <c r="DL9" s="94"/>
      <c r="DM9" s="94"/>
      <c r="DN9" s="94"/>
      <c r="DO9" s="94"/>
      <c r="DP9" s="94"/>
      <c r="DQ9" s="95"/>
      <c r="DR9" s="93"/>
      <c r="DS9" s="94"/>
      <c r="DT9" s="94"/>
      <c r="DU9" s="94"/>
      <c r="DV9" s="94"/>
      <c r="DW9" s="94"/>
      <c r="DX9" s="94"/>
      <c r="DY9" s="94"/>
      <c r="DZ9" s="96"/>
      <c r="EA9" s="142" t="s">
        <v>402</v>
      </c>
      <c r="EB9" s="97" t="s">
        <v>403</v>
      </c>
      <c r="EC9" s="97">
        <v>8220060</v>
      </c>
      <c r="ED9" s="182" t="s">
        <v>404</v>
      </c>
      <c r="EE9" s="180"/>
      <c r="EF9" s="180"/>
      <c r="EG9" s="180"/>
      <c r="EH9" s="180"/>
      <c r="EI9" s="182"/>
      <c r="EJ9" s="182"/>
      <c r="EK9" s="182"/>
      <c r="EL9" s="182"/>
      <c r="EM9" s="183"/>
      <c r="EN9" s="184"/>
      <c r="EO9" s="180"/>
      <c r="EP9" s="180"/>
      <c r="EQ9" s="182"/>
      <c r="ER9" s="79"/>
      <c r="ES9" s="79"/>
      <c r="ET9" s="97"/>
      <c r="EU9" s="84"/>
      <c r="EV9" s="86"/>
      <c r="EW9" s="86"/>
      <c r="EX9" s="86"/>
      <c r="EY9" s="86"/>
      <c r="EZ9" s="87"/>
      <c r="FA9" s="148"/>
      <c r="FB9" s="131"/>
      <c r="FC9" s="135"/>
      <c r="FD9" s="131"/>
      <c r="FE9" s="135"/>
      <c r="FF9" s="86"/>
      <c r="FG9" s="135"/>
      <c r="FH9" s="131"/>
      <c r="FI9" s="149"/>
      <c r="FJ9" s="150"/>
      <c r="FK9" s="151"/>
      <c r="FL9" s="118"/>
      <c r="FM9" s="135"/>
      <c r="FN9" s="118"/>
      <c r="FO9" s="151"/>
      <c r="FP9" s="118"/>
      <c r="FQ9" s="151"/>
      <c r="FR9" s="118"/>
      <c r="FS9" s="90"/>
      <c r="FT9" s="131"/>
      <c r="FU9" s="135"/>
      <c r="FV9" s="131"/>
      <c r="FW9" s="135"/>
      <c r="FX9" s="132"/>
      <c r="FY9" s="103"/>
      <c r="FZ9" s="99"/>
      <c r="GA9" s="99"/>
      <c r="GB9" s="99"/>
      <c r="GC9" s="99"/>
      <c r="GD9" s="99"/>
      <c r="GE9" s="99"/>
      <c r="GF9" s="99"/>
      <c r="GG9" s="99"/>
      <c r="GH9" s="99"/>
      <c r="GI9" s="99"/>
      <c r="GJ9" s="99"/>
      <c r="GK9" s="99"/>
      <c r="GL9" s="99"/>
      <c r="GM9" s="99"/>
      <c r="GN9" s="99"/>
      <c r="GO9" s="99"/>
      <c r="GP9" s="99"/>
      <c r="GQ9" s="99"/>
      <c r="GR9" s="99"/>
      <c r="GS9" s="99"/>
      <c r="GT9" s="99"/>
      <c r="GU9" s="99"/>
      <c r="GV9" s="104"/>
      <c r="GW9" s="103"/>
      <c r="GX9" s="99"/>
      <c r="GY9" s="99"/>
      <c r="GZ9" s="99"/>
      <c r="HA9" s="99"/>
      <c r="HB9" s="99"/>
      <c r="HC9" s="99"/>
      <c r="HD9" s="99"/>
      <c r="HE9" s="99"/>
      <c r="HF9" s="99"/>
      <c r="HG9" s="99"/>
      <c r="HH9" s="99"/>
      <c r="HI9" s="99"/>
      <c r="HJ9" s="99"/>
      <c r="HK9" s="99"/>
      <c r="HL9" s="99"/>
      <c r="HM9" s="99"/>
      <c r="HN9" s="99"/>
      <c r="HO9" s="99"/>
      <c r="HP9" s="99"/>
      <c r="HQ9" s="99"/>
      <c r="HR9" s="99"/>
      <c r="HS9" s="99"/>
      <c r="HT9" s="105"/>
      <c r="IG9" s="589"/>
      <c r="IH9" s="589"/>
      <c r="II9" s="589"/>
      <c r="IJ9" s="589"/>
      <c r="IK9" s="589"/>
      <c r="IL9" s="589"/>
      <c r="IM9" s="589"/>
      <c r="IN9" s="589"/>
      <c r="IO9" s="589"/>
      <c r="IP9" s="589"/>
      <c r="IQ9" s="589"/>
      <c r="IR9" s="589"/>
      <c r="JD9" s="589"/>
      <c r="JE9" s="589"/>
      <c r="JF9" s="589"/>
      <c r="JG9" s="589"/>
      <c r="JH9" s="589"/>
      <c r="JI9" s="589"/>
      <c r="JJ9" s="589"/>
      <c r="JK9" s="589"/>
      <c r="JL9" s="589"/>
      <c r="JM9" s="589"/>
      <c r="JN9" s="589"/>
      <c r="JO9" s="589"/>
      <c r="JP9" s="589"/>
    </row>
    <row r="10" spans="1:276" s="590" customFormat="1">
      <c r="A10" s="52">
        <f t="shared" si="2"/>
        <v>6</v>
      </c>
      <c r="B10" s="142" t="s">
        <v>206</v>
      </c>
      <c r="C10" s="54"/>
      <c r="D10" s="128" t="s">
        <v>212</v>
      </c>
      <c r="E10" s="106" t="s">
        <v>993</v>
      </c>
      <c r="F10" s="57"/>
      <c r="G10" s="58" t="s">
        <v>257</v>
      </c>
      <c r="H10" s="56" t="str">
        <f t="shared" si="0"/>
        <v>大安區</v>
      </c>
      <c r="I10" s="56" t="s">
        <v>258</v>
      </c>
      <c r="J10" s="56" t="s">
        <v>259</v>
      </c>
      <c r="K10" s="56" t="s">
        <v>260</v>
      </c>
      <c r="L10" s="59">
        <v>99.64</v>
      </c>
      <c r="M10" s="56" t="s">
        <v>228</v>
      </c>
      <c r="N10" s="60">
        <f t="shared" si="3"/>
        <v>45170</v>
      </c>
      <c r="O10" s="60">
        <v>45535</v>
      </c>
      <c r="P10" s="175">
        <v>35000</v>
      </c>
      <c r="Q10" s="71">
        <v>4000</v>
      </c>
      <c r="R10" s="112" t="s">
        <v>231</v>
      </c>
      <c r="S10" s="71">
        <v>2400</v>
      </c>
      <c r="T10" s="73" t="s">
        <v>231</v>
      </c>
      <c r="U10" s="71">
        <v>2400</v>
      </c>
      <c r="V10" s="73" t="s">
        <v>232</v>
      </c>
      <c r="W10" s="71">
        <v>2400</v>
      </c>
      <c r="X10" s="73" t="s">
        <v>233</v>
      </c>
      <c r="Y10" s="71">
        <v>2400</v>
      </c>
      <c r="Z10" s="73" t="s">
        <v>234</v>
      </c>
      <c r="AA10" s="71">
        <v>2400</v>
      </c>
      <c r="AB10" s="73" t="s">
        <v>235</v>
      </c>
      <c r="AC10" s="71">
        <v>2400</v>
      </c>
      <c r="AD10" s="73" t="s">
        <v>236</v>
      </c>
      <c r="AE10" s="71">
        <v>2400</v>
      </c>
      <c r="AF10" s="72" t="s">
        <v>569</v>
      </c>
      <c r="AG10" s="71">
        <v>2400</v>
      </c>
      <c r="AH10" s="72" t="s">
        <v>551</v>
      </c>
      <c r="AI10" s="71">
        <v>2400</v>
      </c>
      <c r="AJ10" s="73" t="s">
        <v>639</v>
      </c>
      <c r="AK10" s="71">
        <v>2400</v>
      </c>
      <c r="AL10" s="73" t="s">
        <v>652</v>
      </c>
      <c r="AM10" s="71">
        <v>2400</v>
      </c>
      <c r="AN10" s="73" t="s">
        <v>782</v>
      </c>
      <c r="AO10" s="71">
        <v>2400</v>
      </c>
      <c r="AP10" s="73" t="s">
        <v>806</v>
      </c>
      <c r="AQ10" s="177"/>
      <c r="AR10" s="131"/>
      <c r="AS10" s="130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  <c r="BM10" s="131"/>
      <c r="BN10" s="132"/>
      <c r="BO10" s="177"/>
      <c r="BP10" s="131"/>
      <c r="BQ10" s="131"/>
      <c r="BR10" s="131"/>
      <c r="BS10" s="131"/>
      <c r="BT10" s="131"/>
      <c r="BU10" s="131"/>
      <c r="BV10" s="131"/>
      <c r="BW10" s="131"/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78"/>
      <c r="CM10" s="179" t="s">
        <v>332</v>
      </c>
      <c r="CN10" s="180" t="s">
        <v>333</v>
      </c>
      <c r="CO10" s="184">
        <v>8080532</v>
      </c>
      <c r="CP10" s="181" t="s">
        <v>334</v>
      </c>
      <c r="CQ10" s="126" t="s">
        <v>335</v>
      </c>
      <c r="CR10" s="127"/>
      <c r="CS10" s="128"/>
      <c r="CT10" s="129">
        <v>4500</v>
      </c>
      <c r="CU10" s="73" t="s">
        <v>231</v>
      </c>
      <c r="CV10" s="130"/>
      <c r="CW10" s="131"/>
      <c r="CX10" s="131"/>
      <c r="CY10" s="132"/>
      <c r="CZ10" s="71">
        <v>10000</v>
      </c>
      <c r="DA10" s="134" t="s">
        <v>380</v>
      </c>
      <c r="DB10" s="135"/>
      <c r="DC10" s="137"/>
      <c r="DD10" s="135"/>
      <c r="DE10" s="137"/>
      <c r="DF10" s="135"/>
      <c r="DG10" s="137"/>
      <c r="DH10" s="92">
        <f t="shared" si="1"/>
        <v>0</v>
      </c>
      <c r="DI10" s="129"/>
      <c r="DJ10" s="135"/>
      <c r="DK10" s="135"/>
      <c r="DL10" s="135"/>
      <c r="DM10" s="135"/>
      <c r="DN10" s="135"/>
      <c r="DO10" s="135"/>
      <c r="DP10" s="135"/>
      <c r="DQ10" s="189"/>
      <c r="DR10" s="129"/>
      <c r="DS10" s="135"/>
      <c r="DT10" s="135"/>
      <c r="DU10" s="135"/>
      <c r="DV10" s="135"/>
      <c r="DW10" s="135"/>
      <c r="DX10" s="135"/>
      <c r="DY10" s="135"/>
      <c r="DZ10" s="190"/>
      <c r="EA10" s="142" t="s">
        <v>405</v>
      </c>
      <c r="EB10" s="182" t="s">
        <v>406</v>
      </c>
      <c r="EC10" s="182">
        <v>7000021</v>
      </c>
      <c r="ED10" s="182" t="s">
        <v>407</v>
      </c>
      <c r="EE10" s="180" t="s">
        <v>408</v>
      </c>
      <c r="EF10" s="180" t="s">
        <v>409</v>
      </c>
      <c r="EG10" s="180" t="s">
        <v>410</v>
      </c>
      <c r="EH10" s="180" t="s">
        <v>411</v>
      </c>
      <c r="EI10" s="182" t="s">
        <v>412</v>
      </c>
      <c r="EJ10" s="182" t="s">
        <v>413</v>
      </c>
      <c r="EK10" s="182" t="s">
        <v>414</v>
      </c>
      <c r="EL10" s="182" t="s">
        <v>415</v>
      </c>
      <c r="EM10" s="183" t="s">
        <v>398</v>
      </c>
      <c r="EN10" s="184"/>
      <c r="EO10" s="180"/>
      <c r="EP10" s="180"/>
      <c r="EQ10" s="182"/>
      <c r="ER10" s="180"/>
      <c r="ES10" s="180"/>
      <c r="ET10" s="182"/>
      <c r="EU10" s="129"/>
      <c r="EV10" s="131"/>
      <c r="EW10" s="131"/>
      <c r="EX10" s="131"/>
      <c r="EY10" s="131"/>
      <c r="EZ10" s="132"/>
      <c r="FA10" s="148"/>
      <c r="FB10" s="131"/>
      <c r="FC10" s="135"/>
      <c r="FD10" s="131"/>
      <c r="FE10" s="135"/>
      <c r="FF10" s="131"/>
      <c r="FG10" s="135"/>
      <c r="FH10" s="131"/>
      <c r="FI10" s="135"/>
      <c r="FJ10" s="131"/>
      <c r="FK10" s="135"/>
      <c r="FL10" s="131"/>
      <c r="FM10" s="135"/>
      <c r="FN10" s="131"/>
      <c r="FO10" s="135"/>
      <c r="FP10" s="131"/>
      <c r="FQ10" s="135"/>
      <c r="FR10" s="131"/>
      <c r="FS10" s="135"/>
      <c r="FT10" s="131"/>
      <c r="FU10" s="135"/>
      <c r="FV10" s="131"/>
      <c r="FW10" s="135"/>
      <c r="FX10" s="132"/>
      <c r="FY10" s="103"/>
      <c r="FZ10" s="99"/>
      <c r="GA10" s="99"/>
      <c r="GB10" s="99"/>
      <c r="GC10" s="99"/>
      <c r="GD10" s="99"/>
      <c r="GE10" s="99"/>
      <c r="GF10" s="99"/>
      <c r="GG10" s="99"/>
      <c r="GH10" s="99"/>
      <c r="GI10" s="99"/>
      <c r="GJ10" s="99"/>
      <c r="GK10" s="99"/>
      <c r="GL10" s="99"/>
      <c r="GM10" s="99"/>
      <c r="GN10" s="99"/>
      <c r="GO10" s="99"/>
      <c r="GP10" s="99"/>
      <c r="GQ10" s="99"/>
      <c r="GR10" s="99"/>
      <c r="GS10" s="99"/>
      <c r="GT10" s="99"/>
      <c r="GU10" s="99"/>
      <c r="GV10" s="104"/>
      <c r="GW10" s="103"/>
      <c r="GX10" s="99"/>
      <c r="GY10" s="99"/>
      <c r="GZ10" s="99"/>
      <c r="HA10" s="99"/>
      <c r="HB10" s="99"/>
      <c r="HC10" s="99"/>
      <c r="HD10" s="99"/>
      <c r="HE10" s="99"/>
      <c r="HF10" s="99"/>
      <c r="HG10" s="99"/>
      <c r="HH10" s="99"/>
      <c r="HI10" s="99"/>
      <c r="HJ10" s="99"/>
      <c r="HK10" s="99"/>
      <c r="HL10" s="99"/>
      <c r="HM10" s="99"/>
      <c r="HN10" s="99"/>
      <c r="HO10" s="99"/>
      <c r="HP10" s="99"/>
      <c r="HQ10" s="99"/>
      <c r="HR10" s="99"/>
      <c r="HS10" s="99"/>
      <c r="HT10" s="105"/>
      <c r="HU10" s="589"/>
      <c r="HV10" s="589"/>
      <c r="HW10" s="589"/>
      <c r="HX10" s="589"/>
      <c r="HY10" s="589"/>
      <c r="HZ10" s="589"/>
      <c r="IA10" s="589"/>
      <c r="IB10" s="589"/>
      <c r="IC10" s="589"/>
      <c r="ID10" s="589"/>
      <c r="IE10" s="589"/>
      <c r="IF10" s="589"/>
      <c r="IR10" s="589"/>
      <c r="IS10" s="589"/>
      <c r="IT10" s="589"/>
      <c r="IU10" s="589"/>
      <c r="IV10" s="589"/>
      <c r="IW10" s="589"/>
      <c r="IX10" s="589"/>
      <c r="IY10" s="589"/>
      <c r="IZ10" s="589"/>
      <c r="JA10" s="589"/>
      <c r="JB10" s="589"/>
      <c r="JC10" s="589"/>
      <c r="JP10" s="589"/>
    </row>
    <row r="11" spans="1:276" s="590" customFormat="1">
      <c r="A11" s="52">
        <f t="shared" si="2"/>
        <v>7</v>
      </c>
      <c r="B11" s="142" t="s">
        <v>206</v>
      </c>
      <c r="C11" s="54"/>
      <c r="D11" s="128" t="s">
        <v>213</v>
      </c>
      <c r="E11" s="56" t="s">
        <v>701</v>
      </c>
      <c r="F11" s="57" t="s">
        <v>918</v>
      </c>
      <c r="G11" s="58" t="s">
        <v>261</v>
      </c>
      <c r="H11" s="56" t="str">
        <f t="shared" si="0"/>
        <v>士林區</v>
      </c>
      <c r="I11" s="56" t="s">
        <v>262</v>
      </c>
      <c r="J11" s="56" t="s">
        <v>263</v>
      </c>
      <c r="K11" s="56" t="s">
        <v>264</v>
      </c>
      <c r="L11" s="59">
        <v>71.81</v>
      </c>
      <c r="M11" s="56" t="s">
        <v>228</v>
      </c>
      <c r="N11" s="60">
        <f t="shared" si="3"/>
        <v>45170</v>
      </c>
      <c r="O11" s="60">
        <v>45535</v>
      </c>
      <c r="P11" s="175">
        <v>15000</v>
      </c>
      <c r="Q11" s="71">
        <v>16000</v>
      </c>
      <c r="R11" s="112" t="s">
        <v>231</v>
      </c>
      <c r="S11" s="71">
        <v>2400</v>
      </c>
      <c r="T11" s="73" t="s">
        <v>231</v>
      </c>
      <c r="U11" s="71">
        <v>2400</v>
      </c>
      <c r="V11" s="73" t="s">
        <v>232</v>
      </c>
      <c r="W11" s="71">
        <v>2400</v>
      </c>
      <c r="X11" s="73" t="s">
        <v>233</v>
      </c>
      <c r="Y11" s="71">
        <v>2400</v>
      </c>
      <c r="Z11" s="73" t="s">
        <v>234</v>
      </c>
      <c r="AA11" s="71">
        <v>2400</v>
      </c>
      <c r="AB11" s="73" t="s">
        <v>235</v>
      </c>
      <c r="AC11" s="71">
        <v>2400</v>
      </c>
      <c r="AD11" s="73" t="s">
        <v>236</v>
      </c>
      <c r="AE11" s="71">
        <v>2400</v>
      </c>
      <c r="AF11" s="72" t="s">
        <v>569</v>
      </c>
      <c r="AG11" s="71">
        <v>2400</v>
      </c>
      <c r="AH11" s="72" t="s">
        <v>551</v>
      </c>
      <c r="AI11" s="71">
        <v>2400</v>
      </c>
      <c r="AJ11" s="73" t="s">
        <v>639</v>
      </c>
      <c r="AK11" s="71">
        <v>2400</v>
      </c>
      <c r="AL11" s="73" t="s">
        <v>652</v>
      </c>
      <c r="AM11" s="71">
        <v>2400</v>
      </c>
      <c r="AN11" s="73" t="s">
        <v>782</v>
      </c>
      <c r="AO11" s="71" t="s">
        <v>702</v>
      </c>
      <c r="AP11" s="73" t="s">
        <v>702</v>
      </c>
      <c r="AQ11" s="177"/>
      <c r="AR11" s="131"/>
      <c r="AS11" s="130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2"/>
      <c r="BO11" s="177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78"/>
      <c r="CM11" s="179" t="s">
        <v>336</v>
      </c>
      <c r="CN11" s="180" t="s">
        <v>337</v>
      </c>
      <c r="CO11" s="184">
        <v>8120171</v>
      </c>
      <c r="CP11" s="181" t="s">
        <v>338</v>
      </c>
      <c r="CQ11" s="126" t="s">
        <v>261</v>
      </c>
      <c r="CR11" s="127"/>
      <c r="CS11" s="128"/>
      <c r="CT11" s="129"/>
      <c r="CU11" s="73"/>
      <c r="CV11" s="130"/>
      <c r="CW11" s="131"/>
      <c r="CX11" s="131"/>
      <c r="CY11" s="132"/>
      <c r="CZ11" s="71">
        <v>850</v>
      </c>
      <c r="DA11" s="134" t="s">
        <v>893</v>
      </c>
      <c r="DB11" s="135">
        <v>9150</v>
      </c>
      <c r="DC11" s="137" t="s">
        <v>806</v>
      </c>
      <c r="DD11" s="135"/>
      <c r="DE11" s="137"/>
      <c r="DF11" s="135"/>
      <c r="DG11" s="137"/>
      <c r="DH11" s="92">
        <f t="shared" si="1"/>
        <v>0</v>
      </c>
      <c r="DI11" s="129"/>
      <c r="DJ11" s="135"/>
      <c r="DK11" s="135"/>
      <c r="DL11" s="135"/>
      <c r="DM11" s="135"/>
      <c r="DN11" s="135"/>
      <c r="DO11" s="135"/>
      <c r="DP11" s="135"/>
      <c r="DQ11" s="189"/>
      <c r="DR11" s="129"/>
      <c r="DS11" s="135"/>
      <c r="DT11" s="135"/>
      <c r="DU11" s="135"/>
      <c r="DV11" s="135"/>
      <c r="DW11" s="135"/>
      <c r="DX11" s="135"/>
      <c r="DY11" s="135"/>
      <c r="DZ11" s="190"/>
      <c r="EA11" s="142" t="s">
        <v>416</v>
      </c>
      <c r="EB11" s="182" t="s">
        <v>417</v>
      </c>
      <c r="EC11" s="182">
        <v>8220624</v>
      </c>
      <c r="ED11" s="182" t="s">
        <v>418</v>
      </c>
      <c r="EE11" s="180"/>
      <c r="EF11" s="180"/>
      <c r="EG11" s="180"/>
      <c r="EH11" s="180"/>
      <c r="EI11" s="182"/>
      <c r="EJ11" s="182"/>
      <c r="EK11" s="182"/>
      <c r="EL11" s="182"/>
      <c r="EM11" s="183"/>
      <c r="EN11" s="184"/>
      <c r="EO11" s="180"/>
      <c r="EP11" s="180"/>
      <c r="EQ11" s="182"/>
      <c r="ER11" s="180"/>
      <c r="ES11" s="180"/>
      <c r="ET11" s="182"/>
      <c r="EU11" s="129"/>
      <c r="EV11" s="131"/>
      <c r="EW11" s="131"/>
      <c r="EX11" s="131"/>
      <c r="EY11" s="131"/>
      <c r="EZ11" s="132"/>
      <c r="FA11" s="148"/>
      <c r="FB11" s="131"/>
      <c r="FC11" s="135"/>
      <c r="FD11" s="131"/>
      <c r="FE11" s="135"/>
      <c r="FF11" s="131"/>
      <c r="FG11" s="135"/>
      <c r="FH11" s="131"/>
      <c r="FI11" s="135"/>
      <c r="FJ11" s="131"/>
      <c r="FK11" s="135"/>
      <c r="FL11" s="131"/>
      <c r="FM11" s="135"/>
      <c r="FN11" s="131"/>
      <c r="FO11" s="135"/>
      <c r="FP11" s="131"/>
      <c r="FQ11" s="135"/>
      <c r="FR11" s="131"/>
      <c r="FS11" s="135"/>
      <c r="FT11" s="131"/>
      <c r="FU11" s="135"/>
      <c r="FV11" s="131"/>
      <c r="FW11" s="135"/>
      <c r="FX11" s="132"/>
      <c r="FY11" s="103"/>
      <c r="FZ11" s="99"/>
      <c r="GA11" s="99"/>
      <c r="GB11" s="99"/>
      <c r="GC11" s="99"/>
      <c r="GD11" s="99"/>
      <c r="GE11" s="99"/>
      <c r="GF11" s="99"/>
      <c r="GG11" s="99"/>
      <c r="GH11" s="99"/>
      <c r="GI11" s="99"/>
      <c r="GJ11" s="99"/>
      <c r="GK11" s="99"/>
      <c r="GL11" s="99"/>
      <c r="GM11" s="99"/>
      <c r="GN11" s="99"/>
      <c r="GO11" s="99"/>
      <c r="GP11" s="99"/>
      <c r="GQ11" s="99"/>
      <c r="GR11" s="99"/>
      <c r="GS11" s="99"/>
      <c r="GT11" s="99"/>
      <c r="GU11" s="99"/>
      <c r="GV11" s="104"/>
      <c r="GW11" s="103"/>
      <c r="GX11" s="99"/>
      <c r="GY11" s="99"/>
      <c r="GZ11" s="99"/>
      <c r="HA11" s="99"/>
      <c r="HB11" s="99"/>
      <c r="HC11" s="99"/>
      <c r="HD11" s="99"/>
      <c r="HE11" s="99"/>
      <c r="HF11" s="99"/>
      <c r="HG11" s="99"/>
      <c r="HH11" s="99"/>
      <c r="HI11" s="99"/>
      <c r="HJ11" s="99"/>
      <c r="HK11" s="99"/>
      <c r="HL11" s="99"/>
      <c r="HM11" s="99"/>
      <c r="HN11" s="99"/>
      <c r="HO11" s="99"/>
      <c r="HP11" s="99"/>
      <c r="HQ11" s="99"/>
      <c r="HR11" s="99"/>
      <c r="HS11" s="99"/>
      <c r="HT11" s="105"/>
      <c r="HU11" s="589"/>
      <c r="HV11" s="589"/>
      <c r="HW11" s="589"/>
      <c r="HX11" s="589"/>
      <c r="HY11" s="589"/>
      <c r="HZ11" s="589"/>
      <c r="IA11" s="589"/>
      <c r="IB11" s="589"/>
      <c r="IC11" s="589"/>
      <c r="ID11" s="589"/>
      <c r="IE11" s="589"/>
      <c r="IF11" s="589"/>
      <c r="IG11" s="589"/>
      <c r="IH11" s="589"/>
      <c r="II11" s="589"/>
      <c r="IJ11" s="589"/>
      <c r="IK11" s="589"/>
      <c r="IL11" s="589"/>
      <c r="IM11" s="589"/>
      <c r="IN11" s="589"/>
      <c r="IO11" s="589"/>
      <c r="IP11" s="589"/>
      <c r="IQ11" s="589"/>
      <c r="IR11" s="589"/>
      <c r="IS11" s="589"/>
      <c r="IT11" s="589"/>
      <c r="IU11" s="589"/>
      <c r="IV11" s="589"/>
      <c r="IW11" s="589"/>
      <c r="IX11" s="589"/>
      <c r="IY11" s="589"/>
      <c r="IZ11" s="589"/>
      <c r="JA11" s="589"/>
      <c r="JB11" s="589"/>
      <c r="JC11" s="589"/>
      <c r="JP11" s="589"/>
    </row>
    <row r="12" spans="1:276" s="590" customFormat="1">
      <c r="A12" s="52">
        <f t="shared" si="2"/>
        <v>8</v>
      </c>
      <c r="B12" s="142" t="s">
        <v>206</v>
      </c>
      <c r="C12" s="54"/>
      <c r="D12" s="128" t="s">
        <v>214</v>
      </c>
      <c r="E12" s="56" t="s">
        <v>916</v>
      </c>
      <c r="F12" s="57" t="s">
        <v>919</v>
      </c>
      <c r="G12" s="58" t="s">
        <v>265</v>
      </c>
      <c r="H12" s="56" t="str">
        <f t="shared" si="0"/>
        <v>北投區</v>
      </c>
      <c r="I12" s="56" t="s">
        <v>266</v>
      </c>
      <c r="J12" s="56" t="s">
        <v>267</v>
      </c>
      <c r="K12" s="56" t="s">
        <v>268</v>
      </c>
      <c r="L12" s="59">
        <v>58.92</v>
      </c>
      <c r="M12" s="56" t="s">
        <v>228</v>
      </c>
      <c r="N12" s="60">
        <f t="shared" si="3"/>
        <v>45184</v>
      </c>
      <c r="O12" s="60">
        <v>45549</v>
      </c>
      <c r="P12" s="175">
        <v>10000</v>
      </c>
      <c r="Q12" s="71">
        <v>16000</v>
      </c>
      <c r="R12" s="112" t="s">
        <v>232</v>
      </c>
      <c r="S12" s="71">
        <v>2400</v>
      </c>
      <c r="T12" s="73" t="s">
        <v>232</v>
      </c>
      <c r="U12" s="71">
        <v>2400</v>
      </c>
      <c r="V12" s="73" t="s">
        <v>247</v>
      </c>
      <c r="W12" s="71">
        <v>2400</v>
      </c>
      <c r="X12" s="73" t="s">
        <v>233</v>
      </c>
      <c r="Y12" s="71">
        <v>2400</v>
      </c>
      <c r="Z12" s="73" t="s">
        <v>234</v>
      </c>
      <c r="AA12" s="71">
        <v>2400</v>
      </c>
      <c r="AB12" s="73" t="s">
        <v>235</v>
      </c>
      <c r="AC12" s="71">
        <v>2400</v>
      </c>
      <c r="AD12" s="73" t="s">
        <v>236</v>
      </c>
      <c r="AE12" s="71">
        <v>2400</v>
      </c>
      <c r="AF12" s="72" t="s">
        <v>569</v>
      </c>
      <c r="AG12" s="71">
        <v>2400</v>
      </c>
      <c r="AH12" s="72" t="s">
        <v>551</v>
      </c>
      <c r="AI12" s="71">
        <v>2400</v>
      </c>
      <c r="AJ12" s="73" t="s">
        <v>639</v>
      </c>
      <c r="AK12" s="71">
        <v>2400</v>
      </c>
      <c r="AL12" s="73" t="s">
        <v>652</v>
      </c>
      <c r="AM12" s="71">
        <v>2400</v>
      </c>
      <c r="AN12" s="73" t="s">
        <v>782</v>
      </c>
      <c r="AO12" s="71">
        <v>2400</v>
      </c>
      <c r="AP12" s="73" t="s">
        <v>806</v>
      </c>
      <c r="AQ12" s="177"/>
      <c r="AR12" s="131"/>
      <c r="AS12" s="130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2"/>
      <c r="BO12" s="177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78"/>
      <c r="CM12" s="179" t="s">
        <v>339</v>
      </c>
      <c r="CN12" s="180" t="s">
        <v>340</v>
      </c>
      <c r="CO12" s="184" t="s">
        <v>926</v>
      </c>
      <c r="CP12" s="181" t="s">
        <v>341</v>
      </c>
      <c r="CQ12" s="126" t="s">
        <v>342</v>
      </c>
      <c r="CR12" s="127"/>
      <c r="CS12" s="128"/>
      <c r="CT12" s="129"/>
      <c r="CU12" s="73"/>
      <c r="CV12" s="130"/>
      <c r="CW12" s="131"/>
      <c r="CX12" s="131"/>
      <c r="CY12" s="132"/>
      <c r="CZ12" s="71">
        <v>10000</v>
      </c>
      <c r="DA12" s="134" t="s">
        <v>783</v>
      </c>
      <c r="DB12" s="135"/>
      <c r="DC12" s="137"/>
      <c r="DD12" s="135"/>
      <c r="DE12" s="137"/>
      <c r="DF12" s="135"/>
      <c r="DG12" s="137"/>
      <c r="DH12" s="92">
        <f t="shared" si="1"/>
        <v>0</v>
      </c>
      <c r="DI12" s="129"/>
      <c r="DJ12" s="135"/>
      <c r="DK12" s="135"/>
      <c r="DL12" s="135"/>
      <c r="DM12" s="135"/>
      <c r="DN12" s="135"/>
      <c r="DO12" s="135"/>
      <c r="DP12" s="135"/>
      <c r="DQ12" s="189"/>
      <c r="DR12" s="129"/>
      <c r="DS12" s="135"/>
      <c r="DT12" s="135"/>
      <c r="DU12" s="135"/>
      <c r="DV12" s="135"/>
      <c r="DW12" s="135"/>
      <c r="DX12" s="135"/>
      <c r="DY12" s="135"/>
      <c r="DZ12" s="190"/>
      <c r="EA12" s="142" t="s">
        <v>419</v>
      </c>
      <c r="EB12" s="182" t="s">
        <v>420</v>
      </c>
      <c r="EC12" s="182" t="s">
        <v>421</v>
      </c>
      <c r="ED12" s="182" t="s">
        <v>422</v>
      </c>
      <c r="EE12" s="180" t="s">
        <v>423</v>
      </c>
      <c r="EF12" s="180" t="s">
        <v>424</v>
      </c>
      <c r="EG12" s="180" t="s">
        <v>425</v>
      </c>
      <c r="EH12" s="180" t="s">
        <v>426</v>
      </c>
      <c r="EI12" s="182" t="s">
        <v>427</v>
      </c>
      <c r="EJ12" s="182" t="s">
        <v>410</v>
      </c>
      <c r="EK12" s="182"/>
      <c r="EL12" s="182"/>
      <c r="EM12" s="183"/>
      <c r="EN12" s="184"/>
      <c r="EO12" s="180"/>
      <c r="EP12" s="180"/>
      <c r="EQ12" s="182"/>
      <c r="ER12" s="180"/>
      <c r="ES12" s="180"/>
      <c r="ET12" s="182"/>
      <c r="EU12" s="129"/>
      <c r="EV12" s="131"/>
      <c r="EW12" s="131"/>
      <c r="EX12" s="131"/>
      <c r="EY12" s="131"/>
      <c r="EZ12" s="132"/>
      <c r="FA12" s="148"/>
      <c r="FB12" s="131"/>
      <c r="FC12" s="135"/>
      <c r="FD12" s="131"/>
      <c r="FE12" s="135"/>
      <c r="FF12" s="131"/>
      <c r="FG12" s="135"/>
      <c r="FH12" s="131"/>
      <c r="FI12" s="135"/>
      <c r="FJ12" s="131"/>
      <c r="FK12" s="135"/>
      <c r="FL12" s="131"/>
      <c r="FM12" s="135"/>
      <c r="FN12" s="131"/>
      <c r="FO12" s="135"/>
      <c r="FP12" s="131"/>
      <c r="FQ12" s="135"/>
      <c r="FR12" s="131"/>
      <c r="FS12" s="135"/>
      <c r="FT12" s="131"/>
      <c r="FU12" s="135"/>
      <c r="FV12" s="131"/>
      <c r="FW12" s="135"/>
      <c r="FX12" s="132"/>
      <c r="FY12" s="103"/>
      <c r="FZ12" s="99"/>
      <c r="GA12" s="99"/>
      <c r="GB12" s="99"/>
      <c r="GC12" s="99"/>
      <c r="GD12" s="99"/>
      <c r="GE12" s="99"/>
      <c r="GF12" s="99"/>
      <c r="GG12" s="99"/>
      <c r="GH12" s="99"/>
      <c r="GI12" s="99"/>
      <c r="GJ12" s="99"/>
      <c r="GK12" s="99"/>
      <c r="GL12" s="99"/>
      <c r="GM12" s="99"/>
      <c r="GN12" s="99"/>
      <c r="GO12" s="99"/>
      <c r="GP12" s="99"/>
      <c r="GQ12" s="99"/>
      <c r="GR12" s="99"/>
      <c r="GS12" s="99"/>
      <c r="GT12" s="99"/>
      <c r="GU12" s="99"/>
      <c r="GV12" s="104"/>
      <c r="GW12" s="103"/>
      <c r="GX12" s="99"/>
      <c r="GY12" s="99"/>
      <c r="GZ12" s="99"/>
      <c r="HA12" s="99"/>
      <c r="HB12" s="99"/>
      <c r="HC12" s="99"/>
      <c r="HD12" s="99"/>
      <c r="HE12" s="99"/>
      <c r="HF12" s="99"/>
      <c r="HG12" s="99"/>
      <c r="HH12" s="99"/>
      <c r="HI12" s="99"/>
      <c r="HJ12" s="99"/>
      <c r="HK12" s="99"/>
      <c r="HL12" s="99"/>
      <c r="HM12" s="99"/>
      <c r="HN12" s="99"/>
      <c r="HO12" s="99"/>
      <c r="HP12" s="99"/>
      <c r="HQ12" s="99"/>
      <c r="HR12" s="99"/>
      <c r="HS12" s="99"/>
      <c r="HT12" s="105"/>
      <c r="HU12" s="589"/>
      <c r="HV12" s="589"/>
      <c r="HW12" s="589"/>
      <c r="HX12" s="589"/>
      <c r="HY12" s="589"/>
      <c r="HZ12" s="589"/>
      <c r="IA12" s="589"/>
      <c r="IB12" s="589"/>
      <c r="IC12" s="589"/>
      <c r="ID12" s="589"/>
      <c r="IE12" s="589"/>
      <c r="IF12" s="589"/>
      <c r="IG12" s="589"/>
      <c r="IH12" s="589"/>
      <c r="II12" s="589"/>
      <c r="IJ12" s="589"/>
      <c r="IK12" s="589"/>
      <c r="IL12" s="589"/>
      <c r="IM12" s="589"/>
      <c r="IN12" s="589"/>
      <c r="IO12" s="589"/>
      <c r="IP12" s="589"/>
      <c r="IQ12" s="589"/>
      <c r="IR12" s="589"/>
      <c r="IS12" s="589"/>
      <c r="IT12" s="589"/>
      <c r="IU12" s="589"/>
      <c r="IV12" s="589"/>
      <c r="IW12" s="589"/>
      <c r="IX12" s="589"/>
      <c r="IY12" s="589"/>
      <c r="IZ12" s="589"/>
      <c r="JA12" s="589"/>
      <c r="JB12" s="589"/>
      <c r="JC12" s="589"/>
      <c r="JP12" s="589"/>
    </row>
    <row r="13" spans="1:276" s="590" customFormat="1">
      <c r="A13" s="52">
        <f t="shared" si="2"/>
        <v>9</v>
      </c>
      <c r="B13" s="142" t="s">
        <v>206</v>
      </c>
      <c r="C13" s="54"/>
      <c r="D13" s="128" t="s">
        <v>215</v>
      </c>
      <c r="E13" s="56" t="s">
        <v>992</v>
      </c>
      <c r="F13" s="57"/>
      <c r="G13" s="58" t="s">
        <v>269</v>
      </c>
      <c r="H13" s="56" t="str">
        <f t="shared" si="0"/>
        <v>士林區</v>
      </c>
      <c r="I13" s="56" t="s">
        <v>270</v>
      </c>
      <c r="J13" s="56" t="s">
        <v>271</v>
      </c>
      <c r="K13" s="56" t="s">
        <v>272</v>
      </c>
      <c r="L13" s="59">
        <v>65.319999999999993</v>
      </c>
      <c r="M13" s="56" t="s">
        <v>228</v>
      </c>
      <c r="N13" s="60">
        <f t="shared" si="3"/>
        <v>45197</v>
      </c>
      <c r="O13" s="60">
        <v>45562</v>
      </c>
      <c r="P13" s="175">
        <v>30000</v>
      </c>
      <c r="Q13" s="71">
        <v>16000</v>
      </c>
      <c r="R13" s="112" t="s">
        <v>247</v>
      </c>
      <c r="S13" s="71">
        <v>2400</v>
      </c>
      <c r="T13" s="73" t="s">
        <v>247</v>
      </c>
      <c r="U13" s="71">
        <v>2400</v>
      </c>
      <c r="V13" s="73" t="s">
        <v>233</v>
      </c>
      <c r="W13" s="71">
        <v>2400</v>
      </c>
      <c r="X13" s="73" t="s">
        <v>248</v>
      </c>
      <c r="Y13" s="71">
        <v>2400</v>
      </c>
      <c r="Z13" s="73" t="s">
        <v>234</v>
      </c>
      <c r="AA13" s="71">
        <v>2400</v>
      </c>
      <c r="AB13" s="73" t="s">
        <v>235</v>
      </c>
      <c r="AC13" s="71">
        <v>2400</v>
      </c>
      <c r="AD13" s="73" t="s">
        <v>236</v>
      </c>
      <c r="AE13" s="71">
        <v>2400</v>
      </c>
      <c r="AF13" s="72" t="s">
        <v>569</v>
      </c>
      <c r="AG13" s="71">
        <v>2400</v>
      </c>
      <c r="AH13" s="72" t="s">
        <v>551</v>
      </c>
      <c r="AI13" s="71">
        <v>2400</v>
      </c>
      <c r="AJ13" s="73" t="s">
        <v>640</v>
      </c>
      <c r="AK13" s="71">
        <v>2400</v>
      </c>
      <c r="AL13" s="73" t="s">
        <v>705</v>
      </c>
      <c r="AM13" s="71">
        <v>2400</v>
      </c>
      <c r="AN13" s="73" t="s">
        <v>782</v>
      </c>
      <c r="AO13" s="71">
        <v>2400</v>
      </c>
      <c r="AP13" s="73" t="s">
        <v>806</v>
      </c>
      <c r="AQ13" s="177"/>
      <c r="AR13" s="131"/>
      <c r="AS13" s="130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2"/>
      <c r="BO13" s="177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78"/>
      <c r="CM13" s="179" t="s">
        <v>343</v>
      </c>
      <c r="CN13" s="180" t="s">
        <v>344</v>
      </c>
      <c r="CO13" s="184">
        <v>8220314</v>
      </c>
      <c r="CP13" s="181" t="s">
        <v>345</v>
      </c>
      <c r="CQ13" s="126" t="s">
        <v>346</v>
      </c>
      <c r="CR13" s="127"/>
      <c r="CS13" s="128"/>
      <c r="CT13" s="129">
        <v>3300</v>
      </c>
      <c r="CU13" s="73" t="s">
        <v>247</v>
      </c>
      <c r="CV13" s="130"/>
      <c r="CW13" s="131"/>
      <c r="CX13" s="131"/>
      <c r="CY13" s="132"/>
      <c r="CZ13" s="71">
        <v>1250</v>
      </c>
      <c r="DA13" s="134" t="s">
        <v>247</v>
      </c>
      <c r="DB13" s="135">
        <v>8500</v>
      </c>
      <c r="DC13" s="137" t="s">
        <v>783</v>
      </c>
      <c r="DD13" s="135"/>
      <c r="DE13" s="137"/>
      <c r="DF13" s="135"/>
      <c r="DG13" s="137"/>
      <c r="DH13" s="92">
        <f t="shared" si="1"/>
        <v>250</v>
      </c>
      <c r="DI13" s="129"/>
      <c r="DJ13" s="135"/>
      <c r="DK13" s="135"/>
      <c r="DL13" s="135"/>
      <c r="DM13" s="135"/>
      <c r="DN13" s="135"/>
      <c r="DO13" s="135"/>
      <c r="DP13" s="135"/>
      <c r="DQ13" s="189"/>
      <c r="DR13" s="129"/>
      <c r="DS13" s="135"/>
      <c r="DT13" s="135"/>
      <c r="DU13" s="135"/>
      <c r="DV13" s="135"/>
      <c r="DW13" s="135"/>
      <c r="DX13" s="135"/>
      <c r="DY13" s="135"/>
      <c r="DZ13" s="190"/>
      <c r="EA13" s="142" t="s">
        <v>428</v>
      </c>
      <c r="EB13" s="182" t="s">
        <v>429</v>
      </c>
      <c r="EC13" s="182">
        <v>8080163</v>
      </c>
      <c r="ED13" s="182" t="s">
        <v>430</v>
      </c>
      <c r="EE13" s="180"/>
      <c r="EF13" s="180"/>
      <c r="EG13" s="180"/>
      <c r="EH13" s="180"/>
      <c r="EI13" s="182"/>
      <c r="EJ13" s="182"/>
      <c r="EK13" s="182"/>
      <c r="EL13" s="182"/>
      <c r="EM13" s="183"/>
      <c r="EN13" s="184"/>
      <c r="EO13" s="180"/>
      <c r="EP13" s="180"/>
      <c r="EQ13" s="182"/>
      <c r="ER13" s="180"/>
      <c r="ES13" s="180"/>
      <c r="ET13" s="182"/>
      <c r="EU13" s="129"/>
      <c r="EV13" s="131"/>
      <c r="EW13" s="131"/>
      <c r="EX13" s="131"/>
      <c r="EY13" s="131"/>
      <c r="EZ13" s="132"/>
      <c r="FA13" s="148"/>
      <c r="FB13" s="131"/>
      <c r="FC13" s="135"/>
      <c r="FD13" s="131"/>
      <c r="FE13" s="135"/>
      <c r="FF13" s="131"/>
      <c r="FG13" s="135"/>
      <c r="FH13" s="131"/>
      <c r="FI13" s="135"/>
      <c r="FJ13" s="131"/>
      <c r="FK13" s="135"/>
      <c r="FL13" s="131"/>
      <c r="FM13" s="135"/>
      <c r="FN13" s="131"/>
      <c r="FO13" s="135"/>
      <c r="FP13" s="131"/>
      <c r="FQ13" s="135"/>
      <c r="FR13" s="131"/>
      <c r="FS13" s="135"/>
      <c r="FT13" s="131"/>
      <c r="FU13" s="135"/>
      <c r="FV13" s="131"/>
      <c r="FW13" s="135"/>
      <c r="FX13" s="132"/>
      <c r="FY13" s="103"/>
      <c r="FZ13" s="99"/>
      <c r="GA13" s="99"/>
      <c r="GB13" s="99"/>
      <c r="GC13" s="99"/>
      <c r="GD13" s="99"/>
      <c r="GE13" s="99"/>
      <c r="GF13" s="99"/>
      <c r="GG13" s="99"/>
      <c r="GH13" s="99"/>
      <c r="GI13" s="99"/>
      <c r="GJ13" s="99"/>
      <c r="GK13" s="99"/>
      <c r="GL13" s="99"/>
      <c r="GM13" s="99"/>
      <c r="GN13" s="99"/>
      <c r="GO13" s="99"/>
      <c r="GP13" s="99"/>
      <c r="GQ13" s="99"/>
      <c r="GR13" s="99"/>
      <c r="GS13" s="99"/>
      <c r="GT13" s="99"/>
      <c r="GU13" s="99"/>
      <c r="GV13" s="104"/>
      <c r="GW13" s="103"/>
      <c r="GX13" s="99"/>
      <c r="GY13" s="99"/>
      <c r="GZ13" s="99"/>
      <c r="HA13" s="99"/>
      <c r="HB13" s="99"/>
      <c r="HC13" s="99"/>
      <c r="HD13" s="99"/>
      <c r="HE13" s="99"/>
      <c r="HF13" s="99"/>
      <c r="HG13" s="99"/>
      <c r="HH13" s="99"/>
      <c r="HI13" s="99"/>
      <c r="HJ13" s="99"/>
      <c r="HK13" s="99"/>
      <c r="HL13" s="99"/>
      <c r="HM13" s="99"/>
      <c r="HN13" s="99"/>
      <c r="HO13" s="99"/>
      <c r="HP13" s="99"/>
      <c r="HQ13" s="99"/>
      <c r="HR13" s="99"/>
      <c r="HS13" s="99"/>
      <c r="HT13" s="105"/>
      <c r="IG13" s="589"/>
      <c r="IH13" s="589"/>
      <c r="II13" s="589"/>
      <c r="IJ13" s="589"/>
      <c r="IK13" s="589"/>
      <c r="IL13" s="589"/>
      <c r="IM13" s="589"/>
      <c r="IN13" s="589"/>
      <c r="IO13" s="589"/>
      <c r="IP13" s="589"/>
      <c r="IQ13" s="589"/>
      <c r="IR13" s="589"/>
      <c r="IS13" s="589"/>
      <c r="IT13" s="589"/>
      <c r="IU13" s="589"/>
      <c r="IV13" s="589"/>
      <c r="IW13" s="589"/>
      <c r="IX13" s="589"/>
      <c r="IY13" s="589"/>
      <c r="IZ13" s="589"/>
      <c r="JA13" s="589"/>
      <c r="JB13" s="589"/>
      <c r="JC13" s="589"/>
      <c r="JD13" s="589"/>
      <c r="JE13" s="589"/>
      <c r="JF13" s="589"/>
      <c r="JG13" s="589"/>
      <c r="JH13" s="589"/>
      <c r="JI13" s="589"/>
      <c r="JJ13" s="589"/>
      <c r="JK13" s="589"/>
      <c r="JL13" s="589"/>
      <c r="JM13" s="589"/>
      <c r="JN13" s="589"/>
      <c r="JO13" s="589"/>
      <c r="JP13" s="589"/>
    </row>
    <row r="14" spans="1:276" s="590" customFormat="1">
      <c r="A14" s="52">
        <f t="shared" si="2"/>
        <v>10</v>
      </c>
      <c r="B14" s="142" t="s">
        <v>206</v>
      </c>
      <c r="C14" s="54"/>
      <c r="D14" s="128" t="s">
        <v>216</v>
      </c>
      <c r="E14" s="56" t="s">
        <v>992</v>
      </c>
      <c r="F14" s="57"/>
      <c r="G14" s="58" t="s">
        <v>273</v>
      </c>
      <c r="H14" s="56" t="str">
        <f t="shared" si="0"/>
        <v>北投區</v>
      </c>
      <c r="I14" s="56" t="s">
        <v>274</v>
      </c>
      <c r="J14" s="56" t="s">
        <v>275</v>
      </c>
      <c r="K14" s="56" t="s">
        <v>276</v>
      </c>
      <c r="L14" s="59">
        <v>78.09</v>
      </c>
      <c r="M14" s="56" t="s">
        <v>228</v>
      </c>
      <c r="N14" s="60">
        <f t="shared" si="3"/>
        <v>45199</v>
      </c>
      <c r="O14" s="60">
        <v>45564</v>
      </c>
      <c r="P14" s="175">
        <v>20000</v>
      </c>
      <c r="Q14" s="71">
        <v>16000</v>
      </c>
      <c r="R14" s="112" t="s">
        <v>247</v>
      </c>
      <c r="S14" s="71">
        <v>2400</v>
      </c>
      <c r="T14" s="73" t="s">
        <v>247</v>
      </c>
      <c r="U14" s="71">
        <v>2400</v>
      </c>
      <c r="V14" s="73" t="s">
        <v>233</v>
      </c>
      <c r="W14" s="71">
        <v>2400</v>
      </c>
      <c r="X14" s="73" t="s">
        <v>248</v>
      </c>
      <c r="Y14" s="71">
        <v>2400</v>
      </c>
      <c r="Z14" s="73" t="s">
        <v>234</v>
      </c>
      <c r="AA14" s="71">
        <v>2400</v>
      </c>
      <c r="AB14" s="73" t="s">
        <v>235</v>
      </c>
      <c r="AC14" s="71">
        <v>2400</v>
      </c>
      <c r="AD14" s="73" t="s">
        <v>236</v>
      </c>
      <c r="AE14" s="71">
        <v>2400</v>
      </c>
      <c r="AF14" s="72" t="s">
        <v>569</v>
      </c>
      <c r="AG14" s="71">
        <v>2400</v>
      </c>
      <c r="AH14" s="72" t="s">
        <v>551</v>
      </c>
      <c r="AI14" s="71">
        <v>2400</v>
      </c>
      <c r="AJ14" s="73" t="s">
        <v>640</v>
      </c>
      <c r="AK14" s="71">
        <v>2400</v>
      </c>
      <c r="AL14" s="73" t="s">
        <v>705</v>
      </c>
      <c r="AM14" s="71">
        <v>2400</v>
      </c>
      <c r="AN14" s="73" t="s">
        <v>782</v>
      </c>
      <c r="AO14" s="71">
        <v>2400</v>
      </c>
      <c r="AP14" s="73" t="s">
        <v>806</v>
      </c>
      <c r="AQ14" s="177"/>
      <c r="AR14" s="131"/>
      <c r="AS14" s="130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2"/>
      <c r="BO14" s="177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78"/>
      <c r="CM14" s="179" t="s">
        <v>347</v>
      </c>
      <c r="CN14" s="180" t="s">
        <v>348</v>
      </c>
      <c r="CO14" s="184">
        <v>7000021</v>
      </c>
      <c r="CP14" s="181" t="s">
        <v>349</v>
      </c>
      <c r="CQ14" s="126" t="s">
        <v>350</v>
      </c>
      <c r="CR14" s="127"/>
      <c r="CS14" s="128"/>
      <c r="CT14" s="129"/>
      <c r="CU14" s="73"/>
      <c r="CV14" s="130"/>
      <c r="CW14" s="131"/>
      <c r="CX14" s="131"/>
      <c r="CY14" s="132"/>
      <c r="CZ14" s="71">
        <v>10000</v>
      </c>
      <c r="DA14" s="134" t="s">
        <v>806</v>
      </c>
      <c r="DB14" s="135"/>
      <c r="DC14" s="137"/>
      <c r="DD14" s="135"/>
      <c r="DE14" s="137"/>
      <c r="DF14" s="135"/>
      <c r="DG14" s="137"/>
      <c r="DH14" s="92">
        <f t="shared" si="1"/>
        <v>0</v>
      </c>
      <c r="DI14" s="129"/>
      <c r="DJ14" s="135"/>
      <c r="DK14" s="135"/>
      <c r="DL14" s="135"/>
      <c r="DM14" s="135"/>
      <c r="DN14" s="135"/>
      <c r="DO14" s="135"/>
      <c r="DP14" s="135"/>
      <c r="DQ14" s="189"/>
      <c r="DR14" s="129"/>
      <c r="DS14" s="135"/>
      <c r="DT14" s="135"/>
      <c r="DU14" s="135"/>
      <c r="DV14" s="135"/>
      <c r="DW14" s="135"/>
      <c r="DX14" s="135"/>
      <c r="DY14" s="135"/>
      <c r="DZ14" s="190"/>
      <c r="EA14" s="142" t="s">
        <v>431</v>
      </c>
      <c r="EB14" s="182" t="s">
        <v>432</v>
      </c>
      <c r="EC14" s="182" t="s">
        <v>433</v>
      </c>
      <c r="ED14" s="182" t="s">
        <v>434</v>
      </c>
      <c r="EE14" s="180" t="s">
        <v>435</v>
      </c>
      <c r="EF14" s="180" t="s">
        <v>436</v>
      </c>
      <c r="EG14" s="180" t="s">
        <v>437</v>
      </c>
      <c r="EH14" s="180" t="s">
        <v>438</v>
      </c>
      <c r="EI14" s="182" t="s">
        <v>439</v>
      </c>
      <c r="EJ14" s="182" t="s">
        <v>410</v>
      </c>
      <c r="EK14" s="182" t="s">
        <v>440</v>
      </c>
      <c r="EL14" s="182" t="s">
        <v>441</v>
      </c>
      <c r="EM14" s="183" t="s">
        <v>442</v>
      </c>
      <c r="EN14" s="184"/>
      <c r="EO14" s="180"/>
      <c r="EP14" s="180"/>
      <c r="EQ14" s="182"/>
      <c r="ER14" s="180"/>
      <c r="ES14" s="180"/>
      <c r="ET14" s="182"/>
      <c r="EU14" s="129"/>
      <c r="EV14" s="131"/>
      <c r="EW14" s="131"/>
      <c r="EX14" s="131"/>
      <c r="EY14" s="131"/>
      <c r="EZ14" s="132"/>
      <c r="FA14" s="148"/>
      <c r="FB14" s="131"/>
      <c r="FC14" s="135"/>
      <c r="FD14" s="131"/>
      <c r="FE14" s="135"/>
      <c r="FF14" s="131"/>
      <c r="FG14" s="135"/>
      <c r="FH14" s="131"/>
      <c r="FI14" s="135"/>
      <c r="FJ14" s="131"/>
      <c r="FK14" s="135"/>
      <c r="FL14" s="131"/>
      <c r="FM14" s="135"/>
      <c r="FN14" s="131"/>
      <c r="FO14" s="135"/>
      <c r="FP14" s="131"/>
      <c r="FQ14" s="135"/>
      <c r="FR14" s="131"/>
      <c r="FS14" s="135"/>
      <c r="FT14" s="131"/>
      <c r="FU14" s="135"/>
      <c r="FV14" s="131"/>
      <c r="FW14" s="135"/>
      <c r="FX14" s="132"/>
      <c r="FY14" s="103"/>
      <c r="FZ14" s="99"/>
      <c r="GA14" s="99"/>
      <c r="GB14" s="99"/>
      <c r="GC14" s="99"/>
      <c r="GD14" s="99"/>
      <c r="GE14" s="99"/>
      <c r="GF14" s="99"/>
      <c r="GG14" s="99"/>
      <c r="GH14" s="99"/>
      <c r="GI14" s="99"/>
      <c r="GJ14" s="99"/>
      <c r="GK14" s="99"/>
      <c r="GL14" s="99"/>
      <c r="GM14" s="99"/>
      <c r="GN14" s="99"/>
      <c r="GO14" s="99"/>
      <c r="GP14" s="99"/>
      <c r="GQ14" s="99"/>
      <c r="GR14" s="99"/>
      <c r="GS14" s="99"/>
      <c r="GT14" s="99"/>
      <c r="GU14" s="99"/>
      <c r="GV14" s="104"/>
      <c r="GW14" s="103"/>
      <c r="GX14" s="99"/>
      <c r="GY14" s="99"/>
      <c r="GZ14" s="99"/>
      <c r="HA14" s="99"/>
      <c r="HB14" s="99"/>
      <c r="HC14" s="99"/>
      <c r="HD14" s="99"/>
      <c r="HE14" s="99"/>
      <c r="HF14" s="99"/>
      <c r="HG14" s="99"/>
      <c r="HH14" s="99"/>
      <c r="HI14" s="99"/>
      <c r="HJ14" s="99"/>
      <c r="HK14" s="99"/>
      <c r="HL14" s="99"/>
      <c r="HM14" s="99"/>
      <c r="HN14" s="99"/>
      <c r="HO14" s="99"/>
      <c r="HP14" s="99"/>
      <c r="HQ14" s="99"/>
      <c r="HR14" s="99"/>
      <c r="HS14" s="99"/>
      <c r="HT14" s="105"/>
      <c r="IG14" s="589"/>
      <c r="IH14" s="589"/>
      <c r="II14" s="589"/>
      <c r="IJ14" s="589"/>
      <c r="IK14" s="589"/>
      <c r="IL14" s="589"/>
      <c r="IM14" s="589"/>
      <c r="IN14" s="589"/>
      <c r="IO14" s="589"/>
      <c r="IP14" s="589"/>
      <c r="IQ14" s="589"/>
      <c r="JD14" s="589"/>
      <c r="JE14" s="589"/>
      <c r="JF14" s="589"/>
      <c r="JG14" s="589"/>
      <c r="JH14" s="589"/>
      <c r="JI14" s="589"/>
      <c r="JJ14" s="589"/>
      <c r="JK14" s="589"/>
      <c r="JL14" s="589"/>
      <c r="JM14" s="589"/>
      <c r="JN14" s="589"/>
      <c r="JO14" s="589"/>
    </row>
    <row r="15" spans="1:276" s="590" customFormat="1">
      <c r="A15" s="52">
        <f t="shared" si="2"/>
        <v>11</v>
      </c>
      <c r="B15" s="142" t="s">
        <v>206</v>
      </c>
      <c r="C15" s="54"/>
      <c r="D15" s="128" t="s">
        <v>217</v>
      </c>
      <c r="E15" s="56" t="s">
        <v>992</v>
      </c>
      <c r="F15" s="57"/>
      <c r="G15" s="58" t="s">
        <v>277</v>
      </c>
      <c r="H15" s="56" t="str">
        <f t="shared" si="0"/>
        <v>萬華區</v>
      </c>
      <c r="I15" s="56" t="s">
        <v>279</v>
      </c>
      <c r="J15" s="56" t="s">
        <v>280</v>
      </c>
      <c r="K15" s="56" t="s">
        <v>281</v>
      </c>
      <c r="L15" s="59">
        <v>65.010000000000005</v>
      </c>
      <c r="M15" s="56" t="s">
        <v>228</v>
      </c>
      <c r="N15" s="60">
        <f>O15-365</f>
        <v>45209</v>
      </c>
      <c r="O15" s="60">
        <v>45574</v>
      </c>
      <c r="P15" s="175">
        <v>15000</v>
      </c>
      <c r="Q15" s="71">
        <v>16000</v>
      </c>
      <c r="R15" s="112" t="s">
        <v>247</v>
      </c>
      <c r="S15" s="71">
        <v>2400</v>
      </c>
      <c r="T15" s="73" t="s">
        <v>247</v>
      </c>
      <c r="U15" s="71">
        <v>2400</v>
      </c>
      <c r="V15" s="73" t="s">
        <v>233</v>
      </c>
      <c r="W15" s="71">
        <v>2400</v>
      </c>
      <c r="X15" s="73" t="s">
        <v>234</v>
      </c>
      <c r="Y15" s="71">
        <v>2400</v>
      </c>
      <c r="Z15" s="73" t="s">
        <v>235</v>
      </c>
      <c r="AA15" s="71">
        <v>2400</v>
      </c>
      <c r="AB15" s="73" t="s">
        <v>236</v>
      </c>
      <c r="AC15" s="71">
        <v>2400</v>
      </c>
      <c r="AD15" s="72" t="s">
        <v>569</v>
      </c>
      <c r="AE15" s="71">
        <v>2400</v>
      </c>
      <c r="AF15" s="72" t="s">
        <v>551</v>
      </c>
      <c r="AG15" s="71">
        <v>2400</v>
      </c>
      <c r="AH15" s="73" t="s">
        <v>639</v>
      </c>
      <c r="AI15" s="71">
        <v>2400</v>
      </c>
      <c r="AJ15" s="73" t="s">
        <v>652</v>
      </c>
      <c r="AK15" s="71">
        <v>2400</v>
      </c>
      <c r="AL15" s="73" t="s">
        <v>782</v>
      </c>
      <c r="AM15" s="71">
        <v>2400</v>
      </c>
      <c r="AN15" s="73" t="s">
        <v>806</v>
      </c>
      <c r="AO15" s="71">
        <v>2400</v>
      </c>
      <c r="AP15" s="73" t="s">
        <v>894</v>
      </c>
      <c r="AQ15" s="177"/>
      <c r="AR15" s="131"/>
      <c r="AS15" s="130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2"/>
      <c r="BO15" s="177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78"/>
      <c r="CM15" s="179" t="s">
        <v>351</v>
      </c>
      <c r="CN15" s="180" t="s">
        <v>352</v>
      </c>
      <c r="CO15" s="184">
        <v>7000021</v>
      </c>
      <c r="CP15" s="181" t="s">
        <v>353</v>
      </c>
      <c r="CQ15" s="126" t="s">
        <v>277</v>
      </c>
      <c r="CR15" s="127"/>
      <c r="CS15" s="128"/>
      <c r="CT15" s="129"/>
      <c r="CU15" s="73"/>
      <c r="CV15" s="130"/>
      <c r="CW15" s="131"/>
      <c r="CX15" s="131"/>
      <c r="CY15" s="132"/>
      <c r="CZ15" s="71"/>
      <c r="DA15" s="134"/>
      <c r="DB15" s="135"/>
      <c r="DC15" s="137"/>
      <c r="DD15" s="135"/>
      <c r="DE15" s="137"/>
      <c r="DF15" s="135"/>
      <c r="DG15" s="137"/>
      <c r="DH15" s="92">
        <f t="shared" si="1"/>
        <v>10000</v>
      </c>
      <c r="DI15" s="129"/>
      <c r="DJ15" s="135"/>
      <c r="DK15" s="135"/>
      <c r="DL15" s="135"/>
      <c r="DM15" s="135"/>
      <c r="DN15" s="135"/>
      <c r="DO15" s="135"/>
      <c r="DP15" s="135"/>
      <c r="DQ15" s="189"/>
      <c r="DR15" s="129"/>
      <c r="DS15" s="135"/>
      <c r="DT15" s="135"/>
      <c r="DU15" s="135"/>
      <c r="DV15" s="135"/>
      <c r="DW15" s="135"/>
      <c r="DX15" s="135"/>
      <c r="DY15" s="135"/>
      <c r="DZ15" s="190"/>
      <c r="EA15" s="142" t="s">
        <v>443</v>
      </c>
      <c r="EB15" s="182" t="s">
        <v>444</v>
      </c>
      <c r="EC15" s="182">
        <v>8080417</v>
      </c>
      <c r="ED15" s="182" t="s">
        <v>445</v>
      </c>
      <c r="EE15" s="180"/>
      <c r="EF15" s="180"/>
      <c r="EG15" s="180"/>
      <c r="EH15" s="180"/>
      <c r="EI15" s="182"/>
      <c r="EJ15" s="182"/>
      <c r="EK15" s="182"/>
      <c r="EL15" s="182"/>
      <c r="EM15" s="183"/>
      <c r="EN15" s="184"/>
      <c r="EO15" s="180"/>
      <c r="EP15" s="180"/>
      <c r="EQ15" s="182"/>
      <c r="ER15" s="180"/>
      <c r="ES15" s="180"/>
      <c r="ET15" s="182"/>
      <c r="EU15" s="129"/>
      <c r="EV15" s="131"/>
      <c r="EW15" s="131"/>
      <c r="EX15" s="131"/>
      <c r="EY15" s="131"/>
      <c r="EZ15" s="132"/>
      <c r="FA15" s="148"/>
      <c r="FB15" s="131"/>
      <c r="FC15" s="135"/>
      <c r="FD15" s="131"/>
      <c r="FE15" s="135"/>
      <c r="FF15" s="131"/>
      <c r="FG15" s="135"/>
      <c r="FH15" s="131"/>
      <c r="FI15" s="135"/>
      <c r="FJ15" s="131"/>
      <c r="FK15" s="135"/>
      <c r="FL15" s="131"/>
      <c r="FM15" s="135"/>
      <c r="FN15" s="131"/>
      <c r="FO15" s="135"/>
      <c r="FP15" s="131"/>
      <c r="FQ15" s="135"/>
      <c r="FR15" s="131"/>
      <c r="FS15" s="135"/>
      <c r="FT15" s="131"/>
      <c r="FU15" s="135"/>
      <c r="FV15" s="131"/>
      <c r="FW15" s="135"/>
      <c r="FX15" s="132"/>
      <c r="FY15" s="103"/>
      <c r="FZ15" s="99"/>
      <c r="GA15" s="99"/>
      <c r="GB15" s="99"/>
      <c r="GC15" s="99"/>
      <c r="GD15" s="99"/>
      <c r="GE15" s="99"/>
      <c r="GF15" s="99"/>
      <c r="GG15" s="99"/>
      <c r="GH15" s="99"/>
      <c r="GI15" s="99"/>
      <c r="GJ15" s="99"/>
      <c r="GK15" s="99"/>
      <c r="GL15" s="99"/>
      <c r="GM15" s="99"/>
      <c r="GN15" s="99"/>
      <c r="GO15" s="99"/>
      <c r="GP15" s="99"/>
      <c r="GQ15" s="99"/>
      <c r="GR15" s="99"/>
      <c r="GS15" s="99"/>
      <c r="GT15" s="99"/>
      <c r="GU15" s="99"/>
      <c r="GV15" s="104"/>
      <c r="GW15" s="103"/>
      <c r="GX15" s="99"/>
      <c r="GY15" s="99"/>
      <c r="GZ15" s="99"/>
      <c r="HA15" s="99"/>
      <c r="HB15" s="99"/>
      <c r="HC15" s="99"/>
      <c r="HD15" s="99"/>
      <c r="HE15" s="99"/>
      <c r="HF15" s="99"/>
      <c r="HG15" s="99"/>
      <c r="HH15" s="99"/>
      <c r="HI15" s="99"/>
      <c r="HJ15" s="99"/>
      <c r="HK15" s="99"/>
      <c r="HL15" s="99"/>
      <c r="HM15" s="99"/>
      <c r="HN15" s="99"/>
      <c r="HO15" s="99"/>
      <c r="HP15" s="99"/>
      <c r="HQ15" s="99"/>
      <c r="HR15" s="99"/>
      <c r="HS15" s="99"/>
      <c r="HT15" s="105"/>
      <c r="JD15" s="589"/>
      <c r="JE15" s="589"/>
      <c r="JF15" s="589"/>
      <c r="JG15" s="589"/>
      <c r="JH15" s="589"/>
      <c r="JI15" s="589"/>
      <c r="JJ15" s="589"/>
      <c r="JK15" s="589"/>
      <c r="JL15" s="589"/>
      <c r="JM15" s="589"/>
      <c r="JN15" s="589"/>
      <c r="JO15" s="589"/>
    </row>
    <row r="16" spans="1:276" s="590" customFormat="1">
      <c r="A16" s="52">
        <f t="shared" si="2"/>
        <v>12</v>
      </c>
      <c r="B16" s="142" t="s">
        <v>206</v>
      </c>
      <c r="C16" s="54"/>
      <c r="D16" s="128" t="s">
        <v>218</v>
      </c>
      <c r="E16" s="56" t="s">
        <v>992</v>
      </c>
      <c r="F16" s="57"/>
      <c r="G16" s="58" t="s">
        <v>282</v>
      </c>
      <c r="H16" s="56" t="str">
        <f t="shared" si="0"/>
        <v>內湖區</v>
      </c>
      <c r="I16" s="56" t="s">
        <v>250</v>
      </c>
      <c r="J16" s="56" t="s">
        <v>283</v>
      </c>
      <c r="K16" s="56" t="s">
        <v>284</v>
      </c>
      <c r="L16" s="59">
        <v>79.7</v>
      </c>
      <c r="M16" s="56" t="s">
        <v>228</v>
      </c>
      <c r="N16" s="60">
        <f t="shared" ref="N16:N18" si="4">O16-365</f>
        <v>45223</v>
      </c>
      <c r="O16" s="60">
        <v>45588</v>
      </c>
      <c r="P16" s="175">
        <v>17000</v>
      </c>
      <c r="Q16" s="71">
        <v>16000</v>
      </c>
      <c r="R16" s="112" t="s">
        <v>247</v>
      </c>
      <c r="S16" s="71">
        <v>2400</v>
      </c>
      <c r="T16" s="73" t="s">
        <v>247</v>
      </c>
      <c r="U16" s="71">
        <v>2400</v>
      </c>
      <c r="V16" s="73" t="s">
        <v>248</v>
      </c>
      <c r="W16" s="71">
        <v>2400</v>
      </c>
      <c r="X16" s="73" t="s">
        <v>234</v>
      </c>
      <c r="Y16" s="71">
        <v>2400</v>
      </c>
      <c r="Z16" s="73" t="s">
        <v>235</v>
      </c>
      <c r="AA16" s="71">
        <v>2400</v>
      </c>
      <c r="AB16" s="73" t="s">
        <v>236</v>
      </c>
      <c r="AC16" s="71">
        <v>2400</v>
      </c>
      <c r="AD16" s="72" t="s">
        <v>569</v>
      </c>
      <c r="AE16" s="71">
        <v>2400</v>
      </c>
      <c r="AF16" s="72" t="s">
        <v>551</v>
      </c>
      <c r="AG16" s="71">
        <v>2400</v>
      </c>
      <c r="AH16" s="73" t="s">
        <v>640</v>
      </c>
      <c r="AI16" s="71">
        <v>2400</v>
      </c>
      <c r="AJ16" s="73" t="s">
        <v>705</v>
      </c>
      <c r="AK16" s="71">
        <v>2400</v>
      </c>
      <c r="AL16" s="73" t="s">
        <v>782</v>
      </c>
      <c r="AM16" s="71">
        <v>2400</v>
      </c>
      <c r="AN16" s="73" t="s">
        <v>806</v>
      </c>
      <c r="AO16" s="71">
        <v>2400</v>
      </c>
      <c r="AP16" s="73" t="s">
        <v>894</v>
      </c>
      <c r="AQ16" s="177"/>
      <c r="AR16" s="131"/>
      <c r="AS16" s="130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2"/>
      <c r="BO16" s="177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78"/>
      <c r="CM16" s="179" t="s">
        <v>354</v>
      </c>
      <c r="CN16" s="180" t="s">
        <v>355</v>
      </c>
      <c r="CO16" s="184">
        <v>8220266</v>
      </c>
      <c r="CP16" s="181" t="s">
        <v>356</v>
      </c>
      <c r="CQ16" s="126" t="s">
        <v>357</v>
      </c>
      <c r="CR16" s="127"/>
      <c r="CS16" s="128"/>
      <c r="CT16" s="129"/>
      <c r="CU16" s="73"/>
      <c r="CV16" s="130"/>
      <c r="CW16" s="131"/>
      <c r="CX16" s="131"/>
      <c r="CY16" s="132"/>
      <c r="CZ16" s="71">
        <v>3990</v>
      </c>
      <c r="DA16" s="134" t="s">
        <v>293</v>
      </c>
      <c r="DB16" s="135"/>
      <c r="DC16" s="137"/>
      <c r="DD16" s="135"/>
      <c r="DE16" s="137"/>
      <c r="DF16" s="135"/>
      <c r="DG16" s="137"/>
      <c r="DH16" s="92">
        <f t="shared" si="1"/>
        <v>6010</v>
      </c>
      <c r="DI16" s="129"/>
      <c r="DJ16" s="135"/>
      <c r="DK16" s="135"/>
      <c r="DL16" s="135"/>
      <c r="DM16" s="135"/>
      <c r="DN16" s="135"/>
      <c r="DO16" s="135"/>
      <c r="DP16" s="135"/>
      <c r="DQ16" s="189"/>
      <c r="DR16" s="129"/>
      <c r="DS16" s="135"/>
      <c r="DT16" s="135"/>
      <c r="DU16" s="135"/>
      <c r="DV16" s="135"/>
      <c r="DW16" s="135"/>
      <c r="DX16" s="135"/>
      <c r="DY16" s="135"/>
      <c r="DZ16" s="190"/>
      <c r="EA16" s="142" t="s">
        <v>446</v>
      </c>
      <c r="EB16" s="182" t="s">
        <v>447</v>
      </c>
      <c r="EC16" s="182">
        <v>7000021</v>
      </c>
      <c r="ED16" s="182" t="s">
        <v>448</v>
      </c>
      <c r="EE16" s="180"/>
      <c r="EF16" s="180"/>
      <c r="EG16" s="180"/>
      <c r="EH16" s="180"/>
      <c r="EI16" s="182"/>
      <c r="EJ16" s="182"/>
      <c r="EK16" s="182"/>
      <c r="EL16" s="182"/>
      <c r="EM16" s="183"/>
      <c r="EN16" s="184"/>
      <c r="EO16" s="180"/>
      <c r="EP16" s="180"/>
      <c r="EQ16" s="182"/>
      <c r="ER16" s="180"/>
      <c r="ES16" s="180"/>
      <c r="ET16" s="182"/>
      <c r="EU16" s="129"/>
      <c r="EV16" s="131"/>
      <c r="EW16" s="131"/>
      <c r="EX16" s="131"/>
      <c r="EY16" s="131"/>
      <c r="EZ16" s="132"/>
      <c r="FA16" s="148"/>
      <c r="FB16" s="131"/>
      <c r="FC16" s="135"/>
      <c r="FD16" s="131"/>
      <c r="FE16" s="135"/>
      <c r="FF16" s="131"/>
      <c r="FG16" s="135"/>
      <c r="FH16" s="131"/>
      <c r="FI16" s="135"/>
      <c r="FJ16" s="131"/>
      <c r="FK16" s="135"/>
      <c r="FL16" s="131"/>
      <c r="FM16" s="135"/>
      <c r="FN16" s="131"/>
      <c r="FO16" s="135"/>
      <c r="FP16" s="131"/>
      <c r="FQ16" s="135"/>
      <c r="FR16" s="131"/>
      <c r="FS16" s="135"/>
      <c r="FT16" s="131"/>
      <c r="FU16" s="135"/>
      <c r="FV16" s="131"/>
      <c r="FW16" s="135"/>
      <c r="FX16" s="132"/>
      <c r="FY16" s="103"/>
      <c r="FZ16" s="99"/>
      <c r="GA16" s="99"/>
      <c r="GB16" s="99"/>
      <c r="GC16" s="99"/>
      <c r="GD16" s="99"/>
      <c r="GE16" s="99"/>
      <c r="GF16" s="99"/>
      <c r="GG16" s="99"/>
      <c r="GH16" s="99"/>
      <c r="GI16" s="99"/>
      <c r="GJ16" s="99"/>
      <c r="GK16" s="99"/>
      <c r="GL16" s="99"/>
      <c r="GM16" s="99"/>
      <c r="GN16" s="99"/>
      <c r="GO16" s="99"/>
      <c r="GP16" s="99"/>
      <c r="GQ16" s="99"/>
      <c r="GR16" s="99"/>
      <c r="GS16" s="99"/>
      <c r="GT16" s="99"/>
      <c r="GU16" s="99"/>
      <c r="GV16" s="104"/>
      <c r="GW16" s="103"/>
      <c r="GX16" s="99"/>
      <c r="GY16" s="99"/>
      <c r="GZ16" s="99"/>
      <c r="HA16" s="99"/>
      <c r="HB16" s="99"/>
      <c r="HC16" s="99"/>
      <c r="HD16" s="99"/>
      <c r="HE16" s="99"/>
      <c r="HF16" s="99"/>
      <c r="HG16" s="99"/>
      <c r="HH16" s="99"/>
      <c r="HI16" s="99"/>
      <c r="HJ16" s="99"/>
      <c r="HK16" s="99"/>
      <c r="HL16" s="99"/>
      <c r="HM16" s="99"/>
      <c r="HN16" s="99"/>
      <c r="HO16" s="99"/>
      <c r="HP16" s="99"/>
      <c r="HQ16" s="99"/>
      <c r="HR16" s="99"/>
      <c r="HS16" s="99"/>
      <c r="HT16" s="105"/>
      <c r="HU16" s="589"/>
      <c r="HV16" s="589"/>
      <c r="HW16" s="589"/>
      <c r="HX16" s="589"/>
      <c r="HY16" s="589"/>
      <c r="HZ16" s="589"/>
      <c r="IA16" s="589"/>
      <c r="IB16" s="589"/>
      <c r="IC16" s="589"/>
      <c r="ID16" s="589"/>
      <c r="IE16" s="589"/>
      <c r="IF16" s="589"/>
      <c r="JD16" s="589"/>
      <c r="JE16" s="589"/>
      <c r="JF16" s="589"/>
      <c r="JG16" s="589"/>
      <c r="JH16" s="589"/>
      <c r="JI16" s="589"/>
      <c r="JJ16" s="589"/>
      <c r="JK16" s="589"/>
      <c r="JL16" s="589"/>
      <c r="JM16" s="589"/>
      <c r="JN16" s="589"/>
      <c r="JO16" s="589"/>
    </row>
    <row r="17" spans="1:263" s="590" customFormat="1">
      <c r="A17" s="52">
        <f t="shared" si="2"/>
        <v>13</v>
      </c>
      <c r="B17" s="142" t="s">
        <v>206</v>
      </c>
      <c r="C17" s="54"/>
      <c r="D17" s="128" t="s">
        <v>219</v>
      </c>
      <c r="E17" s="56" t="s">
        <v>992</v>
      </c>
      <c r="F17" s="57"/>
      <c r="G17" s="58" t="s">
        <v>285</v>
      </c>
      <c r="H17" s="56" t="str">
        <f t="shared" si="0"/>
        <v>中山區</v>
      </c>
      <c r="I17" s="56" t="s">
        <v>286</v>
      </c>
      <c r="J17" s="56" t="s">
        <v>287</v>
      </c>
      <c r="K17" s="56" t="s">
        <v>288</v>
      </c>
      <c r="L17" s="59">
        <v>37.340000000000003</v>
      </c>
      <c r="M17" s="56" t="s">
        <v>228</v>
      </c>
      <c r="N17" s="60">
        <f t="shared" si="4"/>
        <v>45214</v>
      </c>
      <c r="O17" s="60">
        <v>45579</v>
      </c>
      <c r="P17" s="175">
        <v>23000</v>
      </c>
      <c r="Q17" s="71">
        <v>8000</v>
      </c>
      <c r="R17" s="112" t="s">
        <v>247</v>
      </c>
      <c r="S17" s="71">
        <v>2400</v>
      </c>
      <c r="T17" s="73" t="s">
        <v>247</v>
      </c>
      <c r="U17" s="71">
        <v>2400</v>
      </c>
      <c r="V17" s="73" t="s">
        <v>233</v>
      </c>
      <c r="W17" s="71">
        <v>2400</v>
      </c>
      <c r="X17" s="73" t="s">
        <v>234</v>
      </c>
      <c r="Y17" s="71">
        <v>2400</v>
      </c>
      <c r="Z17" s="73" t="s">
        <v>235</v>
      </c>
      <c r="AA17" s="71">
        <v>2400</v>
      </c>
      <c r="AB17" s="73" t="s">
        <v>236</v>
      </c>
      <c r="AC17" s="71">
        <v>2400</v>
      </c>
      <c r="AD17" s="72" t="s">
        <v>569</v>
      </c>
      <c r="AE17" s="71">
        <v>2400</v>
      </c>
      <c r="AF17" s="72" t="s">
        <v>551</v>
      </c>
      <c r="AG17" s="71">
        <v>2400</v>
      </c>
      <c r="AH17" s="73" t="s">
        <v>639</v>
      </c>
      <c r="AI17" s="71">
        <v>2400</v>
      </c>
      <c r="AJ17" s="73" t="s">
        <v>652</v>
      </c>
      <c r="AK17" s="71">
        <v>2400</v>
      </c>
      <c r="AL17" s="73" t="s">
        <v>782</v>
      </c>
      <c r="AM17" s="71">
        <v>2400</v>
      </c>
      <c r="AN17" s="73" t="s">
        <v>806</v>
      </c>
      <c r="AO17" s="71">
        <v>2400</v>
      </c>
      <c r="AP17" s="73" t="s">
        <v>894</v>
      </c>
      <c r="AQ17" s="177"/>
      <c r="AR17" s="131"/>
      <c r="AS17" s="130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2"/>
      <c r="BO17" s="177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78"/>
      <c r="CM17" s="179" t="s">
        <v>358</v>
      </c>
      <c r="CN17" s="180" t="s">
        <v>359</v>
      </c>
      <c r="CO17" s="184" t="s">
        <v>360</v>
      </c>
      <c r="CP17" s="181" t="s">
        <v>361</v>
      </c>
      <c r="CQ17" s="126" t="s">
        <v>362</v>
      </c>
      <c r="CR17" s="127"/>
      <c r="CS17" s="128"/>
      <c r="CT17" s="129"/>
      <c r="CU17" s="73"/>
      <c r="CV17" s="130"/>
      <c r="CW17" s="131"/>
      <c r="CX17" s="131"/>
      <c r="CY17" s="132"/>
      <c r="CZ17" s="71">
        <v>9900</v>
      </c>
      <c r="DA17" s="134" t="s">
        <v>806</v>
      </c>
      <c r="DB17" s="135"/>
      <c r="DC17" s="137"/>
      <c r="DD17" s="135"/>
      <c r="DE17" s="137"/>
      <c r="DF17" s="135"/>
      <c r="DG17" s="137"/>
      <c r="DH17" s="92">
        <f t="shared" si="1"/>
        <v>100</v>
      </c>
      <c r="DI17" s="129"/>
      <c r="DJ17" s="135"/>
      <c r="DK17" s="135"/>
      <c r="DL17" s="135"/>
      <c r="DM17" s="135"/>
      <c r="DN17" s="135"/>
      <c r="DO17" s="135"/>
      <c r="DP17" s="135"/>
      <c r="DQ17" s="189"/>
      <c r="DR17" s="129"/>
      <c r="DS17" s="135"/>
      <c r="DT17" s="135"/>
      <c r="DU17" s="135"/>
      <c r="DV17" s="135"/>
      <c r="DW17" s="135"/>
      <c r="DX17" s="135"/>
      <c r="DY17" s="135"/>
      <c r="DZ17" s="190"/>
      <c r="EA17" s="142" t="s">
        <v>449</v>
      </c>
      <c r="EB17" s="182" t="s">
        <v>450</v>
      </c>
      <c r="EC17" s="182">
        <v>7000021</v>
      </c>
      <c r="ED17" s="182" t="s">
        <v>451</v>
      </c>
      <c r="EE17" s="180" t="s">
        <v>452</v>
      </c>
      <c r="EF17" s="180" t="s">
        <v>453</v>
      </c>
      <c r="EG17" s="180" t="s">
        <v>392</v>
      </c>
      <c r="EH17" s="180"/>
      <c r="EI17" s="182"/>
      <c r="EJ17" s="182"/>
      <c r="EK17" s="182"/>
      <c r="EL17" s="182"/>
      <c r="EM17" s="183"/>
      <c r="EN17" s="184"/>
      <c r="EO17" s="180"/>
      <c r="EP17" s="180"/>
      <c r="EQ17" s="182"/>
      <c r="ER17" s="180"/>
      <c r="ES17" s="180"/>
      <c r="ET17" s="182"/>
      <c r="EU17" s="129"/>
      <c r="EV17" s="131"/>
      <c r="EW17" s="131"/>
      <c r="EX17" s="131"/>
      <c r="EY17" s="131"/>
      <c r="EZ17" s="132"/>
      <c r="FA17" s="148"/>
      <c r="FB17" s="131"/>
      <c r="FC17" s="135"/>
      <c r="FD17" s="131"/>
      <c r="FE17" s="135"/>
      <c r="FF17" s="131"/>
      <c r="FG17" s="135"/>
      <c r="FH17" s="131"/>
      <c r="FI17" s="135"/>
      <c r="FJ17" s="131"/>
      <c r="FK17" s="135"/>
      <c r="FL17" s="131"/>
      <c r="FM17" s="135"/>
      <c r="FN17" s="131"/>
      <c r="FO17" s="135"/>
      <c r="FP17" s="131"/>
      <c r="FQ17" s="135"/>
      <c r="FR17" s="131"/>
      <c r="FS17" s="135"/>
      <c r="FT17" s="131"/>
      <c r="FU17" s="135"/>
      <c r="FV17" s="131"/>
      <c r="FW17" s="135"/>
      <c r="FX17" s="132"/>
      <c r="FY17" s="103"/>
      <c r="FZ17" s="99"/>
      <c r="GA17" s="99"/>
      <c r="GB17" s="99"/>
      <c r="GC17" s="99"/>
      <c r="GD17" s="99"/>
      <c r="GE17" s="99"/>
      <c r="GF17" s="99"/>
      <c r="GG17" s="99"/>
      <c r="GH17" s="99"/>
      <c r="GI17" s="99"/>
      <c r="GJ17" s="99"/>
      <c r="GK17" s="99"/>
      <c r="GL17" s="99"/>
      <c r="GM17" s="99"/>
      <c r="GN17" s="99"/>
      <c r="GO17" s="99"/>
      <c r="GP17" s="99"/>
      <c r="GQ17" s="99"/>
      <c r="GR17" s="99"/>
      <c r="GS17" s="99"/>
      <c r="GT17" s="99"/>
      <c r="GU17" s="99"/>
      <c r="GV17" s="104"/>
      <c r="GW17" s="103"/>
      <c r="GX17" s="99"/>
      <c r="GY17" s="99"/>
      <c r="GZ17" s="99"/>
      <c r="HA17" s="99"/>
      <c r="HB17" s="99"/>
      <c r="HC17" s="99"/>
      <c r="HD17" s="99"/>
      <c r="HE17" s="99"/>
      <c r="HF17" s="99"/>
      <c r="HG17" s="99"/>
      <c r="HH17" s="99"/>
      <c r="HI17" s="99"/>
      <c r="HJ17" s="99"/>
      <c r="HK17" s="99"/>
      <c r="HL17" s="99"/>
      <c r="HM17" s="99"/>
      <c r="HN17" s="99"/>
      <c r="HO17" s="99"/>
      <c r="HP17" s="99"/>
      <c r="HQ17" s="99"/>
      <c r="HR17" s="99"/>
      <c r="HS17" s="99"/>
      <c r="HT17" s="105"/>
      <c r="HU17" s="589"/>
      <c r="HV17" s="589"/>
      <c r="HW17" s="589"/>
      <c r="HX17" s="589"/>
      <c r="HY17" s="589"/>
      <c r="HZ17" s="589"/>
      <c r="IA17" s="589"/>
      <c r="IB17" s="589"/>
      <c r="IC17" s="589"/>
      <c r="ID17" s="589"/>
      <c r="IE17" s="589"/>
      <c r="IF17" s="589"/>
      <c r="IR17" s="589"/>
      <c r="IS17" s="589"/>
      <c r="IT17" s="589"/>
      <c r="IU17" s="589"/>
      <c r="IV17" s="589"/>
      <c r="IW17" s="589"/>
      <c r="IX17" s="589"/>
      <c r="IY17" s="589"/>
      <c r="IZ17" s="589"/>
      <c r="JA17" s="589"/>
      <c r="JB17" s="589"/>
      <c r="JC17" s="589"/>
    </row>
    <row r="18" spans="1:263" s="590" customFormat="1">
      <c r="A18" s="52">
        <f t="shared" si="2"/>
        <v>14</v>
      </c>
      <c r="B18" s="142" t="s">
        <v>206</v>
      </c>
      <c r="C18" s="54"/>
      <c r="D18" s="128" t="s">
        <v>220</v>
      </c>
      <c r="E18" s="56" t="s">
        <v>992</v>
      </c>
      <c r="F18" s="57"/>
      <c r="G18" s="58" t="s">
        <v>289</v>
      </c>
      <c r="H18" s="56" t="str">
        <f t="shared" si="0"/>
        <v>士林區</v>
      </c>
      <c r="I18" s="56" t="s">
        <v>290</v>
      </c>
      <c r="J18" s="56" t="s">
        <v>291</v>
      </c>
      <c r="K18" s="56" t="s">
        <v>292</v>
      </c>
      <c r="L18" s="59">
        <v>47.21</v>
      </c>
      <c r="M18" s="56" t="s">
        <v>228</v>
      </c>
      <c r="N18" s="60">
        <f t="shared" si="4"/>
        <v>45260</v>
      </c>
      <c r="O18" s="60">
        <v>45625</v>
      </c>
      <c r="P18" s="175">
        <v>17000</v>
      </c>
      <c r="Q18" s="71">
        <v>8000</v>
      </c>
      <c r="R18" s="112" t="s">
        <v>293</v>
      </c>
      <c r="S18" s="71">
        <v>2400</v>
      </c>
      <c r="T18" s="73" t="s">
        <v>293</v>
      </c>
      <c r="U18" s="71">
        <v>2400</v>
      </c>
      <c r="V18" s="73" t="s">
        <v>293</v>
      </c>
      <c r="W18" s="71">
        <v>2400</v>
      </c>
      <c r="X18" s="73" t="s">
        <v>235</v>
      </c>
      <c r="Y18" s="71">
        <v>2400</v>
      </c>
      <c r="Z18" s="73" t="s">
        <v>236</v>
      </c>
      <c r="AA18" s="71">
        <v>2400</v>
      </c>
      <c r="AB18" s="72" t="s">
        <v>569</v>
      </c>
      <c r="AC18" s="71">
        <v>2400</v>
      </c>
      <c r="AD18" s="72" t="s">
        <v>551</v>
      </c>
      <c r="AE18" s="71">
        <v>2400</v>
      </c>
      <c r="AF18" s="73" t="s">
        <v>640</v>
      </c>
      <c r="AG18" s="71">
        <v>2400</v>
      </c>
      <c r="AH18" s="73" t="s">
        <v>705</v>
      </c>
      <c r="AI18" s="71">
        <v>2400</v>
      </c>
      <c r="AJ18" s="73" t="s">
        <v>782</v>
      </c>
      <c r="AK18" s="71">
        <v>2400</v>
      </c>
      <c r="AL18" s="73" t="s">
        <v>806</v>
      </c>
      <c r="AM18" s="71">
        <v>2400</v>
      </c>
      <c r="AN18" s="73" t="s">
        <v>894</v>
      </c>
      <c r="AO18" s="71">
        <v>2400</v>
      </c>
      <c r="AP18" s="73">
        <v>45646</v>
      </c>
      <c r="AQ18" s="177"/>
      <c r="AR18" s="131"/>
      <c r="AS18" s="130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2"/>
      <c r="BO18" s="177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78"/>
      <c r="CM18" s="179" t="s">
        <v>363</v>
      </c>
      <c r="CN18" s="180" t="s">
        <v>364</v>
      </c>
      <c r="CO18" s="184">
        <v>1080014</v>
      </c>
      <c r="CP18" s="181" t="s">
        <v>365</v>
      </c>
      <c r="CQ18" s="126" t="s">
        <v>366</v>
      </c>
      <c r="CR18" s="127"/>
      <c r="CS18" s="128"/>
      <c r="CT18" s="129"/>
      <c r="CU18" s="73"/>
      <c r="CV18" s="130"/>
      <c r="CW18" s="131"/>
      <c r="CX18" s="131"/>
      <c r="CY18" s="132"/>
      <c r="CZ18" s="71">
        <v>1500</v>
      </c>
      <c r="DA18" s="134" t="s">
        <v>894</v>
      </c>
      <c r="DB18" s="135"/>
      <c r="DC18" s="137"/>
      <c r="DD18" s="135"/>
      <c r="DE18" s="137"/>
      <c r="DF18" s="135"/>
      <c r="DG18" s="137"/>
      <c r="DH18" s="92">
        <f t="shared" si="1"/>
        <v>8500</v>
      </c>
      <c r="DI18" s="129"/>
      <c r="DJ18" s="135"/>
      <c r="DK18" s="135"/>
      <c r="DL18" s="135"/>
      <c r="DM18" s="135"/>
      <c r="DN18" s="135"/>
      <c r="DO18" s="135"/>
      <c r="DP18" s="135"/>
      <c r="DQ18" s="189"/>
      <c r="DR18" s="129"/>
      <c r="DS18" s="135"/>
      <c r="DT18" s="135"/>
      <c r="DU18" s="135"/>
      <c r="DV18" s="135"/>
      <c r="DW18" s="135"/>
      <c r="DX18" s="135"/>
      <c r="DY18" s="135"/>
      <c r="DZ18" s="190"/>
      <c r="EA18" s="142" t="s">
        <v>454</v>
      </c>
      <c r="EB18" s="182" t="s">
        <v>455</v>
      </c>
      <c r="EC18" s="182" t="s">
        <v>456</v>
      </c>
      <c r="ED18" s="182" t="s">
        <v>469</v>
      </c>
      <c r="EE18" s="180" t="s">
        <v>457</v>
      </c>
      <c r="EF18" s="180" t="s">
        <v>458</v>
      </c>
      <c r="EG18" s="180" t="s">
        <v>437</v>
      </c>
      <c r="EH18" s="180"/>
      <c r="EI18" s="182"/>
      <c r="EJ18" s="182"/>
      <c r="EK18" s="182"/>
      <c r="EL18" s="182"/>
      <c r="EM18" s="183"/>
      <c r="EN18" s="184"/>
      <c r="EO18" s="180"/>
      <c r="EP18" s="180"/>
      <c r="EQ18" s="182"/>
      <c r="ER18" s="180"/>
      <c r="ES18" s="180"/>
      <c r="ET18" s="182"/>
      <c r="EU18" s="129"/>
      <c r="EV18" s="131"/>
      <c r="EW18" s="131"/>
      <c r="EX18" s="131"/>
      <c r="EY18" s="131"/>
      <c r="EZ18" s="132"/>
      <c r="FA18" s="148"/>
      <c r="FB18" s="131"/>
      <c r="FC18" s="135"/>
      <c r="FD18" s="131"/>
      <c r="FE18" s="135"/>
      <c r="FF18" s="131"/>
      <c r="FG18" s="135"/>
      <c r="FH18" s="131"/>
      <c r="FI18" s="135"/>
      <c r="FJ18" s="131"/>
      <c r="FK18" s="135"/>
      <c r="FL18" s="131"/>
      <c r="FM18" s="135"/>
      <c r="FN18" s="131"/>
      <c r="FO18" s="135"/>
      <c r="FP18" s="131"/>
      <c r="FQ18" s="135"/>
      <c r="FR18" s="131"/>
      <c r="FS18" s="135"/>
      <c r="FT18" s="131"/>
      <c r="FU18" s="135"/>
      <c r="FV18" s="131"/>
      <c r="FW18" s="135"/>
      <c r="FX18" s="132"/>
      <c r="FY18" s="103"/>
      <c r="FZ18" s="99"/>
      <c r="GA18" s="99"/>
      <c r="GB18" s="99"/>
      <c r="GC18" s="99"/>
      <c r="GD18" s="99"/>
      <c r="GE18" s="99"/>
      <c r="GF18" s="99"/>
      <c r="GG18" s="99"/>
      <c r="GH18" s="99"/>
      <c r="GI18" s="99"/>
      <c r="GJ18" s="99"/>
      <c r="GK18" s="99"/>
      <c r="GL18" s="99"/>
      <c r="GM18" s="99"/>
      <c r="GN18" s="99"/>
      <c r="GO18" s="99"/>
      <c r="GP18" s="99"/>
      <c r="GQ18" s="99"/>
      <c r="GR18" s="99"/>
      <c r="GS18" s="99"/>
      <c r="GT18" s="99"/>
      <c r="GU18" s="99"/>
      <c r="GV18" s="104"/>
      <c r="GW18" s="103"/>
      <c r="GX18" s="99"/>
      <c r="GY18" s="99"/>
      <c r="GZ18" s="99"/>
      <c r="HA18" s="99"/>
      <c r="HB18" s="99"/>
      <c r="HC18" s="99"/>
      <c r="HD18" s="99"/>
      <c r="HE18" s="99"/>
      <c r="HF18" s="99"/>
      <c r="HG18" s="99"/>
      <c r="HH18" s="99"/>
      <c r="HI18" s="99"/>
      <c r="HJ18" s="99"/>
      <c r="HK18" s="99"/>
      <c r="HL18" s="99"/>
      <c r="HM18" s="99"/>
      <c r="HN18" s="99"/>
      <c r="HO18" s="99"/>
      <c r="HP18" s="99"/>
      <c r="HQ18" s="99"/>
      <c r="HR18" s="99"/>
      <c r="HS18" s="99"/>
      <c r="HT18" s="105"/>
      <c r="HU18" s="589"/>
      <c r="HV18" s="589"/>
      <c r="HW18" s="589"/>
      <c r="HX18" s="589"/>
      <c r="HY18" s="589"/>
      <c r="HZ18" s="589"/>
      <c r="IA18" s="589"/>
      <c r="IB18" s="589"/>
      <c r="IC18" s="589"/>
      <c r="ID18" s="589"/>
      <c r="IE18" s="589"/>
      <c r="IF18" s="589"/>
      <c r="IR18" s="589"/>
      <c r="IS18" s="589"/>
      <c r="IT18" s="589"/>
      <c r="IU18" s="589"/>
      <c r="IV18" s="589"/>
      <c r="IW18" s="589"/>
      <c r="IX18" s="589"/>
      <c r="IY18" s="589"/>
      <c r="IZ18" s="589"/>
      <c r="JA18" s="589"/>
      <c r="JB18" s="589"/>
      <c r="JC18" s="589"/>
    </row>
    <row r="19" spans="1:263" s="590" customFormat="1">
      <c r="A19" s="52">
        <f t="shared" si="2"/>
        <v>15</v>
      </c>
      <c r="B19" s="142" t="s">
        <v>206</v>
      </c>
      <c r="C19" s="54"/>
      <c r="D19" s="128" t="s">
        <v>221</v>
      </c>
      <c r="E19" s="56" t="s">
        <v>992</v>
      </c>
      <c r="F19" s="57"/>
      <c r="G19" s="58" t="s">
        <v>294</v>
      </c>
      <c r="H19" s="56" t="str">
        <f t="shared" si="0"/>
        <v>中正區</v>
      </c>
      <c r="I19" s="56" t="s">
        <v>295</v>
      </c>
      <c r="J19" s="56" t="s">
        <v>296</v>
      </c>
      <c r="K19" s="56" t="s">
        <v>297</v>
      </c>
      <c r="L19" s="59">
        <v>93.31</v>
      </c>
      <c r="M19" s="56" t="s">
        <v>228</v>
      </c>
      <c r="N19" s="60" t="s">
        <v>298</v>
      </c>
      <c r="O19" s="60" t="s">
        <v>299</v>
      </c>
      <c r="P19" s="175">
        <v>29000</v>
      </c>
      <c r="Q19" s="71">
        <v>16000</v>
      </c>
      <c r="R19" s="112" t="s">
        <v>300</v>
      </c>
      <c r="S19" s="71">
        <v>2400</v>
      </c>
      <c r="T19" s="73" t="s">
        <v>300</v>
      </c>
      <c r="U19" s="71">
        <v>2400</v>
      </c>
      <c r="V19" s="73" t="s">
        <v>235</v>
      </c>
      <c r="W19" s="71">
        <v>2400</v>
      </c>
      <c r="X19" s="73" t="s">
        <v>236</v>
      </c>
      <c r="Y19" s="71">
        <v>2400</v>
      </c>
      <c r="Z19" s="72" t="s">
        <v>569</v>
      </c>
      <c r="AA19" s="71">
        <v>2400</v>
      </c>
      <c r="AB19" s="72" t="s">
        <v>551</v>
      </c>
      <c r="AC19" s="71">
        <v>2400</v>
      </c>
      <c r="AD19" s="73" t="s">
        <v>640</v>
      </c>
      <c r="AE19" s="71">
        <v>2400</v>
      </c>
      <c r="AF19" s="73" t="s">
        <v>705</v>
      </c>
      <c r="AG19" s="71">
        <v>2400</v>
      </c>
      <c r="AH19" s="73" t="s">
        <v>782</v>
      </c>
      <c r="AI19" s="71">
        <v>2400</v>
      </c>
      <c r="AJ19" s="73" t="s">
        <v>806</v>
      </c>
      <c r="AK19" s="71">
        <v>2400</v>
      </c>
      <c r="AL19" s="73" t="s">
        <v>894</v>
      </c>
      <c r="AM19" s="71">
        <v>2400</v>
      </c>
      <c r="AN19" s="73">
        <v>45646</v>
      </c>
      <c r="AO19" s="71">
        <v>2400</v>
      </c>
      <c r="AP19" s="73" t="s">
        <v>979</v>
      </c>
      <c r="AQ19" s="177"/>
      <c r="AR19" s="131"/>
      <c r="AS19" s="130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2"/>
      <c r="BO19" s="177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78"/>
      <c r="CM19" s="179" t="s">
        <v>367</v>
      </c>
      <c r="CN19" s="180" t="s">
        <v>368</v>
      </c>
      <c r="CO19" s="184" t="s">
        <v>369</v>
      </c>
      <c r="CP19" s="181" t="s">
        <v>370</v>
      </c>
      <c r="CQ19" s="126" t="s">
        <v>294</v>
      </c>
      <c r="CR19" s="127"/>
      <c r="CS19" s="128"/>
      <c r="CT19" s="129"/>
      <c r="CU19" s="73"/>
      <c r="CV19" s="130"/>
      <c r="CW19" s="131"/>
      <c r="CX19" s="131"/>
      <c r="CY19" s="132"/>
      <c r="CZ19" s="71">
        <v>1250</v>
      </c>
      <c r="DA19" s="134" t="s">
        <v>380</v>
      </c>
      <c r="DB19" s="135">
        <v>8750</v>
      </c>
      <c r="DC19" s="137" t="s">
        <v>236</v>
      </c>
      <c r="DD19" s="135"/>
      <c r="DE19" s="137"/>
      <c r="DF19" s="135"/>
      <c r="DG19" s="137"/>
      <c r="DH19" s="92">
        <f t="shared" si="1"/>
        <v>0</v>
      </c>
      <c r="DI19" s="129"/>
      <c r="DJ19" s="135"/>
      <c r="DK19" s="135"/>
      <c r="DL19" s="135"/>
      <c r="DM19" s="135"/>
      <c r="DN19" s="135"/>
      <c r="DO19" s="135"/>
      <c r="DP19" s="135"/>
      <c r="DQ19" s="189"/>
      <c r="DR19" s="129"/>
      <c r="DS19" s="135"/>
      <c r="DT19" s="135"/>
      <c r="DU19" s="135"/>
      <c r="DV19" s="135"/>
      <c r="DW19" s="135"/>
      <c r="DX19" s="135"/>
      <c r="DY19" s="135"/>
      <c r="DZ19" s="190"/>
      <c r="EA19" s="142" t="s">
        <v>459</v>
      </c>
      <c r="EB19" s="182" t="s">
        <v>460</v>
      </c>
      <c r="EC19" s="182" t="s">
        <v>456</v>
      </c>
      <c r="ED19" s="182" t="s">
        <v>461</v>
      </c>
      <c r="EE19" s="180" t="s">
        <v>462</v>
      </c>
      <c r="EF19" s="180" t="s">
        <v>463</v>
      </c>
      <c r="EG19" s="180" t="s">
        <v>437</v>
      </c>
      <c r="EH19" s="180"/>
      <c r="EI19" s="182"/>
      <c r="EJ19" s="182"/>
      <c r="EK19" s="182"/>
      <c r="EL19" s="182"/>
      <c r="EM19" s="183"/>
      <c r="EN19" s="184"/>
      <c r="EO19" s="180"/>
      <c r="EP19" s="180"/>
      <c r="EQ19" s="182"/>
      <c r="ER19" s="180"/>
      <c r="ES19" s="180"/>
      <c r="ET19" s="182"/>
      <c r="EU19" s="129"/>
      <c r="EV19" s="131"/>
      <c r="EW19" s="131"/>
      <c r="EX19" s="131"/>
      <c r="EY19" s="131"/>
      <c r="EZ19" s="132"/>
      <c r="FA19" s="148"/>
      <c r="FB19" s="131"/>
      <c r="FC19" s="135"/>
      <c r="FD19" s="131"/>
      <c r="FE19" s="135"/>
      <c r="FF19" s="131"/>
      <c r="FG19" s="135"/>
      <c r="FH19" s="131"/>
      <c r="FI19" s="135"/>
      <c r="FJ19" s="131"/>
      <c r="FK19" s="135"/>
      <c r="FL19" s="131"/>
      <c r="FM19" s="135"/>
      <c r="FN19" s="131"/>
      <c r="FO19" s="135"/>
      <c r="FP19" s="131"/>
      <c r="FQ19" s="135"/>
      <c r="FR19" s="131"/>
      <c r="FS19" s="135"/>
      <c r="FT19" s="131"/>
      <c r="FU19" s="135"/>
      <c r="FV19" s="131"/>
      <c r="FW19" s="135"/>
      <c r="FX19" s="132"/>
      <c r="FY19" s="103"/>
      <c r="FZ19" s="99"/>
      <c r="GA19" s="99"/>
      <c r="GB19" s="99"/>
      <c r="GC19" s="99"/>
      <c r="GD19" s="99"/>
      <c r="GE19" s="99"/>
      <c r="GF19" s="99"/>
      <c r="GG19" s="99"/>
      <c r="GH19" s="99"/>
      <c r="GI19" s="99"/>
      <c r="GJ19" s="99"/>
      <c r="GK19" s="99"/>
      <c r="GL19" s="99"/>
      <c r="GM19" s="99"/>
      <c r="GN19" s="99"/>
      <c r="GO19" s="99"/>
      <c r="GP19" s="99"/>
      <c r="GQ19" s="99"/>
      <c r="GR19" s="99"/>
      <c r="GS19" s="99"/>
      <c r="GT19" s="99"/>
      <c r="GU19" s="99"/>
      <c r="GV19" s="104"/>
      <c r="GW19" s="103"/>
      <c r="GX19" s="99"/>
      <c r="GY19" s="99"/>
      <c r="GZ19" s="99"/>
      <c r="HA19" s="99"/>
      <c r="HB19" s="99"/>
      <c r="HC19" s="99"/>
      <c r="HD19" s="99"/>
      <c r="HE19" s="99"/>
      <c r="HF19" s="99"/>
      <c r="HG19" s="99"/>
      <c r="HH19" s="99"/>
      <c r="HI19" s="99"/>
      <c r="HJ19" s="99"/>
      <c r="HK19" s="99"/>
      <c r="HL19" s="99"/>
      <c r="HM19" s="99"/>
      <c r="HN19" s="99"/>
      <c r="HO19" s="99"/>
      <c r="HP19" s="99"/>
      <c r="HQ19" s="99"/>
      <c r="HR19" s="99"/>
      <c r="HS19" s="99"/>
      <c r="HT19" s="105"/>
      <c r="HU19" s="589"/>
      <c r="HV19" s="589"/>
      <c r="HW19" s="589"/>
      <c r="HX19" s="589"/>
      <c r="HY19" s="589"/>
      <c r="HZ19" s="589"/>
      <c r="IA19" s="589"/>
      <c r="IB19" s="589"/>
      <c r="IC19" s="589"/>
      <c r="ID19" s="589"/>
      <c r="IE19" s="589"/>
      <c r="IF19" s="589"/>
      <c r="IR19" s="589"/>
      <c r="IS19" s="589"/>
      <c r="IT19" s="589"/>
      <c r="IU19" s="589"/>
      <c r="IV19" s="589"/>
      <c r="IW19" s="589"/>
      <c r="IX19" s="589"/>
      <c r="IY19" s="589"/>
      <c r="IZ19" s="589"/>
      <c r="JA19" s="589"/>
      <c r="JB19" s="589"/>
      <c r="JC19" s="589"/>
    </row>
    <row r="20" spans="1:263" s="590" customFormat="1">
      <c r="A20" s="52">
        <f t="shared" si="2"/>
        <v>16</v>
      </c>
      <c r="B20" s="142" t="s">
        <v>206</v>
      </c>
      <c r="C20" s="54"/>
      <c r="D20" s="128" t="s">
        <v>222</v>
      </c>
      <c r="E20" s="56" t="s">
        <v>780</v>
      </c>
      <c r="F20" s="57" t="s">
        <v>1026</v>
      </c>
      <c r="G20" s="58" t="s">
        <v>301</v>
      </c>
      <c r="H20" s="56" t="str">
        <f t="shared" si="0"/>
        <v>士林區</v>
      </c>
      <c r="I20" s="56" t="s">
        <v>302</v>
      </c>
      <c r="J20" s="56" t="s">
        <v>303</v>
      </c>
      <c r="K20" s="56" t="s">
        <v>304</v>
      </c>
      <c r="L20" s="59">
        <v>107.65</v>
      </c>
      <c r="M20" s="56" t="s">
        <v>228</v>
      </c>
      <c r="N20" s="60">
        <v>45301</v>
      </c>
      <c r="O20" s="60">
        <f t="shared" ref="O20:O22" si="5">N20+365</f>
        <v>45666</v>
      </c>
      <c r="P20" s="175">
        <v>22000</v>
      </c>
      <c r="Q20" s="71">
        <v>16000</v>
      </c>
      <c r="R20" s="112" t="s">
        <v>236</v>
      </c>
      <c r="S20" s="71">
        <v>2400</v>
      </c>
      <c r="T20" s="73" t="s">
        <v>236</v>
      </c>
      <c r="U20" s="71">
        <v>2400</v>
      </c>
      <c r="V20" s="73" t="s">
        <v>236</v>
      </c>
      <c r="W20" s="71">
        <v>2400</v>
      </c>
      <c r="X20" s="72" t="s">
        <v>569</v>
      </c>
      <c r="Y20" s="71">
        <v>2400</v>
      </c>
      <c r="Z20" s="72" t="s">
        <v>551</v>
      </c>
      <c r="AA20" s="71">
        <v>2400</v>
      </c>
      <c r="AB20" s="73" t="s">
        <v>639</v>
      </c>
      <c r="AC20" s="71">
        <v>2400</v>
      </c>
      <c r="AD20" s="73" t="s">
        <v>652</v>
      </c>
      <c r="AE20" s="71">
        <v>2400</v>
      </c>
      <c r="AF20" s="73" t="s">
        <v>782</v>
      </c>
      <c r="AG20" s="71">
        <v>2400</v>
      </c>
      <c r="AH20" s="73" t="s">
        <v>806</v>
      </c>
      <c r="AI20" s="71">
        <v>2400</v>
      </c>
      <c r="AJ20" s="73" t="s">
        <v>894</v>
      </c>
      <c r="AK20" s="71">
        <v>2400</v>
      </c>
      <c r="AL20" s="73">
        <v>45646</v>
      </c>
      <c r="AM20" s="71">
        <v>2400</v>
      </c>
      <c r="AN20" s="73" t="s">
        <v>979</v>
      </c>
      <c r="AO20" s="71">
        <v>2400</v>
      </c>
      <c r="AP20" s="73" t="s">
        <v>1007</v>
      </c>
      <c r="AQ20" s="177"/>
      <c r="AR20" s="131"/>
      <c r="AS20" s="130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2"/>
      <c r="BO20" s="177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78"/>
      <c r="CM20" s="179" t="s">
        <v>371</v>
      </c>
      <c r="CN20" s="180" t="s">
        <v>372</v>
      </c>
      <c r="CO20" s="184">
        <v>7000021</v>
      </c>
      <c r="CP20" s="181" t="s">
        <v>373</v>
      </c>
      <c r="CQ20" s="126" t="s">
        <v>374</v>
      </c>
      <c r="CR20" s="127"/>
      <c r="CS20" s="128"/>
      <c r="CT20" s="129">
        <v>3300</v>
      </c>
      <c r="CU20" s="73" t="s">
        <v>236</v>
      </c>
      <c r="CV20" s="130"/>
      <c r="CW20" s="131"/>
      <c r="CX20" s="131"/>
      <c r="CY20" s="132"/>
      <c r="CZ20" s="71">
        <v>9610</v>
      </c>
      <c r="DA20" s="134" t="s">
        <v>236</v>
      </c>
      <c r="DB20" s="135">
        <v>390</v>
      </c>
      <c r="DC20" s="137" t="s">
        <v>1006</v>
      </c>
      <c r="DD20" s="135"/>
      <c r="DE20" s="137"/>
      <c r="DF20" s="135"/>
      <c r="DG20" s="137"/>
      <c r="DH20" s="92">
        <f t="shared" si="1"/>
        <v>0</v>
      </c>
      <c r="DI20" s="129"/>
      <c r="DJ20" s="135"/>
      <c r="DK20" s="135"/>
      <c r="DL20" s="135"/>
      <c r="DM20" s="135"/>
      <c r="DN20" s="135"/>
      <c r="DO20" s="135"/>
      <c r="DP20" s="135"/>
      <c r="DQ20" s="189"/>
      <c r="DR20" s="129"/>
      <c r="DS20" s="135"/>
      <c r="DT20" s="135"/>
      <c r="DU20" s="135"/>
      <c r="DV20" s="135"/>
      <c r="DW20" s="135"/>
      <c r="DX20" s="135"/>
      <c r="DY20" s="135"/>
      <c r="DZ20" s="190"/>
      <c r="EA20" s="142" t="s">
        <v>464</v>
      </c>
      <c r="EB20" s="182" t="s">
        <v>465</v>
      </c>
      <c r="EC20" s="182" t="s">
        <v>456</v>
      </c>
      <c r="ED20" s="182" t="s">
        <v>466</v>
      </c>
      <c r="EE20" s="180"/>
      <c r="EF20" s="180"/>
      <c r="EG20" s="180"/>
      <c r="EH20" s="180"/>
      <c r="EI20" s="182"/>
      <c r="EJ20" s="182"/>
      <c r="EK20" s="182"/>
      <c r="EL20" s="182"/>
      <c r="EM20" s="183"/>
      <c r="EN20" s="184"/>
      <c r="EO20" s="180"/>
      <c r="EP20" s="180"/>
      <c r="EQ20" s="182"/>
      <c r="ER20" s="180"/>
      <c r="ES20" s="180"/>
      <c r="ET20" s="182"/>
      <c r="EU20" s="129"/>
      <c r="EV20" s="131"/>
      <c r="EW20" s="131"/>
      <c r="EX20" s="131"/>
      <c r="EY20" s="131"/>
      <c r="EZ20" s="132"/>
      <c r="FA20" s="148"/>
      <c r="FB20" s="131"/>
      <c r="FC20" s="135"/>
      <c r="FD20" s="131"/>
      <c r="FE20" s="135"/>
      <c r="FF20" s="131"/>
      <c r="FG20" s="135"/>
      <c r="FH20" s="131"/>
      <c r="FI20" s="135"/>
      <c r="FJ20" s="131"/>
      <c r="FK20" s="135"/>
      <c r="FL20" s="131"/>
      <c r="FM20" s="135"/>
      <c r="FN20" s="131"/>
      <c r="FO20" s="135"/>
      <c r="FP20" s="131"/>
      <c r="FQ20" s="135"/>
      <c r="FR20" s="131"/>
      <c r="FS20" s="135"/>
      <c r="FT20" s="131"/>
      <c r="FU20" s="135"/>
      <c r="FV20" s="131"/>
      <c r="FW20" s="135"/>
      <c r="FX20" s="132"/>
      <c r="FY20" s="103"/>
      <c r="FZ20" s="99"/>
      <c r="GA20" s="99"/>
      <c r="GB20" s="99"/>
      <c r="GC20" s="99"/>
      <c r="GD20" s="99"/>
      <c r="GE20" s="99"/>
      <c r="GF20" s="99"/>
      <c r="GG20" s="99"/>
      <c r="GH20" s="99"/>
      <c r="GI20" s="99"/>
      <c r="GJ20" s="99"/>
      <c r="GK20" s="99"/>
      <c r="GL20" s="99"/>
      <c r="GM20" s="99"/>
      <c r="GN20" s="99"/>
      <c r="GO20" s="99"/>
      <c r="GP20" s="99"/>
      <c r="GQ20" s="99"/>
      <c r="GR20" s="99"/>
      <c r="GS20" s="99"/>
      <c r="GT20" s="99"/>
      <c r="GU20" s="99"/>
      <c r="GV20" s="104"/>
      <c r="GW20" s="103"/>
      <c r="GX20" s="99"/>
      <c r="GY20" s="99"/>
      <c r="GZ20" s="99"/>
      <c r="HA20" s="99"/>
      <c r="HB20" s="99"/>
      <c r="HC20" s="99"/>
      <c r="HD20" s="99"/>
      <c r="HE20" s="99"/>
      <c r="HF20" s="99"/>
      <c r="HG20" s="99"/>
      <c r="HH20" s="99"/>
      <c r="HI20" s="99"/>
      <c r="HJ20" s="99"/>
      <c r="HK20" s="99"/>
      <c r="HL20" s="99"/>
      <c r="HM20" s="99"/>
      <c r="HN20" s="99"/>
      <c r="HO20" s="99"/>
      <c r="HP20" s="99"/>
      <c r="HQ20" s="99"/>
      <c r="HR20" s="99"/>
      <c r="HS20" s="99"/>
      <c r="HT20" s="105"/>
      <c r="IR20" s="589"/>
      <c r="IS20" s="589"/>
      <c r="IT20" s="589"/>
      <c r="IU20" s="589"/>
      <c r="IV20" s="589"/>
      <c r="IW20" s="589"/>
      <c r="IX20" s="589"/>
      <c r="IY20" s="589"/>
      <c r="IZ20" s="589"/>
      <c r="JA20" s="589"/>
      <c r="JB20" s="589"/>
      <c r="JC20" s="589"/>
    </row>
    <row r="21" spans="1:263" s="590" customFormat="1">
      <c r="A21" s="52">
        <f t="shared" si="2"/>
        <v>17</v>
      </c>
      <c r="B21" s="142" t="s">
        <v>206</v>
      </c>
      <c r="C21" s="54"/>
      <c r="D21" s="128" t="s">
        <v>223</v>
      </c>
      <c r="E21" s="56" t="s">
        <v>1029</v>
      </c>
      <c r="F21" s="57"/>
      <c r="G21" s="58" t="s">
        <v>305</v>
      </c>
      <c r="H21" s="56" t="str">
        <f t="shared" si="0"/>
        <v>北投區</v>
      </c>
      <c r="I21" s="56" t="s">
        <v>306</v>
      </c>
      <c r="J21" s="56" t="s">
        <v>308</v>
      </c>
      <c r="K21" s="56" t="s">
        <v>307</v>
      </c>
      <c r="L21" s="59">
        <v>107.19</v>
      </c>
      <c r="M21" s="56" t="s">
        <v>228</v>
      </c>
      <c r="N21" s="60">
        <v>45323</v>
      </c>
      <c r="O21" s="60">
        <f t="shared" si="5"/>
        <v>45688</v>
      </c>
      <c r="P21" s="175">
        <v>18000</v>
      </c>
      <c r="Q21" s="71">
        <v>4000</v>
      </c>
      <c r="R21" s="112" t="s">
        <v>569</v>
      </c>
      <c r="S21" s="71">
        <v>2400</v>
      </c>
      <c r="T21" s="72" t="s">
        <v>569</v>
      </c>
      <c r="U21" s="71">
        <v>2400</v>
      </c>
      <c r="V21" s="72" t="s">
        <v>569</v>
      </c>
      <c r="W21" s="71">
        <v>2400</v>
      </c>
      <c r="X21" s="72" t="s">
        <v>551</v>
      </c>
      <c r="Y21" s="71">
        <v>2400</v>
      </c>
      <c r="Z21" s="73" t="s">
        <v>639</v>
      </c>
      <c r="AA21" s="71">
        <v>2400</v>
      </c>
      <c r="AB21" s="73" t="s">
        <v>652</v>
      </c>
      <c r="AC21" s="71">
        <v>2400</v>
      </c>
      <c r="AD21" s="73" t="s">
        <v>782</v>
      </c>
      <c r="AE21" s="71">
        <v>2400</v>
      </c>
      <c r="AF21" s="73" t="s">
        <v>806</v>
      </c>
      <c r="AG21" s="71">
        <v>2400</v>
      </c>
      <c r="AH21" s="73" t="s">
        <v>894</v>
      </c>
      <c r="AI21" s="71">
        <v>2400</v>
      </c>
      <c r="AJ21" s="73">
        <v>45646</v>
      </c>
      <c r="AK21" s="71">
        <v>2400</v>
      </c>
      <c r="AL21" s="73" t="s">
        <v>979</v>
      </c>
      <c r="AM21" s="71">
        <v>2400</v>
      </c>
      <c r="AN21" s="73" t="s">
        <v>1007</v>
      </c>
      <c r="AO21" s="71">
        <v>2400</v>
      </c>
      <c r="AP21" s="73" t="s">
        <v>1012</v>
      </c>
      <c r="AQ21" s="177"/>
      <c r="AR21" s="131"/>
      <c r="AS21" s="130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2"/>
      <c r="BO21" s="177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78"/>
      <c r="CM21" s="179" t="s">
        <v>375</v>
      </c>
      <c r="CN21" s="180" t="s">
        <v>376</v>
      </c>
      <c r="CO21" s="184" t="s">
        <v>377</v>
      </c>
      <c r="CP21" s="181" t="s">
        <v>378</v>
      </c>
      <c r="CQ21" s="126" t="s">
        <v>379</v>
      </c>
      <c r="CR21" s="127"/>
      <c r="CS21" s="128"/>
      <c r="CT21" s="129"/>
      <c r="CU21" s="73"/>
      <c r="CV21" s="130"/>
      <c r="CW21" s="131"/>
      <c r="CX21" s="131"/>
      <c r="CY21" s="132"/>
      <c r="CZ21" s="71"/>
      <c r="DA21" s="134"/>
      <c r="DB21" s="135"/>
      <c r="DC21" s="137"/>
      <c r="DD21" s="135"/>
      <c r="DE21" s="137"/>
      <c r="DF21" s="135"/>
      <c r="DG21" s="137"/>
      <c r="DH21" s="92">
        <f t="shared" si="1"/>
        <v>10000</v>
      </c>
      <c r="DI21" s="129"/>
      <c r="DJ21" s="135"/>
      <c r="DK21" s="135"/>
      <c r="DL21" s="135"/>
      <c r="DM21" s="135"/>
      <c r="DN21" s="135"/>
      <c r="DO21" s="135"/>
      <c r="DP21" s="135"/>
      <c r="DQ21" s="189"/>
      <c r="DR21" s="129"/>
      <c r="DS21" s="135"/>
      <c r="DT21" s="135"/>
      <c r="DU21" s="135"/>
      <c r="DV21" s="135"/>
      <c r="DW21" s="135"/>
      <c r="DX21" s="135"/>
      <c r="DY21" s="135"/>
      <c r="DZ21" s="190"/>
      <c r="EA21" s="142" t="s">
        <v>467</v>
      </c>
      <c r="EB21" s="182" t="s">
        <v>468</v>
      </c>
      <c r="EC21" s="182" t="s">
        <v>470</v>
      </c>
      <c r="ED21" s="182" t="s">
        <v>471</v>
      </c>
      <c r="EE21" s="180" t="s">
        <v>472</v>
      </c>
      <c r="EF21" s="180" t="s">
        <v>473</v>
      </c>
      <c r="EG21" s="180" t="s">
        <v>474</v>
      </c>
      <c r="EH21" s="180" t="s">
        <v>475</v>
      </c>
      <c r="EI21" s="182" t="s">
        <v>476</v>
      </c>
      <c r="EJ21" s="182" t="s">
        <v>474</v>
      </c>
      <c r="EK21" s="182"/>
      <c r="EL21" s="182"/>
      <c r="EM21" s="183"/>
      <c r="EN21" s="184"/>
      <c r="EO21" s="180"/>
      <c r="EP21" s="180"/>
      <c r="EQ21" s="182"/>
      <c r="ER21" s="180"/>
      <c r="ES21" s="180"/>
      <c r="ET21" s="182"/>
      <c r="EU21" s="129"/>
      <c r="EV21" s="131"/>
      <c r="EW21" s="131"/>
      <c r="EX21" s="131"/>
      <c r="EY21" s="131"/>
      <c r="EZ21" s="132"/>
      <c r="FA21" s="148"/>
      <c r="FB21" s="131"/>
      <c r="FC21" s="135"/>
      <c r="FD21" s="131"/>
      <c r="FE21" s="135"/>
      <c r="FF21" s="131"/>
      <c r="FG21" s="135"/>
      <c r="FH21" s="131"/>
      <c r="FI21" s="135"/>
      <c r="FJ21" s="131"/>
      <c r="FK21" s="135"/>
      <c r="FL21" s="131"/>
      <c r="FM21" s="135"/>
      <c r="FN21" s="131"/>
      <c r="FO21" s="135"/>
      <c r="FP21" s="131"/>
      <c r="FQ21" s="135"/>
      <c r="FR21" s="131"/>
      <c r="FS21" s="135"/>
      <c r="FT21" s="131"/>
      <c r="FU21" s="135"/>
      <c r="FV21" s="131"/>
      <c r="FW21" s="135"/>
      <c r="FX21" s="132"/>
      <c r="FY21" s="103"/>
      <c r="FZ21" s="99"/>
      <c r="GA21" s="99"/>
      <c r="GB21" s="99"/>
      <c r="GC21" s="99"/>
      <c r="GD21" s="99"/>
      <c r="GE21" s="99"/>
      <c r="GF21" s="99"/>
      <c r="GG21" s="99"/>
      <c r="GH21" s="99"/>
      <c r="GI21" s="99"/>
      <c r="GJ21" s="99"/>
      <c r="GK21" s="99"/>
      <c r="GL21" s="99"/>
      <c r="GM21" s="99"/>
      <c r="GN21" s="99"/>
      <c r="GO21" s="99"/>
      <c r="GP21" s="99"/>
      <c r="GQ21" s="99"/>
      <c r="GR21" s="99"/>
      <c r="GS21" s="99"/>
      <c r="GT21" s="99"/>
      <c r="GU21" s="99"/>
      <c r="GV21" s="104"/>
      <c r="GW21" s="103"/>
      <c r="GX21" s="99"/>
      <c r="GY21" s="99"/>
      <c r="GZ21" s="99"/>
      <c r="HA21" s="99"/>
      <c r="HB21" s="99"/>
      <c r="HC21" s="99"/>
      <c r="HD21" s="99"/>
      <c r="HE21" s="99"/>
      <c r="HF21" s="99"/>
      <c r="HG21" s="99"/>
      <c r="HH21" s="99"/>
      <c r="HI21" s="99"/>
      <c r="HJ21" s="99"/>
      <c r="HK21" s="99"/>
      <c r="HL21" s="99"/>
      <c r="HM21" s="99"/>
      <c r="HN21" s="99"/>
      <c r="HO21" s="99"/>
      <c r="HP21" s="99"/>
      <c r="HQ21" s="99"/>
      <c r="HR21" s="99"/>
      <c r="HS21" s="99"/>
      <c r="HT21" s="105"/>
    </row>
    <row r="22" spans="1:263" s="590" customFormat="1">
      <c r="A22" s="52">
        <f t="shared" si="2"/>
        <v>18</v>
      </c>
      <c r="B22" s="142" t="s">
        <v>206</v>
      </c>
      <c r="C22" s="54"/>
      <c r="D22" s="128" t="s">
        <v>477</v>
      </c>
      <c r="E22" s="56" t="s">
        <v>701</v>
      </c>
      <c r="F22" s="57" t="s">
        <v>1010</v>
      </c>
      <c r="G22" s="58" t="s">
        <v>479</v>
      </c>
      <c r="H22" s="56" t="str">
        <f t="shared" si="0"/>
        <v>中山區</v>
      </c>
      <c r="I22" s="56" t="s">
        <v>480</v>
      </c>
      <c r="J22" s="56" t="s">
        <v>494</v>
      </c>
      <c r="K22" s="56" t="s">
        <v>481</v>
      </c>
      <c r="L22" s="59">
        <v>89.99</v>
      </c>
      <c r="M22" s="56" t="s">
        <v>482</v>
      </c>
      <c r="N22" s="60">
        <v>45323</v>
      </c>
      <c r="O22" s="60">
        <f t="shared" si="5"/>
        <v>45688</v>
      </c>
      <c r="P22" s="175">
        <v>32000</v>
      </c>
      <c r="Q22" s="71">
        <v>16000</v>
      </c>
      <c r="R22" s="112" t="s">
        <v>569</v>
      </c>
      <c r="S22" s="135">
        <v>2400</v>
      </c>
      <c r="T22" s="72" t="s">
        <v>569</v>
      </c>
      <c r="U22" s="71">
        <v>2400</v>
      </c>
      <c r="V22" s="72" t="s">
        <v>569</v>
      </c>
      <c r="W22" s="71">
        <v>2400</v>
      </c>
      <c r="X22" s="72" t="s">
        <v>551</v>
      </c>
      <c r="Y22" s="71">
        <v>2400</v>
      </c>
      <c r="Z22" s="73" t="s">
        <v>639</v>
      </c>
      <c r="AA22" s="71">
        <v>2400</v>
      </c>
      <c r="AB22" s="73" t="s">
        <v>652</v>
      </c>
      <c r="AC22" s="71">
        <v>2400</v>
      </c>
      <c r="AD22" s="73" t="s">
        <v>782</v>
      </c>
      <c r="AE22" s="71">
        <v>2400</v>
      </c>
      <c r="AF22" s="73" t="s">
        <v>806</v>
      </c>
      <c r="AG22" s="71">
        <v>2400</v>
      </c>
      <c r="AH22" s="73" t="s">
        <v>894</v>
      </c>
      <c r="AI22" s="71">
        <v>2400</v>
      </c>
      <c r="AJ22" s="73">
        <v>45646</v>
      </c>
      <c r="AK22" s="71">
        <v>2400</v>
      </c>
      <c r="AL22" s="73" t="s">
        <v>979</v>
      </c>
      <c r="AM22" s="71" t="s">
        <v>1009</v>
      </c>
      <c r="AN22" s="73" t="s">
        <v>702</v>
      </c>
      <c r="AO22" s="71" t="s">
        <v>1009</v>
      </c>
      <c r="AP22" s="73" t="s">
        <v>1009</v>
      </c>
      <c r="AQ22" s="177"/>
      <c r="AR22" s="131"/>
      <c r="AS22" s="130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2"/>
      <c r="BO22" s="177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78"/>
      <c r="CM22" s="179" t="s">
        <v>483</v>
      </c>
      <c r="CN22" s="180" t="s">
        <v>484</v>
      </c>
      <c r="CO22" s="184" t="s">
        <v>485</v>
      </c>
      <c r="CP22" s="181" t="s">
        <v>486</v>
      </c>
      <c r="CQ22" s="126" t="s">
        <v>487</v>
      </c>
      <c r="CR22" s="127" t="s">
        <v>488</v>
      </c>
      <c r="CS22" s="128" t="s">
        <v>489</v>
      </c>
      <c r="CT22" s="129"/>
      <c r="CU22" s="73"/>
      <c r="CV22" s="130"/>
      <c r="CW22" s="131"/>
      <c r="CX22" s="131"/>
      <c r="CY22" s="132"/>
      <c r="CZ22" s="71"/>
      <c r="DA22" s="134"/>
      <c r="DB22" s="135"/>
      <c r="DC22" s="137"/>
      <c r="DD22" s="135"/>
      <c r="DE22" s="137"/>
      <c r="DF22" s="135"/>
      <c r="DG22" s="137"/>
      <c r="DH22" s="92">
        <f t="shared" si="1"/>
        <v>10000</v>
      </c>
      <c r="DI22" s="148">
        <v>10000</v>
      </c>
      <c r="DJ22" s="148">
        <v>10000</v>
      </c>
      <c r="DK22" s="148">
        <v>10000</v>
      </c>
      <c r="DL22" s="148">
        <v>10000</v>
      </c>
      <c r="DM22" s="148">
        <v>10000</v>
      </c>
      <c r="DN22" s="148">
        <v>10000</v>
      </c>
      <c r="DO22" s="148">
        <v>10000</v>
      </c>
      <c r="DP22" s="148">
        <v>10000</v>
      </c>
      <c r="DQ22" s="148">
        <v>10000</v>
      </c>
      <c r="DR22" s="148">
        <v>10000</v>
      </c>
      <c r="DS22" s="148">
        <v>10000</v>
      </c>
      <c r="DT22" s="148">
        <v>10000</v>
      </c>
      <c r="DU22" s="148">
        <v>10000</v>
      </c>
      <c r="DV22" s="148">
        <v>10000</v>
      </c>
      <c r="DW22" s="148">
        <v>10000</v>
      </c>
      <c r="DX22" s="148">
        <v>10000</v>
      </c>
      <c r="DY22" s="148">
        <v>10000</v>
      </c>
      <c r="DZ22" s="148">
        <v>10000</v>
      </c>
      <c r="EA22" s="142" t="s">
        <v>490</v>
      </c>
      <c r="EB22" s="182" t="s">
        <v>491</v>
      </c>
      <c r="EC22" s="182" t="s">
        <v>492</v>
      </c>
      <c r="ED22" s="182" t="s">
        <v>493</v>
      </c>
      <c r="EE22" s="180"/>
      <c r="EF22" s="180"/>
      <c r="EG22" s="180"/>
      <c r="EH22" s="180"/>
      <c r="EI22" s="182"/>
      <c r="EJ22" s="182"/>
      <c r="EK22" s="182"/>
      <c r="EL22" s="182"/>
      <c r="EM22" s="183"/>
      <c r="EN22" s="184"/>
      <c r="EO22" s="180"/>
      <c r="EP22" s="180"/>
      <c r="EQ22" s="182"/>
      <c r="ER22" s="180"/>
      <c r="ES22" s="180"/>
      <c r="ET22" s="182"/>
      <c r="EU22" s="129"/>
      <c r="EV22" s="131"/>
      <c r="EW22" s="131"/>
      <c r="EX22" s="131"/>
      <c r="EY22" s="131"/>
      <c r="EZ22" s="132"/>
      <c r="FA22" s="148"/>
      <c r="FB22" s="131"/>
      <c r="FC22" s="135"/>
      <c r="FD22" s="131"/>
      <c r="FE22" s="135"/>
      <c r="FF22" s="131"/>
      <c r="FG22" s="135"/>
      <c r="FH22" s="131"/>
      <c r="FI22" s="135"/>
      <c r="FJ22" s="131"/>
      <c r="FK22" s="135"/>
      <c r="FL22" s="131"/>
      <c r="FM22" s="135"/>
      <c r="FN22" s="131"/>
      <c r="FO22" s="135"/>
      <c r="FP22" s="131"/>
      <c r="FQ22" s="135"/>
      <c r="FR22" s="131"/>
      <c r="FS22" s="135"/>
      <c r="FT22" s="131"/>
      <c r="FU22" s="135"/>
      <c r="FV22" s="131"/>
      <c r="FW22" s="135"/>
      <c r="FX22" s="132"/>
      <c r="FY22" s="103"/>
      <c r="FZ22" s="99"/>
      <c r="GA22" s="99"/>
      <c r="GB22" s="99"/>
      <c r="GC22" s="99"/>
      <c r="GD22" s="99"/>
      <c r="GE22" s="99"/>
      <c r="GF22" s="99"/>
      <c r="GG22" s="99"/>
      <c r="GH22" s="99"/>
      <c r="GI22" s="99"/>
      <c r="GJ22" s="99"/>
      <c r="GK22" s="99"/>
      <c r="GL22" s="99"/>
      <c r="GM22" s="99"/>
      <c r="GN22" s="99"/>
      <c r="GO22" s="99"/>
      <c r="GP22" s="99"/>
      <c r="GQ22" s="99"/>
      <c r="GR22" s="99"/>
      <c r="GS22" s="99"/>
      <c r="GT22" s="99"/>
      <c r="GU22" s="99"/>
      <c r="GV22" s="104"/>
      <c r="GW22" s="103"/>
      <c r="GX22" s="99"/>
      <c r="GY22" s="99"/>
      <c r="GZ22" s="99"/>
      <c r="HA22" s="99"/>
      <c r="HB22" s="99"/>
      <c r="HC22" s="99"/>
      <c r="HD22" s="99"/>
      <c r="HE22" s="99"/>
      <c r="HF22" s="99"/>
      <c r="HG22" s="99"/>
      <c r="HH22" s="99"/>
      <c r="HI22" s="99"/>
      <c r="HJ22" s="99"/>
      <c r="HK22" s="99"/>
      <c r="HL22" s="99"/>
      <c r="HM22" s="99"/>
      <c r="HN22" s="99"/>
      <c r="HO22" s="99"/>
      <c r="HP22" s="99"/>
      <c r="HQ22" s="99"/>
      <c r="HR22" s="99"/>
      <c r="HS22" s="99"/>
      <c r="HT22" s="105"/>
    </row>
    <row r="23" spans="1:263" s="590" customFormat="1">
      <c r="A23" s="52">
        <f t="shared" si="2"/>
        <v>19</v>
      </c>
      <c r="B23" s="142" t="s">
        <v>206</v>
      </c>
      <c r="C23" s="54"/>
      <c r="D23" s="128" t="s">
        <v>478</v>
      </c>
      <c r="E23" s="56" t="s">
        <v>1029</v>
      </c>
      <c r="F23" s="57"/>
      <c r="G23" s="58" t="s">
        <v>500</v>
      </c>
      <c r="H23" s="56" t="str">
        <f t="shared" si="0"/>
        <v>大同區</v>
      </c>
      <c r="I23" s="56" t="s">
        <v>1033</v>
      </c>
      <c r="J23" s="56" t="s">
        <v>502</v>
      </c>
      <c r="K23" s="56" t="s">
        <v>501</v>
      </c>
      <c r="L23" s="59">
        <v>66.459999999999994</v>
      </c>
      <c r="M23" s="56" t="s">
        <v>482</v>
      </c>
      <c r="N23" s="60">
        <v>45337</v>
      </c>
      <c r="O23" s="60">
        <f>N23+365</f>
        <v>45702</v>
      </c>
      <c r="P23" s="175">
        <v>20000</v>
      </c>
      <c r="Q23" s="71">
        <v>4000</v>
      </c>
      <c r="R23" s="112" t="s">
        <v>569</v>
      </c>
      <c r="S23" s="135">
        <v>2400</v>
      </c>
      <c r="T23" s="72" t="s">
        <v>569</v>
      </c>
      <c r="U23" s="71">
        <v>2400</v>
      </c>
      <c r="V23" s="72" t="s">
        <v>569</v>
      </c>
      <c r="W23" s="71">
        <v>2400</v>
      </c>
      <c r="X23" s="72" t="s">
        <v>551</v>
      </c>
      <c r="Y23" s="71">
        <v>2400</v>
      </c>
      <c r="Z23" s="73" t="s">
        <v>639</v>
      </c>
      <c r="AA23" s="71">
        <v>2400</v>
      </c>
      <c r="AB23" s="73" t="s">
        <v>652</v>
      </c>
      <c r="AC23" s="71">
        <v>2400</v>
      </c>
      <c r="AD23" s="73" t="s">
        <v>782</v>
      </c>
      <c r="AE23" s="71">
        <v>2400</v>
      </c>
      <c r="AF23" s="73" t="s">
        <v>806</v>
      </c>
      <c r="AG23" s="71">
        <v>2400</v>
      </c>
      <c r="AH23" s="73" t="s">
        <v>894</v>
      </c>
      <c r="AI23" s="71">
        <v>2400</v>
      </c>
      <c r="AJ23" s="73">
        <v>45646</v>
      </c>
      <c r="AK23" s="71">
        <v>2400</v>
      </c>
      <c r="AL23" s="73" t="s">
        <v>979</v>
      </c>
      <c r="AM23" s="71">
        <v>2400</v>
      </c>
      <c r="AN23" s="73" t="s">
        <v>1007</v>
      </c>
      <c r="AO23" s="71">
        <v>2400</v>
      </c>
      <c r="AP23" s="73" t="s">
        <v>1012</v>
      </c>
      <c r="AQ23" s="177"/>
      <c r="AR23" s="131"/>
      <c r="AS23" s="130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2"/>
      <c r="BO23" s="177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78"/>
      <c r="CM23" s="179" t="s">
        <v>495</v>
      </c>
      <c r="CN23" s="180" t="s">
        <v>496</v>
      </c>
      <c r="CO23" s="184" t="s">
        <v>497</v>
      </c>
      <c r="CP23" s="181" t="s">
        <v>498</v>
      </c>
      <c r="CQ23" s="126" t="s">
        <v>499</v>
      </c>
      <c r="CR23" s="127"/>
      <c r="CS23" s="128"/>
      <c r="CT23" s="129"/>
      <c r="CU23" s="73"/>
      <c r="CV23" s="130"/>
      <c r="CW23" s="131"/>
      <c r="CX23" s="131"/>
      <c r="CY23" s="132"/>
      <c r="CZ23" s="71">
        <v>10000</v>
      </c>
      <c r="DA23" s="134">
        <v>45736</v>
      </c>
      <c r="DB23" s="135"/>
      <c r="DC23" s="137"/>
      <c r="DD23" s="135"/>
      <c r="DE23" s="137"/>
      <c r="DF23" s="135"/>
      <c r="DG23" s="137"/>
      <c r="DH23" s="92">
        <f t="shared" si="1"/>
        <v>0</v>
      </c>
      <c r="DI23" s="129"/>
      <c r="DJ23" s="135"/>
      <c r="DK23" s="135"/>
      <c r="DL23" s="135"/>
      <c r="DM23" s="135"/>
      <c r="DN23" s="135"/>
      <c r="DO23" s="135"/>
      <c r="DP23" s="135"/>
      <c r="DQ23" s="189"/>
      <c r="DR23" s="129"/>
      <c r="DS23" s="135"/>
      <c r="DT23" s="135"/>
      <c r="DU23" s="135"/>
      <c r="DV23" s="135"/>
      <c r="DW23" s="135"/>
      <c r="DX23" s="135"/>
      <c r="DY23" s="135"/>
      <c r="DZ23" s="190"/>
      <c r="EA23" s="142" t="s">
        <v>503</v>
      </c>
      <c r="EB23" s="182" t="s">
        <v>504</v>
      </c>
      <c r="EC23" s="182" t="s">
        <v>470</v>
      </c>
      <c r="ED23" s="182" t="s">
        <v>505</v>
      </c>
      <c r="EE23" s="180"/>
      <c r="EF23" s="180"/>
      <c r="EG23" s="180"/>
      <c r="EH23" s="180"/>
      <c r="EI23" s="182"/>
      <c r="EJ23" s="182"/>
      <c r="EK23" s="182"/>
      <c r="EL23" s="182"/>
      <c r="EM23" s="183"/>
      <c r="EN23" s="184"/>
      <c r="EO23" s="180"/>
      <c r="EP23" s="180"/>
      <c r="EQ23" s="182"/>
      <c r="ER23" s="180"/>
      <c r="ES23" s="180"/>
      <c r="ET23" s="182"/>
      <c r="EU23" s="129"/>
      <c r="EV23" s="131"/>
      <c r="EW23" s="131"/>
      <c r="EX23" s="131"/>
      <c r="EY23" s="131"/>
      <c r="EZ23" s="132"/>
      <c r="FA23" s="148"/>
      <c r="FB23" s="131"/>
      <c r="FC23" s="135"/>
      <c r="FD23" s="131"/>
      <c r="FE23" s="135"/>
      <c r="FF23" s="131"/>
      <c r="FG23" s="135"/>
      <c r="FH23" s="131"/>
      <c r="FI23" s="135"/>
      <c r="FJ23" s="131"/>
      <c r="FK23" s="135"/>
      <c r="FL23" s="131"/>
      <c r="FM23" s="135"/>
      <c r="FN23" s="131"/>
      <c r="FO23" s="135"/>
      <c r="FP23" s="131"/>
      <c r="FQ23" s="135"/>
      <c r="FR23" s="131"/>
      <c r="FS23" s="135"/>
      <c r="FT23" s="131"/>
      <c r="FU23" s="135"/>
      <c r="FV23" s="131"/>
      <c r="FW23" s="135"/>
      <c r="FX23" s="132"/>
      <c r="FY23" s="103"/>
      <c r="FZ23" s="99"/>
      <c r="GA23" s="99"/>
      <c r="GB23" s="99"/>
      <c r="GC23" s="99"/>
      <c r="GD23" s="99"/>
      <c r="GE23" s="99"/>
      <c r="GF23" s="99"/>
      <c r="GG23" s="99"/>
      <c r="GH23" s="99"/>
      <c r="GI23" s="99"/>
      <c r="GJ23" s="99"/>
      <c r="GK23" s="99"/>
      <c r="GL23" s="99"/>
      <c r="GM23" s="99"/>
      <c r="GN23" s="99"/>
      <c r="GO23" s="99"/>
      <c r="GP23" s="99"/>
      <c r="GQ23" s="99"/>
      <c r="GR23" s="99"/>
      <c r="GS23" s="99"/>
      <c r="GT23" s="99"/>
      <c r="GU23" s="99"/>
      <c r="GV23" s="104"/>
      <c r="GW23" s="103"/>
      <c r="GX23" s="99"/>
      <c r="GY23" s="99"/>
      <c r="GZ23" s="99"/>
      <c r="HA23" s="99"/>
      <c r="HB23" s="99"/>
      <c r="HC23" s="99"/>
      <c r="HD23" s="99"/>
      <c r="HE23" s="99"/>
      <c r="HF23" s="99"/>
      <c r="HG23" s="99"/>
      <c r="HH23" s="99"/>
      <c r="HI23" s="99"/>
      <c r="HJ23" s="99"/>
      <c r="HK23" s="99"/>
      <c r="HL23" s="99"/>
      <c r="HM23" s="99"/>
      <c r="HN23" s="99"/>
      <c r="HO23" s="99"/>
      <c r="HP23" s="99"/>
      <c r="HQ23" s="99"/>
      <c r="HR23" s="99"/>
      <c r="HS23" s="99"/>
      <c r="HT23" s="105"/>
    </row>
    <row r="24" spans="1:263" s="590" customFormat="1">
      <c r="A24" s="52">
        <f t="shared" si="2"/>
        <v>20</v>
      </c>
      <c r="B24" s="142" t="s">
        <v>206</v>
      </c>
      <c r="C24" s="54"/>
      <c r="D24" s="128" t="s">
        <v>508</v>
      </c>
      <c r="E24" s="56" t="s">
        <v>701</v>
      </c>
      <c r="F24" s="57" t="s">
        <v>920</v>
      </c>
      <c r="G24" s="58" t="s">
        <v>506</v>
      </c>
      <c r="H24" s="58" t="str">
        <f t="shared" si="0"/>
        <v>大同區</v>
      </c>
      <c r="I24" s="56" t="s">
        <v>553</v>
      </c>
      <c r="J24" s="56" t="s">
        <v>512</v>
      </c>
      <c r="K24" s="56" t="s">
        <v>511</v>
      </c>
      <c r="L24" s="59">
        <v>73.7</v>
      </c>
      <c r="M24" s="56" t="s">
        <v>482</v>
      </c>
      <c r="N24" s="60">
        <v>45337</v>
      </c>
      <c r="O24" s="60">
        <f>N24+365</f>
        <v>45702</v>
      </c>
      <c r="P24" s="175">
        <v>21000</v>
      </c>
      <c r="Q24" s="71">
        <v>16000</v>
      </c>
      <c r="R24" s="112" t="s">
        <v>571</v>
      </c>
      <c r="S24" s="135">
        <v>2400</v>
      </c>
      <c r="T24" s="72" t="s">
        <v>571</v>
      </c>
      <c r="U24" s="71">
        <v>2400</v>
      </c>
      <c r="V24" s="72" t="s">
        <v>571</v>
      </c>
      <c r="W24" s="71">
        <v>2400</v>
      </c>
      <c r="X24" s="72" t="s">
        <v>571</v>
      </c>
      <c r="Y24" s="71">
        <v>2400</v>
      </c>
      <c r="Z24" s="73" t="s">
        <v>639</v>
      </c>
      <c r="AA24" s="71" t="s">
        <v>703</v>
      </c>
      <c r="AB24" s="73" t="s">
        <v>702</v>
      </c>
      <c r="AC24" s="71" t="s">
        <v>703</v>
      </c>
      <c r="AD24" s="73" t="s">
        <v>703</v>
      </c>
      <c r="AE24" s="71" t="s">
        <v>703</v>
      </c>
      <c r="AF24" s="73" t="s">
        <v>703</v>
      </c>
      <c r="AG24" s="71" t="s">
        <v>703</v>
      </c>
      <c r="AH24" s="73" t="s">
        <v>703</v>
      </c>
      <c r="AI24" s="71" t="s">
        <v>703</v>
      </c>
      <c r="AJ24" s="73" t="s">
        <v>703</v>
      </c>
      <c r="AK24" s="71" t="s">
        <v>703</v>
      </c>
      <c r="AL24" s="73" t="s">
        <v>703</v>
      </c>
      <c r="AM24" s="71" t="s">
        <v>703</v>
      </c>
      <c r="AN24" s="73" t="s">
        <v>703</v>
      </c>
      <c r="AO24" s="71" t="s">
        <v>703</v>
      </c>
      <c r="AP24" s="73" t="s">
        <v>703</v>
      </c>
      <c r="AQ24" s="177"/>
      <c r="AR24" s="131"/>
      <c r="AS24" s="130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2"/>
      <c r="BO24" s="177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78"/>
      <c r="CM24" s="179" t="s">
        <v>513</v>
      </c>
      <c r="CN24" s="180" t="s">
        <v>514</v>
      </c>
      <c r="CO24" s="184" t="s">
        <v>515</v>
      </c>
      <c r="CP24" s="181" t="s">
        <v>516</v>
      </c>
      <c r="CQ24" s="126" t="s">
        <v>517</v>
      </c>
      <c r="CR24" s="127"/>
      <c r="CS24" s="128"/>
      <c r="CT24" s="129">
        <v>3300</v>
      </c>
      <c r="CU24" s="73" t="s">
        <v>571</v>
      </c>
      <c r="CV24" s="130"/>
      <c r="CW24" s="131"/>
      <c r="CX24" s="131"/>
      <c r="CY24" s="132"/>
      <c r="CZ24" s="71">
        <v>10000</v>
      </c>
      <c r="DA24" s="134" t="s">
        <v>622</v>
      </c>
      <c r="DB24" s="135"/>
      <c r="DC24" s="137"/>
      <c r="DD24" s="135"/>
      <c r="DE24" s="137"/>
      <c r="DF24" s="135"/>
      <c r="DG24" s="137"/>
      <c r="DH24" s="92">
        <f t="shared" si="1"/>
        <v>0</v>
      </c>
      <c r="DI24" s="129"/>
      <c r="DJ24" s="135"/>
      <c r="DK24" s="135"/>
      <c r="DL24" s="135"/>
      <c r="DM24" s="135"/>
      <c r="DN24" s="135"/>
      <c r="DO24" s="135"/>
      <c r="DP24" s="135"/>
      <c r="DQ24" s="189"/>
      <c r="DR24" s="129"/>
      <c r="DS24" s="135"/>
      <c r="DT24" s="135"/>
      <c r="DU24" s="135"/>
      <c r="DV24" s="135"/>
      <c r="DW24" s="135"/>
      <c r="DX24" s="135"/>
      <c r="DY24" s="135"/>
      <c r="DZ24" s="190"/>
      <c r="EA24" s="142" t="s">
        <v>518</v>
      </c>
      <c r="EB24" s="182" t="s">
        <v>519</v>
      </c>
      <c r="EC24" s="182" t="s">
        <v>520</v>
      </c>
      <c r="ED24" s="182" t="s">
        <v>521</v>
      </c>
      <c r="EE24" s="180" t="s">
        <v>523</v>
      </c>
      <c r="EF24" s="180" t="s">
        <v>524</v>
      </c>
      <c r="EG24" s="180" t="s">
        <v>522</v>
      </c>
      <c r="EH24" s="180" t="s">
        <v>526</v>
      </c>
      <c r="EI24" s="182" t="s">
        <v>527</v>
      </c>
      <c r="EJ24" s="182" t="s">
        <v>525</v>
      </c>
      <c r="EK24" s="182" t="s">
        <v>529</v>
      </c>
      <c r="EL24" s="182" t="s">
        <v>530</v>
      </c>
      <c r="EM24" s="183" t="s">
        <v>528</v>
      </c>
      <c r="EN24" s="184"/>
      <c r="EO24" s="180"/>
      <c r="EP24" s="180"/>
      <c r="EQ24" s="182"/>
      <c r="ER24" s="180"/>
      <c r="ES24" s="180"/>
      <c r="ET24" s="182"/>
      <c r="EU24" s="129"/>
      <c r="EV24" s="131"/>
      <c r="EW24" s="131"/>
      <c r="EX24" s="131"/>
      <c r="EY24" s="131"/>
      <c r="EZ24" s="132"/>
      <c r="FA24" s="148"/>
      <c r="FB24" s="131"/>
      <c r="FC24" s="135"/>
      <c r="FD24" s="131"/>
      <c r="FE24" s="135"/>
      <c r="FF24" s="131"/>
      <c r="FG24" s="135"/>
      <c r="FH24" s="131"/>
      <c r="FI24" s="135"/>
      <c r="FJ24" s="131"/>
      <c r="FK24" s="135"/>
      <c r="FL24" s="131"/>
      <c r="FM24" s="135"/>
      <c r="FN24" s="131"/>
      <c r="FO24" s="135"/>
      <c r="FP24" s="131"/>
      <c r="FQ24" s="135"/>
      <c r="FR24" s="131"/>
      <c r="FS24" s="135"/>
      <c r="FT24" s="131"/>
      <c r="FU24" s="135"/>
      <c r="FV24" s="131"/>
      <c r="FW24" s="135"/>
      <c r="FX24" s="132"/>
      <c r="FY24" s="103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104"/>
      <c r="GW24" s="103"/>
      <c r="GX24" s="99"/>
      <c r="GY24" s="99"/>
      <c r="GZ24" s="99"/>
      <c r="HA24" s="99"/>
      <c r="HB24" s="99"/>
      <c r="HC24" s="99"/>
      <c r="HD24" s="99"/>
      <c r="HE24" s="99"/>
      <c r="HF24" s="99"/>
      <c r="HG24" s="99"/>
      <c r="HH24" s="99"/>
      <c r="HI24" s="99"/>
      <c r="HJ24" s="99"/>
      <c r="HK24" s="99"/>
      <c r="HL24" s="99"/>
      <c r="HM24" s="99"/>
      <c r="HN24" s="99"/>
      <c r="HO24" s="99"/>
      <c r="HP24" s="99"/>
      <c r="HQ24" s="99"/>
      <c r="HR24" s="99"/>
      <c r="HS24" s="99"/>
      <c r="HT24" s="105"/>
    </row>
    <row r="25" spans="1:263" s="590" customFormat="1">
      <c r="A25" s="52">
        <f t="shared" si="2"/>
        <v>21</v>
      </c>
      <c r="B25" s="142" t="s">
        <v>206</v>
      </c>
      <c r="C25" s="54"/>
      <c r="D25" s="128" t="s">
        <v>509</v>
      </c>
      <c r="E25" s="56" t="s">
        <v>1037</v>
      </c>
      <c r="F25" s="57"/>
      <c r="G25" s="58" t="s">
        <v>507</v>
      </c>
      <c r="H25" s="56" t="str">
        <f t="shared" si="0"/>
        <v>文山區</v>
      </c>
      <c r="I25" s="56" t="s">
        <v>554</v>
      </c>
      <c r="J25" s="56" t="s">
        <v>531</v>
      </c>
      <c r="K25" s="56" t="s">
        <v>532</v>
      </c>
      <c r="L25" s="59">
        <v>76.709999999999994</v>
      </c>
      <c r="M25" s="56" t="s">
        <v>482</v>
      </c>
      <c r="N25" s="60">
        <v>45376</v>
      </c>
      <c r="O25" s="60">
        <f t="shared" ref="O25:O34" si="6">N25+364</f>
        <v>45740</v>
      </c>
      <c r="P25" s="175">
        <v>24000</v>
      </c>
      <c r="Q25" s="71">
        <v>16000</v>
      </c>
      <c r="R25" s="112" t="s">
        <v>551</v>
      </c>
      <c r="S25" s="135">
        <v>2400</v>
      </c>
      <c r="T25" s="72" t="s">
        <v>551</v>
      </c>
      <c r="U25" s="71">
        <v>2400</v>
      </c>
      <c r="V25" s="72" t="s">
        <v>551</v>
      </c>
      <c r="W25" s="71">
        <v>2400</v>
      </c>
      <c r="X25" s="73" t="s">
        <v>640</v>
      </c>
      <c r="Y25" s="71">
        <v>2400</v>
      </c>
      <c r="Z25" s="73" t="s">
        <v>705</v>
      </c>
      <c r="AA25" s="71">
        <v>2400</v>
      </c>
      <c r="AB25" s="73" t="s">
        <v>782</v>
      </c>
      <c r="AC25" s="71">
        <v>2400</v>
      </c>
      <c r="AD25" s="73" t="s">
        <v>806</v>
      </c>
      <c r="AE25" s="71">
        <v>2400</v>
      </c>
      <c r="AF25" s="73" t="s">
        <v>894</v>
      </c>
      <c r="AG25" s="71">
        <v>2400</v>
      </c>
      <c r="AH25" s="73">
        <v>45646</v>
      </c>
      <c r="AI25" s="71">
        <v>2400</v>
      </c>
      <c r="AJ25" s="73" t="s">
        <v>979</v>
      </c>
      <c r="AK25" s="71">
        <v>2400</v>
      </c>
      <c r="AL25" s="73" t="s">
        <v>1007</v>
      </c>
      <c r="AM25" s="71">
        <v>2400</v>
      </c>
      <c r="AN25" s="73" t="s">
        <v>1012</v>
      </c>
      <c r="AO25" s="71">
        <v>2400</v>
      </c>
      <c r="AP25" s="73" t="s">
        <v>1027</v>
      </c>
      <c r="AQ25" s="177"/>
      <c r="AR25" s="131"/>
      <c r="AS25" s="130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2"/>
      <c r="BO25" s="177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78"/>
      <c r="CM25" s="179" t="s">
        <v>533</v>
      </c>
      <c r="CN25" s="180" t="s">
        <v>534</v>
      </c>
      <c r="CO25" s="184" t="s">
        <v>470</v>
      </c>
      <c r="CP25" s="181" t="s">
        <v>535</v>
      </c>
      <c r="CQ25" s="126" t="s">
        <v>536</v>
      </c>
      <c r="CR25" s="127"/>
      <c r="CS25" s="128"/>
      <c r="CT25" s="129">
        <v>3300</v>
      </c>
      <c r="CU25" s="73" t="s">
        <v>552</v>
      </c>
      <c r="CV25" s="130"/>
      <c r="CW25" s="131"/>
      <c r="CX25" s="131"/>
      <c r="CY25" s="132"/>
      <c r="CZ25" s="71">
        <v>1250</v>
      </c>
      <c r="DA25" s="134" t="s">
        <v>552</v>
      </c>
      <c r="DB25" s="135"/>
      <c r="DC25" s="137"/>
      <c r="DD25" s="135"/>
      <c r="DE25" s="137"/>
      <c r="DF25" s="135"/>
      <c r="DG25" s="137"/>
      <c r="DH25" s="92">
        <f t="shared" si="1"/>
        <v>8750</v>
      </c>
      <c r="DI25" s="129"/>
      <c r="DJ25" s="135"/>
      <c r="DK25" s="135"/>
      <c r="DL25" s="135"/>
      <c r="DM25" s="135"/>
      <c r="DN25" s="135"/>
      <c r="DO25" s="135"/>
      <c r="DP25" s="135"/>
      <c r="DQ25" s="189"/>
      <c r="DR25" s="129"/>
      <c r="DS25" s="135"/>
      <c r="DT25" s="135"/>
      <c r="DU25" s="135"/>
      <c r="DV25" s="135"/>
      <c r="DW25" s="135"/>
      <c r="DX25" s="135"/>
      <c r="DY25" s="135"/>
      <c r="DZ25" s="190"/>
      <c r="EA25" s="142" t="s">
        <v>537</v>
      </c>
      <c r="EB25" s="182" t="s">
        <v>538</v>
      </c>
      <c r="EC25" s="182" t="s">
        <v>539</v>
      </c>
      <c r="ED25" s="182" t="s">
        <v>540</v>
      </c>
      <c r="EE25" s="180"/>
      <c r="EF25" s="180"/>
      <c r="EG25" s="180"/>
      <c r="EH25" s="180"/>
      <c r="EI25" s="182"/>
      <c r="EJ25" s="182"/>
      <c r="EK25" s="182"/>
      <c r="EL25" s="182"/>
      <c r="EM25" s="183"/>
      <c r="EN25" s="184"/>
      <c r="EO25" s="180"/>
      <c r="EP25" s="180"/>
      <c r="EQ25" s="182"/>
      <c r="ER25" s="180"/>
      <c r="ES25" s="180"/>
      <c r="ET25" s="182"/>
      <c r="EU25" s="129"/>
      <c r="EV25" s="131"/>
      <c r="EW25" s="131"/>
      <c r="EX25" s="131"/>
      <c r="EY25" s="131"/>
      <c r="EZ25" s="132"/>
      <c r="FA25" s="148"/>
      <c r="FB25" s="131"/>
      <c r="FC25" s="135"/>
      <c r="FD25" s="131"/>
      <c r="FE25" s="135"/>
      <c r="FF25" s="131"/>
      <c r="FG25" s="135"/>
      <c r="FH25" s="131"/>
      <c r="FI25" s="135"/>
      <c r="FJ25" s="131"/>
      <c r="FK25" s="135"/>
      <c r="FL25" s="131"/>
      <c r="FM25" s="135"/>
      <c r="FN25" s="131"/>
      <c r="FO25" s="135"/>
      <c r="FP25" s="131"/>
      <c r="FQ25" s="135"/>
      <c r="FR25" s="131"/>
      <c r="FS25" s="135"/>
      <c r="FT25" s="131"/>
      <c r="FU25" s="135"/>
      <c r="FV25" s="131"/>
      <c r="FW25" s="135"/>
      <c r="FX25" s="132"/>
      <c r="FY25" s="103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104"/>
      <c r="GW25" s="103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105"/>
    </row>
    <row r="26" spans="1:263" s="590" customFormat="1">
      <c r="A26" s="52">
        <f t="shared" si="2"/>
        <v>22</v>
      </c>
      <c r="B26" s="142" t="s">
        <v>206</v>
      </c>
      <c r="C26" s="54"/>
      <c r="D26" s="128" t="s">
        <v>510</v>
      </c>
      <c r="E26" s="56" t="s">
        <v>1037</v>
      </c>
      <c r="F26" s="57"/>
      <c r="G26" s="58" t="s">
        <v>957</v>
      </c>
      <c r="H26" s="56" t="str">
        <f t="shared" si="0"/>
        <v>士林區</v>
      </c>
      <c r="I26" s="56" t="s">
        <v>555</v>
      </c>
      <c r="J26" s="56" t="s">
        <v>542</v>
      </c>
      <c r="K26" s="56" t="s">
        <v>541</v>
      </c>
      <c r="L26" s="59">
        <v>52.89</v>
      </c>
      <c r="M26" s="56" t="s">
        <v>482</v>
      </c>
      <c r="N26" s="60">
        <v>45366</v>
      </c>
      <c r="O26" s="60">
        <f t="shared" si="6"/>
        <v>45730</v>
      </c>
      <c r="P26" s="175">
        <v>17000</v>
      </c>
      <c r="Q26" s="71">
        <v>4000</v>
      </c>
      <c r="R26" s="112" t="s">
        <v>551</v>
      </c>
      <c r="S26" s="135">
        <v>2400</v>
      </c>
      <c r="T26" s="72" t="s">
        <v>551</v>
      </c>
      <c r="U26" s="71">
        <v>2400</v>
      </c>
      <c r="V26" s="72" t="s">
        <v>551</v>
      </c>
      <c r="W26" s="71">
        <v>2400</v>
      </c>
      <c r="X26" s="73" t="s">
        <v>639</v>
      </c>
      <c r="Y26" s="71">
        <v>2400</v>
      </c>
      <c r="Z26" s="73" t="s">
        <v>652</v>
      </c>
      <c r="AA26" s="71">
        <v>2400</v>
      </c>
      <c r="AB26" s="73" t="s">
        <v>782</v>
      </c>
      <c r="AC26" s="71">
        <v>2400</v>
      </c>
      <c r="AD26" s="73" t="s">
        <v>806</v>
      </c>
      <c r="AE26" s="71">
        <v>2400</v>
      </c>
      <c r="AF26" s="73" t="s">
        <v>894</v>
      </c>
      <c r="AG26" s="71">
        <v>2400</v>
      </c>
      <c r="AH26" s="73">
        <v>45646</v>
      </c>
      <c r="AI26" s="71">
        <v>2400</v>
      </c>
      <c r="AJ26" s="73" t="s">
        <v>979</v>
      </c>
      <c r="AK26" s="71">
        <v>2400</v>
      </c>
      <c r="AL26" s="73" t="s">
        <v>1007</v>
      </c>
      <c r="AM26" s="71">
        <v>2400</v>
      </c>
      <c r="AN26" s="73" t="s">
        <v>1012</v>
      </c>
      <c r="AO26" s="71">
        <v>2400</v>
      </c>
      <c r="AP26" s="73" t="s">
        <v>1027</v>
      </c>
      <c r="AQ26" s="177"/>
      <c r="AR26" s="131"/>
      <c r="AS26" s="130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2"/>
      <c r="BO26" s="177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78"/>
      <c r="CM26" s="179" t="s">
        <v>543</v>
      </c>
      <c r="CN26" s="180" t="s">
        <v>544</v>
      </c>
      <c r="CO26" s="184" t="s">
        <v>545</v>
      </c>
      <c r="CP26" s="181" t="s">
        <v>546</v>
      </c>
      <c r="CQ26" s="126" t="s">
        <v>547</v>
      </c>
      <c r="CR26" s="127"/>
      <c r="CS26" s="128"/>
      <c r="CT26" s="129"/>
      <c r="CU26" s="73"/>
      <c r="CV26" s="130"/>
      <c r="CW26" s="131"/>
      <c r="CX26" s="131"/>
      <c r="CY26" s="132"/>
      <c r="CZ26" s="71">
        <v>1500</v>
      </c>
      <c r="DA26" s="134" t="s">
        <v>977</v>
      </c>
      <c r="DB26" s="71">
        <v>3000</v>
      </c>
      <c r="DC26" s="134" t="s">
        <v>1012</v>
      </c>
      <c r="DD26" s="135">
        <v>2000</v>
      </c>
      <c r="DE26" s="137">
        <v>45767</v>
      </c>
      <c r="DF26" s="135"/>
      <c r="DG26" s="137"/>
      <c r="DH26" s="92">
        <f t="shared" si="1"/>
        <v>3500</v>
      </c>
      <c r="DI26" s="129"/>
      <c r="DJ26" s="135"/>
      <c r="DK26" s="135"/>
      <c r="DL26" s="135"/>
      <c r="DM26" s="135"/>
      <c r="DN26" s="135"/>
      <c r="DO26" s="135"/>
      <c r="DP26" s="135"/>
      <c r="DQ26" s="189"/>
      <c r="DR26" s="129"/>
      <c r="DS26" s="135"/>
      <c r="DT26" s="135"/>
      <c r="DU26" s="135"/>
      <c r="DV26" s="135"/>
      <c r="DW26" s="135"/>
      <c r="DX26" s="135"/>
      <c r="DY26" s="135"/>
      <c r="DZ26" s="190"/>
      <c r="EA26" s="142" t="s">
        <v>548</v>
      </c>
      <c r="EB26" s="182" t="s">
        <v>549</v>
      </c>
      <c r="EC26" s="182" t="s">
        <v>470</v>
      </c>
      <c r="ED26" s="182" t="s">
        <v>550</v>
      </c>
      <c r="EE26" s="180"/>
      <c r="EF26" s="180"/>
      <c r="EG26" s="180"/>
      <c r="EH26" s="180"/>
      <c r="EI26" s="182"/>
      <c r="EJ26" s="182"/>
      <c r="EK26" s="182"/>
      <c r="EL26" s="182"/>
      <c r="EM26" s="183"/>
      <c r="EN26" s="184"/>
      <c r="EO26" s="180"/>
      <c r="EP26" s="180"/>
      <c r="EQ26" s="182"/>
      <c r="ER26" s="180"/>
      <c r="ES26" s="180"/>
      <c r="ET26" s="182"/>
      <c r="EU26" s="129"/>
      <c r="EV26" s="131"/>
      <c r="EW26" s="131"/>
      <c r="EX26" s="131"/>
      <c r="EY26" s="131"/>
      <c r="EZ26" s="132"/>
      <c r="FA26" s="148"/>
      <c r="FB26" s="131"/>
      <c r="FC26" s="135"/>
      <c r="FD26" s="131"/>
      <c r="FE26" s="135"/>
      <c r="FF26" s="131"/>
      <c r="FG26" s="135"/>
      <c r="FH26" s="131"/>
      <c r="FI26" s="135"/>
      <c r="FJ26" s="131"/>
      <c r="FK26" s="135"/>
      <c r="FL26" s="131"/>
      <c r="FM26" s="135"/>
      <c r="FN26" s="131"/>
      <c r="FO26" s="135"/>
      <c r="FP26" s="131"/>
      <c r="FQ26" s="135"/>
      <c r="FR26" s="131"/>
      <c r="FS26" s="135"/>
      <c r="FT26" s="131"/>
      <c r="FU26" s="135"/>
      <c r="FV26" s="131"/>
      <c r="FW26" s="135"/>
      <c r="FX26" s="132"/>
      <c r="FY26" s="103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104"/>
      <c r="GW26" s="103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105"/>
    </row>
    <row r="27" spans="1:263" s="590" customFormat="1">
      <c r="A27" s="52">
        <f t="shared" si="2"/>
        <v>23</v>
      </c>
      <c r="B27" s="142" t="s">
        <v>206</v>
      </c>
      <c r="C27" s="54"/>
      <c r="D27" s="128" t="s">
        <v>556</v>
      </c>
      <c r="E27" s="56" t="s">
        <v>1037</v>
      </c>
      <c r="F27" s="57"/>
      <c r="G27" s="58" t="s">
        <v>557</v>
      </c>
      <c r="H27" s="56" t="str">
        <f t="shared" si="0"/>
        <v>大同區</v>
      </c>
      <c r="I27" s="56" t="s">
        <v>559</v>
      </c>
      <c r="J27" s="56" t="s">
        <v>558</v>
      </c>
      <c r="K27" s="56" t="s">
        <v>576</v>
      </c>
      <c r="L27" s="59">
        <v>53.28</v>
      </c>
      <c r="M27" s="56" t="s">
        <v>482</v>
      </c>
      <c r="N27" s="60">
        <v>45376</v>
      </c>
      <c r="O27" s="60">
        <f t="shared" si="6"/>
        <v>45740</v>
      </c>
      <c r="P27" s="175">
        <v>25000</v>
      </c>
      <c r="Q27" s="71">
        <v>16000</v>
      </c>
      <c r="R27" s="112" t="s">
        <v>551</v>
      </c>
      <c r="S27" s="135">
        <v>2400</v>
      </c>
      <c r="T27" s="72" t="s">
        <v>551</v>
      </c>
      <c r="U27" s="71">
        <v>2400</v>
      </c>
      <c r="V27" s="72" t="s">
        <v>551</v>
      </c>
      <c r="W27" s="71">
        <v>2400</v>
      </c>
      <c r="X27" s="73" t="s">
        <v>640</v>
      </c>
      <c r="Y27" s="71">
        <v>2400</v>
      </c>
      <c r="Z27" s="73" t="s">
        <v>705</v>
      </c>
      <c r="AA27" s="71">
        <v>2400</v>
      </c>
      <c r="AB27" s="73" t="s">
        <v>782</v>
      </c>
      <c r="AC27" s="71">
        <v>2400</v>
      </c>
      <c r="AD27" s="73" t="s">
        <v>806</v>
      </c>
      <c r="AE27" s="71">
        <v>2400</v>
      </c>
      <c r="AF27" s="73" t="s">
        <v>894</v>
      </c>
      <c r="AG27" s="71">
        <v>2400</v>
      </c>
      <c r="AH27" s="73">
        <v>45646</v>
      </c>
      <c r="AI27" s="71">
        <v>2400</v>
      </c>
      <c r="AJ27" s="73" t="s">
        <v>979</v>
      </c>
      <c r="AK27" s="71">
        <v>2400</v>
      </c>
      <c r="AL27" s="73" t="s">
        <v>1007</v>
      </c>
      <c r="AM27" s="71">
        <v>2400</v>
      </c>
      <c r="AN27" s="73" t="s">
        <v>1012</v>
      </c>
      <c r="AO27" s="71">
        <v>2400</v>
      </c>
      <c r="AP27" s="73" t="s">
        <v>1027</v>
      </c>
      <c r="AQ27" s="177"/>
      <c r="AR27" s="131"/>
      <c r="AS27" s="130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2"/>
      <c r="BO27" s="177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78"/>
      <c r="CM27" s="179" t="s">
        <v>560</v>
      </c>
      <c r="CN27" s="180" t="s">
        <v>561</v>
      </c>
      <c r="CO27" s="184" t="s">
        <v>562</v>
      </c>
      <c r="CP27" s="181" t="s">
        <v>563</v>
      </c>
      <c r="CQ27" s="126" t="s">
        <v>564</v>
      </c>
      <c r="CR27" s="127"/>
      <c r="CS27" s="128"/>
      <c r="CT27" s="129">
        <v>3300</v>
      </c>
      <c r="CU27" s="73" t="s">
        <v>552</v>
      </c>
      <c r="CV27" s="130"/>
      <c r="CW27" s="131"/>
      <c r="CX27" s="131"/>
      <c r="CY27" s="132"/>
      <c r="CZ27" s="71">
        <v>10000</v>
      </c>
      <c r="DA27" s="134">
        <v>45736</v>
      </c>
      <c r="DB27" s="135"/>
      <c r="DC27" s="137"/>
      <c r="DD27" s="135"/>
      <c r="DE27" s="137"/>
      <c r="DF27" s="135"/>
      <c r="DG27" s="137"/>
      <c r="DH27" s="92">
        <f t="shared" si="1"/>
        <v>0</v>
      </c>
      <c r="DI27" s="129"/>
      <c r="DJ27" s="135"/>
      <c r="DK27" s="135"/>
      <c r="DL27" s="135"/>
      <c r="DM27" s="135"/>
      <c r="DN27" s="135"/>
      <c r="DO27" s="135"/>
      <c r="DP27" s="135"/>
      <c r="DQ27" s="189"/>
      <c r="DR27" s="129"/>
      <c r="DS27" s="135"/>
      <c r="DT27" s="135"/>
      <c r="DU27" s="135"/>
      <c r="DV27" s="135"/>
      <c r="DW27" s="135"/>
      <c r="DX27" s="135"/>
      <c r="DY27" s="135"/>
      <c r="DZ27" s="190"/>
      <c r="EA27" s="142" t="s">
        <v>565</v>
      </c>
      <c r="EB27" s="182" t="s">
        <v>566</v>
      </c>
      <c r="EC27" s="182" t="s">
        <v>567</v>
      </c>
      <c r="ED27" s="182" t="s">
        <v>568</v>
      </c>
      <c r="EE27" s="180"/>
      <c r="EF27" s="180"/>
      <c r="EG27" s="180"/>
      <c r="EH27" s="180"/>
      <c r="EI27" s="182"/>
      <c r="EJ27" s="182"/>
      <c r="EK27" s="182"/>
      <c r="EL27" s="182"/>
      <c r="EM27" s="183"/>
      <c r="EN27" s="184"/>
      <c r="EO27" s="180"/>
      <c r="EP27" s="180"/>
      <c r="EQ27" s="182"/>
      <c r="ER27" s="180"/>
      <c r="ES27" s="180"/>
      <c r="ET27" s="182"/>
      <c r="EU27" s="129"/>
      <c r="EV27" s="131"/>
      <c r="EW27" s="131"/>
      <c r="EX27" s="131"/>
      <c r="EY27" s="131"/>
      <c r="EZ27" s="132"/>
      <c r="FA27" s="148"/>
      <c r="FB27" s="131"/>
      <c r="FC27" s="135"/>
      <c r="FD27" s="131"/>
      <c r="FE27" s="135"/>
      <c r="FF27" s="131"/>
      <c r="FG27" s="135"/>
      <c r="FH27" s="131"/>
      <c r="FI27" s="135"/>
      <c r="FJ27" s="131"/>
      <c r="FK27" s="135"/>
      <c r="FL27" s="131"/>
      <c r="FM27" s="135"/>
      <c r="FN27" s="131"/>
      <c r="FO27" s="135"/>
      <c r="FP27" s="131"/>
      <c r="FQ27" s="135"/>
      <c r="FR27" s="131"/>
      <c r="FS27" s="135"/>
      <c r="FT27" s="131"/>
      <c r="FU27" s="135"/>
      <c r="FV27" s="131"/>
      <c r="FW27" s="135"/>
      <c r="FX27" s="132"/>
      <c r="FY27" s="103"/>
      <c r="FZ27" s="99"/>
      <c r="GA27" s="99"/>
      <c r="GB27" s="99"/>
      <c r="GC27" s="99"/>
      <c r="GD27" s="99"/>
      <c r="GE27" s="99"/>
      <c r="GF27" s="99"/>
      <c r="GG27" s="99"/>
      <c r="GH27" s="99"/>
      <c r="GI27" s="99"/>
      <c r="GJ27" s="99"/>
      <c r="GK27" s="99"/>
      <c r="GL27" s="99"/>
      <c r="GM27" s="99"/>
      <c r="GN27" s="99"/>
      <c r="GO27" s="99"/>
      <c r="GP27" s="99"/>
      <c r="GQ27" s="99"/>
      <c r="GR27" s="99"/>
      <c r="GS27" s="99"/>
      <c r="GT27" s="99"/>
      <c r="GU27" s="99"/>
      <c r="GV27" s="104"/>
      <c r="GW27" s="103"/>
      <c r="GX27" s="99"/>
      <c r="GY27" s="99"/>
      <c r="GZ27" s="99"/>
      <c r="HA27" s="99"/>
      <c r="HB27" s="99"/>
      <c r="HC27" s="99"/>
      <c r="HD27" s="99"/>
      <c r="HE27" s="99"/>
      <c r="HF27" s="99"/>
      <c r="HG27" s="99"/>
      <c r="HH27" s="99"/>
      <c r="HI27" s="99"/>
      <c r="HJ27" s="99"/>
      <c r="HK27" s="99"/>
      <c r="HL27" s="99"/>
      <c r="HM27" s="99"/>
      <c r="HN27" s="99"/>
      <c r="HO27" s="99"/>
      <c r="HP27" s="99"/>
      <c r="HQ27" s="99"/>
      <c r="HR27" s="99"/>
      <c r="HS27" s="99"/>
      <c r="HT27" s="105"/>
    </row>
    <row r="28" spans="1:263" s="590" customFormat="1">
      <c r="A28" s="52">
        <f t="shared" si="2"/>
        <v>24</v>
      </c>
      <c r="B28" s="142" t="s">
        <v>206</v>
      </c>
      <c r="C28" s="54"/>
      <c r="D28" s="128" t="s">
        <v>570</v>
      </c>
      <c r="E28" s="56" t="s">
        <v>1042</v>
      </c>
      <c r="F28" s="57"/>
      <c r="G28" s="58" t="s">
        <v>572</v>
      </c>
      <c r="H28" s="56" t="str">
        <f t="shared" si="0"/>
        <v>北投區</v>
      </c>
      <c r="I28" s="56" t="s">
        <v>573</v>
      </c>
      <c r="J28" s="56" t="s">
        <v>574</v>
      </c>
      <c r="K28" s="56" t="s">
        <v>575</v>
      </c>
      <c r="L28" s="59">
        <v>85.76</v>
      </c>
      <c r="M28" s="56" t="s">
        <v>482</v>
      </c>
      <c r="N28" s="60">
        <v>45383</v>
      </c>
      <c r="O28" s="60">
        <f t="shared" si="6"/>
        <v>45747</v>
      </c>
      <c r="P28" s="175">
        <v>15000</v>
      </c>
      <c r="Q28" s="71">
        <v>16000</v>
      </c>
      <c r="R28" s="112" t="s">
        <v>571</v>
      </c>
      <c r="S28" s="71">
        <v>2400</v>
      </c>
      <c r="T28" s="73" t="s">
        <v>571</v>
      </c>
      <c r="U28" s="71">
        <v>2400</v>
      </c>
      <c r="V28" s="73" t="s">
        <v>639</v>
      </c>
      <c r="W28" s="71">
        <v>2400</v>
      </c>
      <c r="X28" s="73" t="s">
        <v>652</v>
      </c>
      <c r="Y28" s="71">
        <v>2400</v>
      </c>
      <c r="Z28" s="73" t="s">
        <v>782</v>
      </c>
      <c r="AA28" s="71">
        <v>2400</v>
      </c>
      <c r="AB28" s="73" t="s">
        <v>806</v>
      </c>
      <c r="AC28" s="71">
        <v>2400</v>
      </c>
      <c r="AD28" s="73" t="s">
        <v>894</v>
      </c>
      <c r="AE28" s="71">
        <v>2400</v>
      </c>
      <c r="AF28" s="73">
        <v>45646</v>
      </c>
      <c r="AG28" s="71">
        <v>2400</v>
      </c>
      <c r="AH28" s="73" t="s">
        <v>979</v>
      </c>
      <c r="AI28" s="71">
        <v>2400</v>
      </c>
      <c r="AJ28" s="73" t="s">
        <v>1007</v>
      </c>
      <c r="AK28" s="71">
        <v>2400</v>
      </c>
      <c r="AL28" s="73" t="s">
        <v>1012</v>
      </c>
      <c r="AM28" s="71">
        <v>2400</v>
      </c>
      <c r="AN28" s="73" t="s">
        <v>1027</v>
      </c>
      <c r="AO28" s="71">
        <f>AM28</f>
        <v>2400</v>
      </c>
      <c r="AP28" s="73">
        <v>45797</v>
      </c>
      <c r="AQ28" s="177"/>
      <c r="AR28" s="131"/>
      <c r="AS28" s="130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2"/>
      <c r="BO28" s="177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78"/>
      <c r="CM28" s="179" t="s">
        <v>577</v>
      </c>
      <c r="CN28" s="180" t="s">
        <v>578</v>
      </c>
      <c r="CO28" s="184" t="s">
        <v>580</v>
      </c>
      <c r="CP28" s="181" t="s">
        <v>579</v>
      </c>
      <c r="CQ28" s="126" t="s">
        <v>572</v>
      </c>
      <c r="CR28" s="127"/>
      <c r="CS28" s="128"/>
      <c r="CT28" s="129"/>
      <c r="CU28" s="73"/>
      <c r="CV28" s="130"/>
      <c r="CW28" s="131"/>
      <c r="CX28" s="131"/>
      <c r="CY28" s="132"/>
      <c r="CZ28" s="71">
        <v>800</v>
      </c>
      <c r="DA28" s="134" t="s">
        <v>571</v>
      </c>
      <c r="DB28" s="135">
        <v>9200</v>
      </c>
      <c r="DC28" s="137" t="s">
        <v>894</v>
      </c>
      <c r="DD28" s="135"/>
      <c r="DE28" s="137"/>
      <c r="DF28" s="135"/>
      <c r="DG28" s="137"/>
      <c r="DH28" s="92">
        <f t="shared" si="1"/>
        <v>0</v>
      </c>
      <c r="DI28" s="129"/>
      <c r="DJ28" s="135"/>
      <c r="DK28" s="135"/>
      <c r="DL28" s="135"/>
      <c r="DM28" s="135"/>
      <c r="DN28" s="135"/>
      <c r="DO28" s="135"/>
      <c r="DP28" s="135"/>
      <c r="DQ28" s="189"/>
      <c r="DR28" s="129"/>
      <c r="DS28" s="135"/>
      <c r="DT28" s="135"/>
      <c r="DU28" s="135"/>
      <c r="DV28" s="135"/>
      <c r="DW28" s="135"/>
      <c r="DX28" s="135"/>
      <c r="DY28" s="135"/>
      <c r="DZ28" s="190"/>
      <c r="EA28" s="142" t="s">
        <v>581</v>
      </c>
      <c r="EB28" s="182" t="s">
        <v>582</v>
      </c>
      <c r="EC28" s="182" t="s">
        <v>584</v>
      </c>
      <c r="ED28" s="182" t="s">
        <v>583</v>
      </c>
      <c r="EE28" s="180"/>
      <c r="EF28" s="180"/>
      <c r="EG28" s="180"/>
      <c r="EH28" s="180"/>
      <c r="EI28" s="182"/>
      <c r="EJ28" s="182"/>
      <c r="EK28" s="182"/>
      <c r="EL28" s="182"/>
      <c r="EM28" s="183"/>
      <c r="EN28" s="184"/>
      <c r="EO28" s="180"/>
      <c r="EP28" s="180"/>
      <c r="EQ28" s="182"/>
      <c r="ER28" s="180"/>
      <c r="ES28" s="180"/>
      <c r="ET28" s="182"/>
      <c r="EU28" s="129"/>
      <c r="EV28" s="131"/>
      <c r="EW28" s="131"/>
      <c r="EX28" s="131"/>
      <c r="EY28" s="131"/>
      <c r="EZ28" s="132"/>
      <c r="FA28" s="148"/>
      <c r="FB28" s="131"/>
      <c r="FC28" s="135"/>
      <c r="FD28" s="131"/>
      <c r="FE28" s="135"/>
      <c r="FF28" s="131"/>
      <c r="FG28" s="135"/>
      <c r="FH28" s="131"/>
      <c r="FI28" s="135"/>
      <c r="FJ28" s="131"/>
      <c r="FK28" s="135"/>
      <c r="FL28" s="131"/>
      <c r="FM28" s="135"/>
      <c r="FN28" s="131"/>
      <c r="FO28" s="135"/>
      <c r="FP28" s="131"/>
      <c r="FQ28" s="135"/>
      <c r="FR28" s="131"/>
      <c r="FS28" s="135"/>
      <c r="FT28" s="131"/>
      <c r="FU28" s="135"/>
      <c r="FV28" s="131"/>
      <c r="FW28" s="135"/>
      <c r="FX28" s="132"/>
      <c r="FY28" s="103"/>
      <c r="FZ28" s="99"/>
      <c r="GA28" s="99"/>
      <c r="GB28" s="99"/>
      <c r="GC28" s="99"/>
      <c r="GD28" s="99"/>
      <c r="GE28" s="99"/>
      <c r="GF28" s="99"/>
      <c r="GG28" s="99"/>
      <c r="GH28" s="99"/>
      <c r="GI28" s="99"/>
      <c r="GJ28" s="99"/>
      <c r="GK28" s="99"/>
      <c r="GL28" s="99"/>
      <c r="GM28" s="99"/>
      <c r="GN28" s="99"/>
      <c r="GO28" s="99"/>
      <c r="GP28" s="99"/>
      <c r="GQ28" s="99"/>
      <c r="GR28" s="99"/>
      <c r="GS28" s="99"/>
      <c r="GT28" s="99"/>
      <c r="GU28" s="99"/>
      <c r="GV28" s="104"/>
      <c r="GW28" s="103"/>
      <c r="GX28" s="99"/>
      <c r="GY28" s="99"/>
      <c r="GZ28" s="99"/>
      <c r="HA28" s="99"/>
      <c r="HB28" s="99"/>
      <c r="HC28" s="99"/>
      <c r="HD28" s="99"/>
      <c r="HE28" s="99"/>
      <c r="HF28" s="99"/>
      <c r="HG28" s="99"/>
      <c r="HH28" s="99"/>
      <c r="HI28" s="99"/>
      <c r="HJ28" s="99"/>
      <c r="HK28" s="99"/>
      <c r="HL28" s="99"/>
      <c r="HM28" s="99"/>
      <c r="HN28" s="99"/>
      <c r="HO28" s="99"/>
      <c r="HP28" s="99"/>
      <c r="HQ28" s="99"/>
      <c r="HR28" s="99"/>
      <c r="HS28" s="99"/>
      <c r="HT28" s="105"/>
    </row>
    <row r="29" spans="1:263" s="590" customFormat="1">
      <c r="A29" s="52">
        <f t="shared" si="2"/>
        <v>25</v>
      </c>
      <c r="B29" s="142" t="s">
        <v>206</v>
      </c>
      <c r="C29" s="54"/>
      <c r="D29" s="128" t="s">
        <v>585</v>
      </c>
      <c r="E29" s="56" t="s">
        <v>1040</v>
      </c>
      <c r="F29" s="57"/>
      <c r="G29" s="58" t="s">
        <v>589</v>
      </c>
      <c r="H29" s="56" t="str">
        <f t="shared" si="0"/>
        <v>萬華區</v>
      </c>
      <c r="I29" s="56" t="s">
        <v>586</v>
      </c>
      <c r="J29" s="56" t="s">
        <v>587</v>
      </c>
      <c r="K29" s="56" t="s">
        <v>588</v>
      </c>
      <c r="L29" s="59">
        <v>75.73</v>
      </c>
      <c r="M29" s="56" t="s">
        <v>482</v>
      </c>
      <c r="N29" s="60">
        <v>45397</v>
      </c>
      <c r="O29" s="60">
        <f t="shared" si="6"/>
        <v>45761</v>
      </c>
      <c r="P29" s="175">
        <v>22000</v>
      </c>
      <c r="Q29" s="71">
        <v>4000</v>
      </c>
      <c r="R29" s="112" t="s">
        <v>571</v>
      </c>
      <c r="S29" s="71">
        <v>2400</v>
      </c>
      <c r="T29" s="73" t="s">
        <v>571</v>
      </c>
      <c r="U29" s="71">
        <v>2400</v>
      </c>
      <c r="V29" s="73" t="s">
        <v>639</v>
      </c>
      <c r="W29" s="71">
        <v>2400</v>
      </c>
      <c r="X29" s="73" t="s">
        <v>652</v>
      </c>
      <c r="Y29" s="71">
        <v>2400</v>
      </c>
      <c r="Z29" s="73" t="s">
        <v>782</v>
      </c>
      <c r="AA29" s="71">
        <v>2400</v>
      </c>
      <c r="AB29" s="73" t="s">
        <v>806</v>
      </c>
      <c r="AC29" s="71">
        <v>2400</v>
      </c>
      <c r="AD29" s="73" t="s">
        <v>894</v>
      </c>
      <c r="AE29" s="71">
        <v>2400</v>
      </c>
      <c r="AF29" s="73">
        <v>45646</v>
      </c>
      <c r="AG29" s="71">
        <v>2400</v>
      </c>
      <c r="AH29" s="73" t="s">
        <v>979</v>
      </c>
      <c r="AI29" s="71">
        <v>2400</v>
      </c>
      <c r="AJ29" s="73" t="s">
        <v>1007</v>
      </c>
      <c r="AK29" s="71">
        <v>2400</v>
      </c>
      <c r="AL29" s="73" t="s">
        <v>1012</v>
      </c>
      <c r="AM29" s="71">
        <v>2400</v>
      </c>
      <c r="AN29" s="73" t="s">
        <v>1027</v>
      </c>
      <c r="AO29" s="71">
        <f t="shared" ref="AO29:AO30" si="7">AM29</f>
        <v>2400</v>
      </c>
      <c r="AP29" s="73">
        <v>45797</v>
      </c>
      <c r="AQ29" s="177"/>
      <c r="AR29" s="131"/>
      <c r="AS29" s="130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2"/>
      <c r="BO29" s="177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78"/>
      <c r="CM29" s="179" t="s">
        <v>590</v>
      </c>
      <c r="CN29" s="180" t="s">
        <v>591</v>
      </c>
      <c r="CO29" s="184" t="s">
        <v>592</v>
      </c>
      <c r="CP29" s="181" t="s">
        <v>593</v>
      </c>
      <c r="CQ29" s="126" t="s">
        <v>594</v>
      </c>
      <c r="CR29" s="127"/>
      <c r="CS29" s="128"/>
      <c r="CT29" s="129"/>
      <c r="CU29" s="73"/>
      <c r="CV29" s="130"/>
      <c r="CW29" s="131"/>
      <c r="CX29" s="131"/>
      <c r="CY29" s="132"/>
      <c r="CZ29" s="71">
        <v>7500</v>
      </c>
      <c r="DA29" s="134" t="s">
        <v>622</v>
      </c>
      <c r="DB29" s="135"/>
      <c r="DC29" s="137"/>
      <c r="DD29" s="135"/>
      <c r="DE29" s="137"/>
      <c r="DF29" s="135"/>
      <c r="DG29" s="137"/>
      <c r="DH29" s="92">
        <f t="shared" si="1"/>
        <v>2500</v>
      </c>
      <c r="DI29" s="129"/>
      <c r="DJ29" s="135"/>
      <c r="DK29" s="135"/>
      <c r="DL29" s="135"/>
      <c r="DM29" s="135"/>
      <c r="DN29" s="135"/>
      <c r="DO29" s="135"/>
      <c r="DP29" s="135"/>
      <c r="DQ29" s="189"/>
      <c r="DR29" s="129"/>
      <c r="DS29" s="135"/>
      <c r="DT29" s="135"/>
      <c r="DU29" s="135"/>
      <c r="DV29" s="135"/>
      <c r="DW29" s="135"/>
      <c r="DX29" s="135"/>
      <c r="DY29" s="135"/>
      <c r="DZ29" s="190"/>
      <c r="EA29" s="142" t="s">
        <v>595</v>
      </c>
      <c r="EB29" s="182" t="s">
        <v>596</v>
      </c>
      <c r="EC29" s="182" t="s">
        <v>470</v>
      </c>
      <c r="ED29" s="182" t="s">
        <v>597</v>
      </c>
      <c r="EE29" s="180" t="s">
        <v>598</v>
      </c>
      <c r="EF29" s="180" t="s">
        <v>600</v>
      </c>
      <c r="EG29" s="180" t="s">
        <v>599</v>
      </c>
      <c r="EH29" s="180" t="s">
        <v>601</v>
      </c>
      <c r="EI29" s="182" t="s">
        <v>602</v>
      </c>
      <c r="EJ29" s="182" t="s">
        <v>474</v>
      </c>
      <c r="EK29" s="182"/>
      <c r="EL29" s="182"/>
      <c r="EM29" s="183"/>
      <c r="EN29" s="184"/>
      <c r="EO29" s="180"/>
      <c r="EP29" s="180"/>
      <c r="EQ29" s="182"/>
      <c r="ER29" s="180"/>
      <c r="ES29" s="180"/>
      <c r="ET29" s="182"/>
      <c r="EU29" s="129"/>
      <c r="EV29" s="131"/>
      <c r="EW29" s="131"/>
      <c r="EX29" s="131"/>
      <c r="EY29" s="131"/>
      <c r="EZ29" s="132"/>
      <c r="FA29" s="148"/>
      <c r="FB29" s="131"/>
      <c r="FC29" s="135"/>
      <c r="FD29" s="131"/>
      <c r="FE29" s="135"/>
      <c r="FF29" s="131"/>
      <c r="FG29" s="135"/>
      <c r="FH29" s="131"/>
      <c r="FI29" s="135"/>
      <c r="FJ29" s="131"/>
      <c r="FK29" s="135"/>
      <c r="FL29" s="131"/>
      <c r="FM29" s="135"/>
      <c r="FN29" s="131"/>
      <c r="FO29" s="135"/>
      <c r="FP29" s="131"/>
      <c r="FQ29" s="135"/>
      <c r="FR29" s="131"/>
      <c r="FS29" s="135"/>
      <c r="FT29" s="131"/>
      <c r="FU29" s="135"/>
      <c r="FV29" s="131"/>
      <c r="FW29" s="135"/>
      <c r="FX29" s="132"/>
      <c r="FY29" s="103"/>
      <c r="FZ29" s="99"/>
      <c r="GA29" s="99"/>
      <c r="GB29" s="99"/>
      <c r="GC29" s="99"/>
      <c r="GD29" s="99"/>
      <c r="GE29" s="99"/>
      <c r="GF29" s="99"/>
      <c r="GG29" s="99"/>
      <c r="GH29" s="99"/>
      <c r="GI29" s="99"/>
      <c r="GJ29" s="99"/>
      <c r="GK29" s="99"/>
      <c r="GL29" s="99"/>
      <c r="GM29" s="99"/>
      <c r="GN29" s="99"/>
      <c r="GO29" s="99"/>
      <c r="GP29" s="99"/>
      <c r="GQ29" s="99"/>
      <c r="GR29" s="99"/>
      <c r="GS29" s="99"/>
      <c r="GT29" s="99"/>
      <c r="GU29" s="99"/>
      <c r="GV29" s="104"/>
      <c r="GW29" s="103"/>
      <c r="GX29" s="99"/>
      <c r="GY29" s="99"/>
      <c r="GZ29" s="99"/>
      <c r="HA29" s="99"/>
      <c r="HB29" s="99"/>
      <c r="HC29" s="99"/>
      <c r="HD29" s="99"/>
      <c r="HE29" s="99"/>
      <c r="HF29" s="99"/>
      <c r="HG29" s="99"/>
      <c r="HH29" s="99"/>
      <c r="HI29" s="99"/>
      <c r="HJ29" s="99"/>
      <c r="HK29" s="99"/>
      <c r="HL29" s="99"/>
      <c r="HM29" s="99"/>
      <c r="HN29" s="99"/>
      <c r="HO29" s="99"/>
      <c r="HP29" s="99"/>
      <c r="HQ29" s="99"/>
      <c r="HR29" s="99"/>
      <c r="HS29" s="99"/>
      <c r="HT29" s="105"/>
    </row>
    <row r="30" spans="1:263" s="590" customFormat="1">
      <c r="A30" s="52">
        <f t="shared" si="2"/>
        <v>26</v>
      </c>
      <c r="B30" s="142" t="s">
        <v>206</v>
      </c>
      <c r="C30" s="54"/>
      <c r="D30" s="128" t="s">
        <v>603</v>
      </c>
      <c r="E30" s="56" t="s">
        <v>1042</v>
      </c>
      <c r="F30" s="57"/>
      <c r="G30" s="58" t="s">
        <v>604</v>
      </c>
      <c r="H30" s="56" t="str">
        <f t="shared" si="0"/>
        <v>內湖區</v>
      </c>
      <c r="I30" s="56" t="s">
        <v>605</v>
      </c>
      <c r="J30" s="56" t="s">
        <v>606</v>
      </c>
      <c r="K30" s="56" t="s">
        <v>607</v>
      </c>
      <c r="L30" s="59">
        <v>80.47</v>
      </c>
      <c r="M30" s="56" t="s">
        <v>482</v>
      </c>
      <c r="N30" s="60">
        <v>45397</v>
      </c>
      <c r="O30" s="60">
        <f t="shared" si="6"/>
        <v>45761</v>
      </c>
      <c r="P30" s="175">
        <v>33000</v>
      </c>
      <c r="Q30" s="71">
        <v>16000</v>
      </c>
      <c r="R30" s="112" t="s">
        <v>571</v>
      </c>
      <c r="S30" s="71">
        <v>2400</v>
      </c>
      <c r="T30" s="73" t="s">
        <v>571</v>
      </c>
      <c r="U30" s="71">
        <v>2400</v>
      </c>
      <c r="V30" s="73" t="s">
        <v>639</v>
      </c>
      <c r="W30" s="71">
        <v>2400</v>
      </c>
      <c r="X30" s="73" t="s">
        <v>652</v>
      </c>
      <c r="Y30" s="71">
        <v>2400</v>
      </c>
      <c r="Z30" s="73" t="s">
        <v>782</v>
      </c>
      <c r="AA30" s="71">
        <v>2400</v>
      </c>
      <c r="AB30" s="73" t="s">
        <v>806</v>
      </c>
      <c r="AC30" s="71">
        <v>2400</v>
      </c>
      <c r="AD30" s="73" t="s">
        <v>894</v>
      </c>
      <c r="AE30" s="71">
        <v>2400</v>
      </c>
      <c r="AF30" s="73">
        <v>45646</v>
      </c>
      <c r="AG30" s="71">
        <v>2400</v>
      </c>
      <c r="AH30" s="73" t="s">
        <v>979</v>
      </c>
      <c r="AI30" s="71">
        <v>2400</v>
      </c>
      <c r="AJ30" s="73" t="s">
        <v>1007</v>
      </c>
      <c r="AK30" s="71">
        <v>2400</v>
      </c>
      <c r="AL30" s="73" t="s">
        <v>1012</v>
      </c>
      <c r="AM30" s="71">
        <v>2400</v>
      </c>
      <c r="AN30" s="73" t="s">
        <v>1027</v>
      </c>
      <c r="AO30" s="71">
        <f t="shared" si="7"/>
        <v>2400</v>
      </c>
      <c r="AP30" s="73">
        <v>45797</v>
      </c>
      <c r="AQ30" s="177"/>
      <c r="AR30" s="131"/>
      <c r="AS30" s="130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2"/>
      <c r="BO30" s="177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78"/>
      <c r="CM30" s="179" t="s">
        <v>608</v>
      </c>
      <c r="CN30" s="180" t="s">
        <v>609</v>
      </c>
      <c r="CO30" s="184" t="s">
        <v>611</v>
      </c>
      <c r="CP30" s="181" t="s">
        <v>610</v>
      </c>
      <c r="CQ30" s="126" t="s">
        <v>612</v>
      </c>
      <c r="CR30" s="127"/>
      <c r="CS30" s="128"/>
      <c r="CT30" s="129">
        <v>3300</v>
      </c>
      <c r="CU30" s="73" t="s">
        <v>571</v>
      </c>
      <c r="CV30" s="130"/>
      <c r="CW30" s="131"/>
      <c r="CX30" s="131"/>
      <c r="CY30" s="132"/>
      <c r="CZ30" s="71">
        <v>10000</v>
      </c>
      <c r="DA30" s="134" t="s">
        <v>1011</v>
      </c>
      <c r="DB30" s="135"/>
      <c r="DC30" s="137"/>
      <c r="DD30" s="135"/>
      <c r="DE30" s="137"/>
      <c r="DF30" s="135"/>
      <c r="DG30" s="137"/>
      <c r="DH30" s="92">
        <f t="shared" si="1"/>
        <v>0</v>
      </c>
      <c r="DI30" s="129"/>
      <c r="DJ30" s="135"/>
      <c r="DK30" s="135"/>
      <c r="DL30" s="135"/>
      <c r="DM30" s="135"/>
      <c r="DN30" s="135"/>
      <c r="DO30" s="135"/>
      <c r="DP30" s="135"/>
      <c r="DQ30" s="189"/>
      <c r="DR30" s="129"/>
      <c r="DS30" s="135"/>
      <c r="DT30" s="135"/>
      <c r="DU30" s="135"/>
      <c r="DV30" s="135"/>
      <c r="DW30" s="135"/>
      <c r="DX30" s="135"/>
      <c r="DY30" s="135"/>
      <c r="DZ30" s="190"/>
      <c r="EA30" s="142" t="s">
        <v>613</v>
      </c>
      <c r="EB30" s="182" t="s">
        <v>614</v>
      </c>
      <c r="EC30" s="182" t="s">
        <v>470</v>
      </c>
      <c r="ED30" s="182" t="s">
        <v>615</v>
      </c>
      <c r="EE30" s="180" t="s">
        <v>616</v>
      </c>
      <c r="EF30" s="180" t="s">
        <v>617</v>
      </c>
      <c r="EG30" s="180" t="s">
        <v>599</v>
      </c>
      <c r="EH30" s="180" t="s">
        <v>619</v>
      </c>
      <c r="EI30" s="182" t="s">
        <v>618</v>
      </c>
      <c r="EJ30" s="182" t="s">
        <v>474</v>
      </c>
      <c r="EK30" s="182" t="s">
        <v>620</v>
      </c>
      <c r="EL30" s="182" t="s">
        <v>621</v>
      </c>
      <c r="EM30" s="183" t="s">
        <v>528</v>
      </c>
      <c r="EN30" s="184"/>
      <c r="EO30" s="180"/>
      <c r="EP30" s="180"/>
      <c r="EQ30" s="182"/>
      <c r="ER30" s="180"/>
      <c r="ES30" s="180"/>
      <c r="ET30" s="182"/>
      <c r="EU30" s="129"/>
      <c r="EV30" s="131"/>
      <c r="EW30" s="131"/>
      <c r="EX30" s="131"/>
      <c r="EY30" s="131"/>
      <c r="EZ30" s="132"/>
      <c r="FA30" s="148"/>
      <c r="FB30" s="131"/>
      <c r="FC30" s="135"/>
      <c r="FD30" s="131"/>
      <c r="FE30" s="135"/>
      <c r="FF30" s="131"/>
      <c r="FG30" s="135"/>
      <c r="FH30" s="131"/>
      <c r="FI30" s="135"/>
      <c r="FJ30" s="131"/>
      <c r="FK30" s="135"/>
      <c r="FL30" s="131"/>
      <c r="FM30" s="135"/>
      <c r="FN30" s="131"/>
      <c r="FO30" s="135"/>
      <c r="FP30" s="131"/>
      <c r="FQ30" s="135"/>
      <c r="FR30" s="131"/>
      <c r="FS30" s="135"/>
      <c r="FT30" s="131"/>
      <c r="FU30" s="135"/>
      <c r="FV30" s="131"/>
      <c r="FW30" s="135"/>
      <c r="FX30" s="132"/>
      <c r="FY30" s="103"/>
      <c r="FZ30" s="99"/>
      <c r="GA30" s="99"/>
      <c r="GB30" s="99"/>
      <c r="GC30" s="99"/>
      <c r="GD30" s="99"/>
      <c r="GE30" s="99"/>
      <c r="GF30" s="99"/>
      <c r="GG30" s="99"/>
      <c r="GH30" s="99"/>
      <c r="GI30" s="99"/>
      <c r="GJ30" s="99"/>
      <c r="GK30" s="99"/>
      <c r="GL30" s="99"/>
      <c r="GM30" s="99"/>
      <c r="GN30" s="99"/>
      <c r="GO30" s="99"/>
      <c r="GP30" s="99"/>
      <c r="GQ30" s="99"/>
      <c r="GR30" s="99"/>
      <c r="GS30" s="99"/>
      <c r="GT30" s="99"/>
      <c r="GU30" s="99"/>
      <c r="GV30" s="104"/>
      <c r="GW30" s="103"/>
      <c r="GX30" s="99"/>
      <c r="GY30" s="99"/>
      <c r="GZ30" s="99"/>
      <c r="HA30" s="99"/>
      <c r="HB30" s="99"/>
      <c r="HC30" s="99"/>
      <c r="HD30" s="99"/>
      <c r="HE30" s="99"/>
      <c r="HF30" s="99"/>
      <c r="HG30" s="99"/>
      <c r="HH30" s="99"/>
      <c r="HI30" s="99"/>
      <c r="HJ30" s="99"/>
      <c r="HK30" s="99"/>
      <c r="HL30" s="99"/>
      <c r="HM30" s="99"/>
      <c r="HN30" s="99"/>
      <c r="HO30" s="99"/>
      <c r="HP30" s="99"/>
      <c r="HQ30" s="99"/>
      <c r="HR30" s="99"/>
      <c r="HS30" s="99"/>
      <c r="HT30" s="105"/>
    </row>
    <row r="31" spans="1:263" s="590" customFormat="1">
      <c r="A31" s="52">
        <f t="shared" si="2"/>
        <v>27</v>
      </c>
      <c r="B31" s="142" t="s">
        <v>206</v>
      </c>
      <c r="C31" s="54"/>
      <c r="D31" s="128" t="s">
        <v>623</v>
      </c>
      <c r="E31" s="56" t="s">
        <v>1045</v>
      </c>
      <c r="F31" s="57"/>
      <c r="G31" s="58" t="s">
        <v>633</v>
      </c>
      <c r="H31" s="56" t="str">
        <f t="shared" si="0"/>
        <v>士林區</v>
      </c>
      <c r="I31" s="56" t="s">
        <v>624</v>
      </c>
      <c r="J31" s="56" t="s">
        <v>626</v>
      </c>
      <c r="K31" s="56" t="s">
        <v>625</v>
      </c>
      <c r="L31" s="59">
        <v>81.650000000000006</v>
      </c>
      <c r="M31" s="56" t="s">
        <v>482</v>
      </c>
      <c r="N31" s="60">
        <v>45413</v>
      </c>
      <c r="O31" s="60">
        <f t="shared" si="6"/>
        <v>45777</v>
      </c>
      <c r="P31" s="175">
        <v>20000</v>
      </c>
      <c r="Q31" s="71">
        <v>16000</v>
      </c>
      <c r="R31" s="112" t="s">
        <v>622</v>
      </c>
      <c r="S31" s="71">
        <v>2400</v>
      </c>
      <c r="T31" s="73" t="s">
        <v>622</v>
      </c>
      <c r="U31" s="71">
        <v>2400</v>
      </c>
      <c r="V31" s="73" t="s">
        <v>652</v>
      </c>
      <c r="W31" s="71">
        <v>2400</v>
      </c>
      <c r="X31" s="73" t="s">
        <v>782</v>
      </c>
      <c r="Y31" s="71">
        <v>2400</v>
      </c>
      <c r="Z31" s="73" t="s">
        <v>806</v>
      </c>
      <c r="AA31" s="71">
        <v>2400</v>
      </c>
      <c r="AB31" s="73" t="s">
        <v>894</v>
      </c>
      <c r="AC31" s="71">
        <v>2400</v>
      </c>
      <c r="AD31" s="73">
        <v>45646</v>
      </c>
      <c r="AE31" s="71">
        <v>2400</v>
      </c>
      <c r="AF31" s="73" t="s">
        <v>979</v>
      </c>
      <c r="AG31" s="71">
        <v>2400</v>
      </c>
      <c r="AH31" s="73" t="s">
        <v>1007</v>
      </c>
      <c r="AI31" s="71">
        <v>2400</v>
      </c>
      <c r="AJ31" s="73" t="s">
        <v>1012</v>
      </c>
      <c r="AK31" s="71">
        <v>2400</v>
      </c>
      <c r="AL31" s="73" t="s">
        <v>1027</v>
      </c>
      <c r="AM31" s="71">
        <f>AK31</f>
        <v>2400</v>
      </c>
      <c r="AN31" s="73">
        <v>45797</v>
      </c>
      <c r="AO31" s="71">
        <f>AM31</f>
        <v>2400</v>
      </c>
      <c r="AP31" s="73">
        <v>45828</v>
      </c>
      <c r="AQ31" s="177"/>
      <c r="AR31" s="131"/>
      <c r="AS31" s="130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2"/>
      <c r="BO31" s="177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78"/>
      <c r="CM31" s="179" t="s">
        <v>627</v>
      </c>
      <c r="CN31" s="180" t="s">
        <v>628</v>
      </c>
      <c r="CO31" s="184" t="s">
        <v>630</v>
      </c>
      <c r="CP31" s="181" t="s">
        <v>629</v>
      </c>
      <c r="CQ31" s="126" t="s">
        <v>631</v>
      </c>
      <c r="CR31" s="127"/>
      <c r="CS31" s="128"/>
      <c r="CT31" s="129"/>
      <c r="CU31" s="73"/>
      <c r="CV31" s="130"/>
      <c r="CW31" s="131"/>
      <c r="CX31" s="131"/>
      <c r="CY31" s="132"/>
      <c r="CZ31" s="71">
        <v>10000</v>
      </c>
      <c r="DA31" s="134" t="s">
        <v>894</v>
      </c>
      <c r="DB31" s="135"/>
      <c r="DC31" s="137"/>
      <c r="DD31" s="135"/>
      <c r="DE31" s="137"/>
      <c r="DF31" s="135"/>
      <c r="DG31" s="137"/>
      <c r="DH31" s="92">
        <f t="shared" si="1"/>
        <v>0</v>
      </c>
      <c r="DI31" s="129"/>
      <c r="DJ31" s="135"/>
      <c r="DK31" s="135"/>
      <c r="DL31" s="135"/>
      <c r="DM31" s="135"/>
      <c r="DN31" s="135"/>
      <c r="DO31" s="135"/>
      <c r="DP31" s="135"/>
      <c r="DQ31" s="189"/>
      <c r="DR31" s="129"/>
      <c r="DS31" s="135"/>
      <c r="DT31" s="135"/>
      <c r="DU31" s="135"/>
      <c r="DV31" s="135"/>
      <c r="DW31" s="135"/>
      <c r="DX31" s="135"/>
      <c r="DY31" s="135"/>
      <c r="DZ31" s="190"/>
      <c r="EA31" s="142" t="s">
        <v>632</v>
      </c>
      <c r="EB31" s="182" t="s">
        <v>634</v>
      </c>
      <c r="EC31" s="182" t="s">
        <v>470</v>
      </c>
      <c r="ED31" s="182" t="s">
        <v>635</v>
      </c>
      <c r="EE31" s="180" t="s">
        <v>636</v>
      </c>
      <c r="EF31" s="180" t="s">
        <v>637</v>
      </c>
      <c r="EG31" s="180" t="s">
        <v>638</v>
      </c>
      <c r="EH31" s="180"/>
      <c r="EI31" s="182"/>
      <c r="EJ31" s="182"/>
      <c r="EK31" s="182"/>
      <c r="EL31" s="182"/>
      <c r="EM31" s="183"/>
      <c r="EN31" s="184"/>
      <c r="EO31" s="180"/>
      <c r="EP31" s="180"/>
      <c r="EQ31" s="182"/>
      <c r="ER31" s="180"/>
      <c r="ES31" s="180"/>
      <c r="ET31" s="182"/>
      <c r="EU31" s="129"/>
      <c r="EV31" s="131"/>
      <c r="EW31" s="131"/>
      <c r="EX31" s="131"/>
      <c r="EY31" s="131"/>
      <c r="EZ31" s="132"/>
      <c r="FA31" s="148"/>
      <c r="FB31" s="131"/>
      <c r="FC31" s="135"/>
      <c r="FD31" s="131"/>
      <c r="FE31" s="135"/>
      <c r="FF31" s="131"/>
      <c r="FG31" s="135"/>
      <c r="FH31" s="131"/>
      <c r="FI31" s="135"/>
      <c r="FJ31" s="131"/>
      <c r="FK31" s="135"/>
      <c r="FL31" s="131"/>
      <c r="FM31" s="135"/>
      <c r="FN31" s="131"/>
      <c r="FO31" s="135"/>
      <c r="FP31" s="131"/>
      <c r="FQ31" s="135"/>
      <c r="FR31" s="131"/>
      <c r="FS31" s="135"/>
      <c r="FT31" s="131"/>
      <c r="FU31" s="135"/>
      <c r="FV31" s="131"/>
      <c r="FW31" s="135"/>
      <c r="FX31" s="132"/>
      <c r="FY31" s="103"/>
      <c r="FZ31" s="99"/>
      <c r="GA31" s="99"/>
      <c r="GB31" s="99"/>
      <c r="GC31" s="99"/>
      <c r="GD31" s="99"/>
      <c r="GE31" s="99"/>
      <c r="GF31" s="99"/>
      <c r="GG31" s="99"/>
      <c r="GH31" s="99"/>
      <c r="GI31" s="99"/>
      <c r="GJ31" s="99"/>
      <c r="GK31" s="99"/>
      <c r="GL31" s="99"/>
      <c r="GM31" s="99"/>
      <c r="GN31" s="99"/>
      <c r="GO31" s="99"/>
      <c r="GP31" s="99"/>
      <c r="GQ31" s="99"/>
      <c r="GR31" s="99"/>
      <c r="GS31" s="99"/>
      <c r="GT31" s="99"/>
      <c r="GU31" s="99"/>
      <c r="GV31" s="104"/>
      <c r="GW31" s="103"/>
      <c r="GX31" s="99"/>
      <c r="GY31" s="99"/>
      <c r="GZ31" s="99"/>
      <c r="HA31" s="99"/>
      <c r="HB31" s="99"/>
      <c r="HC31" s="99"/>
      <c r="HD31" s="99"/>
      <c r="HE31" s="99"/>
      <c r="HF31" s="99"/>
      <c r="HG31" s="99"/>
      <c r="HH31" s="99"/>
      <c r="HI31" s="99"/>
      <c r="HJ31" s="99"/>
      <c r="HK31" s="99"/>
      <c r="HL31" s="99"/>
      <c r="HM31" s="99"/>
      <c r="HN31" s="99"/>
      <c r="HO31" s="99"/>
      <c r="HP31" s="99"/>
      <c r="HQ31" s="99"/>
      <c r="HR31" s="99"/>
      <c r="HS31" s="99"/>
      <c r="HT31" s="105"/>
    </row>
    <row r="32" spans="1:263" s="590" customFormat="1">
      <c r="A32" s="52">
        <f t="shared" si="2"/>
        <v>28</v>
      </c>
      <c r="B32" s="142" t="s">
        <v>206</v>
      </c>
      <c r="C32" s="54"/>
      <c r="D32" s="128" t="s">
        <v>641</v>
      </c>
      <c r="E32" s="56" t="s">
        <v>701</v>
      </c>
      <c r="F32" s="57">
        <v>45713</v>
      </c>
      <c r="G32" s="58" t="s">
        <v>653</v>
      </c>
      <c r="H32" s="56" t="str">
        <f t="shared" si="0"/>
        <v>士林區</v>
      </c>
      <c r="I32" s="56" t="s">
        <v>645</v>
      </c>
      <c r="J32" s="56" t="s">
        <v>658</v>
      </c>
      <c r="K32" s="56" t="s">
        <v>648</v>
      </c>
      <c r="L32" s="59">
        <v>230.67</v>
      </c>
      <c r="M32" s="56" t="s">
        <v>482</v>
      </c>
      <c r="N32" s="60">
        <v>45422</v>
      </c>
      <c r="O32" s="60">
        <f t="shared" si="6"/>
        <v>45786</v>
      </c>
      <c r="P32" s="175">
        <v>19500</v>
      </c>
      <c r="Q32" s="71">
        <v>8000</v>
      </c>
      <c r="R32" s="112" t="s">
        <v>652</v>
      </c>
      <c r="S32" s="71">
        <v>2400</v>
      </c>
      <c r="T32" s="73" t="s">
        <v>652</v>
      </c>
      <c r="U32" s="71">
        <v>2400</v>
      </c>
      <c r="V32" s="73" t="s">
        <v>652</v>
      </c>
      <c r="W32" s="71">
        <v>2400</v>
      </c>
      <c r="X32" s="73" t="s">
        <v>782</v>
      </c>
      <c r="Y32" s="71">
        <v>2400</v>
      </c>
      <c r="Z32" s="73" t="s">
        <v>806</v>
      </c>
      <c r="AA32" s="71">
        <v>2400</v>
      </c>
      <c r="AB32" s="73" t="s">
        <v>894</v>
      </c>
      <c r="AC32" s="71">
        <v>2400</v>
      </c>
      <c r="AD32" s="73">
        <v>45646</v>
      </c>
      <c r="AE32" s="71">
        <v>2400</v>
      </c>
      <c r="AF32" s="73" t="s">
        <v>979</v>
      </c>
      <c r="AG32" s="71">
        <v>2400</v>
      </c>
      <c r="AH32" s="73" t="s">
        <v>1007</v>
      </c>
      <c r="AI32" s="71">
        <v>2400</v>
      </c>
      <c r="AJ32" s="73" t="s">
        <v>1012</v>
      </c>
      <c r="AK32" s="71">
        <v>2400</v>
      </c>
      <c r="AL32" s="73" t="s">
        <v>1027</v>
      </c>
      <c r="AM32" s="71" t="s">
        <v>1035</v>
      </c>
      <c r="AN32" s="73" t="s">
        <v>1035</v>
      </c>
      <c r="AO32" s="71" t="s">
        <v>1035</v>
      </c>
      <c r="AP32" s="73" t="s">
        <v>1035</v>
      </c>
      <c r="AQ32" s="177"/>
      <c r="AR32" s="131"/>
      <c r="AS32" s="130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2"/>
      <c r="BO32" s="177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78"/>
      <c r="CM32" s="179" t="s">
        <v>685</v>
      </c>
      <c r="CN32" s="180" t="s">
        <v>686</v>
      </c>
      <c r="CO32" s="184" t="s">
        <v>682</v>
      </c>
      <c r="CP32" s="181" t="s">
        <v>680</v>
      </c>
      <c r="CQ32" s="126" t="s">
        <v>681</v>
      </c>
      <c r="CR32" s="127" t="s">
        <v>683</v>
      </c>
      <c r="CS32" s="128" t="s">
        <v>684</v>
      </c>
      <c r="CT32" s="129"/>
      <c r="CU32" s="73"/>
      <c r="CV32" s="130"/>
      <c r="CW32" s="131"/>
      <c r="CX32" s="131"/>
      <c r="CY32" s="132"/>
      <c r="CZ32" s="71">
        <v>10000</v>
      </c>
      <c r="DA32" s="134" t="s">
        <v>783</v>
      </c>
      <c r="DB32" s="135"/>
      <c r="DC32" s="137"/>
      <c r="DD32" s="135"/>
      <c r="DE32" s="137"/>
      <c r="DF32" s="135"/>
      <c r="DG32" s="137"/>
      <c r="DH32" s="92">
        <f t="shared" si="1"/>
        <v>0</v>
      </c>
      <c r="DI32" s="129"/>
      <c r="DJ32" s="135"/>
      <c r="DK32" s="135"/>
      <c r="DL32" s="135"/>
      <c r="DM32" s="135"/>
      <c r="DN32" s="135"/>
      <c r="DO32" s="135"/>
      <c r="DP32" s="135"/>
      <c r="DQ32" s="189"/>
      <c r="DR32" s="129"/>
      <c r="DS32" s="135"/>
      <c r="DT32" s="135"/>
      <c r="DU32" s="135"/>
      <c r="DV32" s="135"/>
      <c r="DW32" s="135"/>
      <c r="DX32" s="135"/>
      <c r="DY32" s="135"/>
      <c r="DZ32" s="190"/>
      <c r="EA32" s="142" t="s">
        <v>687</v>
      </c>
      <c r="EB32" s="182" t="s">
        <v>688</v>
      </c>
      <c r="EC32" s="182" t="s">
        <v>470</v>
      </c>
      <c r="ED32" s="182" t="s">
        <v>663</v>
      </c>
      <c r="EE32" s="180"/>
      <c r="EF32" s="180"/>
      <c r="EG32" s="180"/>
      <c r="EH32" s="180"/>
      <c r="EI32" s="182"/>
      <c r="EJ32" s="182"/>
      <c r="EK32" s="182"/>
      <c r="EL32" s="182"/>
      <c r="EM32" s="183"/>
      <c r="EN32" s="184"/>
      <c r="EO32" s="180"/>
      <c r="EP32" s="180"/>
      <c r="EQ32" s="182"/>
      <c r="ER32" s="180"/>
      <c r="ES32" s="180"/>
      <c r="ET32" s="182"/>
      <c r="EU32" s="129"/>
      <c r="EV32" s="131"/>
      <c r="EW32" s="131"/>
      <c r="EX32" s="131"/>
      <c r="EY32" s="131"/>
      <c r="EZ32" s="132"/>
      <c r="FA32" s="148"/>
      <c r="FB32" s="131"/>
      <c r="FC32" s="135"/>
      <c r="FD32" s="131"/>
      <c r="FE32" s="135"/>
      <c r="FF32" s="131"/>
      <c r="FG32" s="135"/>
      <c r="FH32" s="131"/>
      <c r="FI32" s="135"/>
      <c r="FJ32" s="131"/>
      <c r="FK32" s="135"/>
      <c r="FL32" s="131"/>
      <c r="FM32" s="135"/>
      <c r="FN32" s="131"/>
      <c r="FO32" s="135"/>
      <c r="FP32" s="131"/>
      <c r="FQ32" s="135"/>
      <c r="FR32" s="131"/>
      <c r="FS32" s="135"/>
      <c r="FT32" s="131"/>
      <c r="FU32" s="135"/>
      <c r="FV32" s="131"/>
      <c r="FW32" s="135"/>
      <c r="FX32" s="132"/>
      <c r="FY32" s="103"/>
      <c r="FZ32" s="99"/>
      <c r="GA32" s="99"/>
      <c r="GB32" s="99"/>
      <c r="GC32" s="99"/>
      <c r="GD32" s="99"/>
      <c r="GE32" s="99"/>
      <c r="GF32" s="99"/>
      <c r="GG32" s="99"/>
      <c r="GH32" s="99"/>
      <c r="GI32" s="99"/>
      <c r="GJ32" s="99"/>
      <c r="GK32" s="99"/>
      <c r="GL32" s="99"/>
      <c r="GM32" s="99"/>
      <c r="GN32" s="99"/>
      <c r="GO32" s="99"/>
      <c r="GP32" s="99"/>
      <c r="GQ32" s="99"/>
      <c r="GR32" s="99"/>
      <c r="GS32" s="99"/>
      <c r="GT32" s="99"/>
      <c r="GU32" s="99"/>
      <c r="GV32" s="104"/>
      <c r="GW32" s="103"/>
      <c r="GX32" s="99"/>
      <c r="GY32" s="99"/>
      <c r="GZ32" s="99"/>
      <c r="HA32" s="99"/>
      <c r="HB32" s="99"/>
      <c r="HC32" s="99"/>
      <c r="HD32" s="99"/>
      <c r="HE32" s="99"/>
      <c r="HF32" s="99"/>
      <c r="HG32" s="99"/>
      <c r="HH32" s="99"/>
      <c r="HI32" s="99"/>
      <c r="HJ32" s="99"/>
      <c r="HK32" s="99"/>
      <c r="HL32" s="99"/>
      <c r="HM32" s="99"/>
      <c r="HN32" s="99"/>
      <c r="HO32" s="99"/>
      <c r="HP32" s="99"/>
      <c r="HQ32" s="99"/>
      <c r="HR32" s="99"/>
      <c r="HS32" s="99"/>
      <c r="HT32" s="105"/>
    </row>
    <row r="33" spans="1:276" s="590" customFormat="1">
      <c r="A33" s="52">
        <f t="shared" si="2"/>
        <v>29</v>
      </c>
      <c r="B33" s="142" t="s">
        <v>206</v>
      </c>
      <c r="C33" s="54"/>
      <c r="D33" s="128" t="s">
        <v>642</v>
      </c>
      <c r="E33" s="56" t="s">
        <v>1081</v>
      </c>
      <c r="F33" s="57">
        <v>45791</v>
      </c>
      <c r="G33" s="58" t="s">
        <v>654</v>
      </c>
      <c r="H33" s="56" t="str">
        <f t="shared" si="0"/>
        <v>信義區</v>
      </c>
      <c r="I33" s="56" t="s">
        <v>646</v>
      </c>
      <c r="J33" s="56" t="s">
        <v>657</v>
      </c>
      <c r="K33" s="56" t="s">
        <v>649</v>
      </c>
      <c r="L33" s="59">
        <v>123.82</v>
      </c>
      <c r="M33" s="56" t="s">
        <v>482</v>
      </c>
      <c r="N33" s="60">
        <v>45426</v>
      </c>
      <c r="O33" s="60">
        <f t="shared" si="6"/>
        <v>45790</v>
      </c>
      <c r="P33" s="175">
        <v>26500</v>
      </c>
      <c r="Q33" s="71">
        <v>16000</v>
      </c>
      <c r="R33" s="112" t="s">
        <v>652</v>
      </c>
      <c r="S33" s="71">
        <v>2400</v>
      </c>
      <c r="T33" s="73" t="s">
        <v>652</v>
      </c>
      <c r="U33" s="71">
        <v>2400</v>
      </c>
      <c r="V33" s="73" t="s">
        <v>652</v>
      </c>
      <c r="W33" s="71">
        <v>2400</v>
      </c>
      <c r="X33" s="73" t="s">
        <v>782</v>
      </c>
      <c r="Y33" s="71">
        <v>2400</v>
      </c>
      <c r="Z33" s="73" t="s">
        <v>806</v>
      </c>
      <c r="AA33" s="71">
        <v>2400</v>
      </c>
      <c r="AB33" s="73" t="s">
        <v>894</v>
      </c>
      <c r="AC33" s="71">
        <v>2400</v>
      </c>
      <c r="AD33" s="73">
        <v>45646</v>
      </c>
      <c r="AE33" s="71">
        <v>2400</v>
      </c>
      <c r="AF33" s="73" t="s">
        <v>979</v>
      </c>
      <c r="AG33" s="71">
        <v>2400</v>
      </c>
      <c r="AH33" s="73" t="s">
        <v>1007</v>
      </c>
      <c r="AI33" s="71">
        <v>2400</v>
      </c>
      <c r="AJ33" s="73" t="s">
        <v>1012</v>
      </c>
      <c r="AK33" s="71">
        <v>2400</v>
      </c>
      <c r="AL33" s="73" t="s">
        <v>1027</v>
      </c>
      <c r="AM33" s="71">
        <f>AK33</f>
        <v>2400</v>
      </c>
      <c r="AN33" s="73">
        <v>45797</v>
      </c>
      <c r="AO33" s="71">
        <f>AM33</f>
        <v>2400</v>
      </c>
      <c r="AP33" s="73">
        <v>45828</v>
      </c>
      <c r="AQ33" s="177"/>
      <c r="AR33" s="131"/>
      <c r="AS33" s="130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2"/>
      <c r="BO33" s="177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78"/>
      <c r="CM33" s="179" t="s">
        <v>689</v>
      </c>
      <c r="CN33" s="180" t="s">
        <v>690</v>
      </c>
      <c r="CO33" s="184" t="s">
        <v>592</v>
      </c>
      <c r="CP33" s="181" t="s">
        <v>678</v>
      </c>
      <c r="CQ33" s="126" t="s">
        <v>679</v>
      </c>
      <c r="CR33" s="127"/>
      <c r="CS33" s="128"/>
      <c r="CT33" s="129"/>
      <c r="CU33" s="73"/>
      <c r="CV33" s="130"/>
      <c r="CW33" s="131"/>
      <c r="CX33" s="131"/>
      <c r="CY33" s="132"/>
      <c r="CZ33" s="71">
        <v>850</v>
      </c>
      <c r="DA33" s="134" t="s">
        <v>652</v>
      </c>
      <c r="DB33" s="135">
        <v>9150</v>
      </c>
      <c r="DC33" s="137" t="s">
        <v>894</v>
      </c>
      <c r="DD33" s="135"/>
      <c r="DE33" s="137"/>
      <c r="DF33" s="135"/>
      <c r="DG33" s="137"/>
      <c r="DH33" s="92">
        <f t="shared" si="1"/>
        <v>0</v>
      </c>
      <c r="DI33" s="129"/>
      <c r="DJ33" s="135"/>
      <c r="DK33" s="135"/>
      <c r="DL33" s="135"/>
      <c r="DM33" s="135"/>
      <c r="DN33" s="135"/>
      <c r="DO33" s="135"/>
      <c r="DP33" s="135"/>
      <c r="DQ33" s="189"/>
      <c r="DR33" s="129"/>
      <c r="DS33" s="135"/>
      <c r="DT33" s="135"/>
      <c r="DU33" s="135"/>
      <c r="DV33" s="135"/>
      <c r="DW33" s="135"/>
      <c r="DX33" s="135"/>
      <c r="DY33" s="135"/>
      <c r="DZ33" s="190"/>
      <c r="EA33" s="142" t="s">
        <v>691</v>
      </c>
      <c r="EB33" s="182" t="s">
        <v>692</v>
      </c>
      <c r="EC33" s="182" t="s">
        <v>665</v>
      </c>
      <c r="ED33" s="182" t="s">
        <v>664</v>
      </c>
      <c r="EE33" s="180"/>
      <c r="EF33" s="180"/>
      <c r="EG33" s="180"/>
      <c r="EH33" s="180"/>
      <c r="EI33" s="182"/>
      <c r="EJ33" s="182"/>
      <c r="EK33" s="182"/>
      <c r="EL33" s="182"/>
      <c r="EM33" s="183"/>
      <c r="EN33" s="184"/>
      <c r="EO33" s="180"/>
      <c r="EP33" s="180"/>
      <c r="EQ33" s="182"/>
      <c r="ER33" s="180"/>
      <c r="ES33" s="180"/>
      <c r="ET33" s="182"/>
      <c r="EU33" s="129"/>
      <c r="EV33" s="131"/>
      <c r="EW33" s="131"/>
      <c r="EX33" s="131"/>
      <c r="EY33" s="131"/>
      <c r="EZ33" s="132"/>
      <c r="FA33" s="148"/>
      <c r="FB33" s="131"/>
      <c r="FC33" s="135"/>
      <c r="FD33" s="131"/>
      <c r="FE33" s="135"/>
      <c r="FF33" s="131"/>
      <c r="FG33" s="135"/>
      <c r="FH33" s="131"/>
      <c r="FI33" s="135"/>
      <c r="FJ33" s="131"/>
      <c r="FK33" s="135"/>
      <c r="FL33" s="131"/>
      <c r="FM33" s="135"/>
      <c r="FN33" s="131"/>
      <c r="FO33" s="135"/>
      <c r="FP33" s="131"/>
      <c r="FQ33" s="135"/>
      <c r="FR33" s="131"/>
      <c r="FS33" s="135"/>
      <c r="FT33" s="131"/>
      <c r="FU33" s="135"/>
      <c r="FV33" s="131"/>
      <c r="FW33" s="135"/>
      <c r="FX33" s="132"/>
      <c r="FY33" s="103"/>
      <c r="FZ33" s="99"/>
      <c r="GA33" s="99"/>
      <c r="GB33" s="99"/>
      <c r="GC33" s="99"/>
      <c r="GD33" s="99"/>
      <c r="GE33" s="99"/>
      <c r="GF33" s="99"/>
      <c r="GG33" s="99"/>
      <c r="GH33" s="99"/>
      <c r="GI33" s="99"/>
      <c r="GJ33" s="99"/>
      <c r="GK33" s="99"/>
      <c r="GL33" s="99"/>
      <c r="GM33" s="99"/>
      <c r="GN33" s="99"/>
      <c r="GO33" s="99"/>
      <c r="GP33" s="99"/>
      <c r="GQ33" s="99"/>
      <c r="GR33" s="99"/>
      <c r="GS33" s="99"/>
      <c r="GT33" s="99"/>
      <c r="GU33" s="99"/>
      <c r="GV33" s="104"/>
      <c r="GW33" s="103"/>
      <c r="GX33" s="99"/>
      <c r="GY33" s="99"/>
      <c r="GZ33" s="99"/>
      <c r="HA33" s="99"/>
      <c r="HB33" s="99"/>
      <c r="HC33" s="99"/>
      <c r="HD33" s="99"/>
      <c r="HE33" s="99"/>
      <c r="HF33" s="99"/>
      <c r="HG33" s="99"/>
      <c r="HH33" s="99"/>
      <c r="HI33" s="99"/>
      <c r="HJ33" s="99"/>
      <c r="HK33" s="99"/>
      <c r="HL33" s="99"/>
      <c r="HM33" s="99"/>
      <c r="HN33" s="99"/>
      <c r="HO33" s="99"/>
      <c r="HP33" s="99"/>
      <c r="HQ33" s="99"/>
      <c r="HR33" s="99"/>
      <c r="HS33" s="99"/>
      <c r="HT33" s="105"/>
    </row>
    <row r="34" spans="1:276" s="590" customFormat="1">
      <c r="A34" s="52">
        <f t="shared" si="2"/>
        <v>30</v>
      </c>
      <c r="B34" s="142" t="s">
        <v>206</v>
      </c>
      <c r="C34" s="54"/>
      <c r="D34" s="128" t="s">
        <v>643</v>
      </c>
      <c r="E34" s="56" t="s">
        <v>1004</v>
      </c>
      <c r="F34" s="57" t="s">
        <v>1005</v>
      </c>
      <c r="G34" s="58" t="s">
        <v>655</v>
      </c>
      <c r="H34" s="56" t="str">
        <f t="shared" si="0"/>
        <v>內湖區</v>
      </c>
      <c r="I34" s="56" t="s">
        <v>693</v>
      </c>
      <c r="J34" s="56" t="s">
        <v>659</v>
      </c>
      <c r="K34" s="56" t="s">
        <v>650</v>
      </c>
      <c r="L34" s="59">
        <v>124.08</v>
      </c>
      <c r="M34" s="56" t="s">
        <v>482</v>
      </c>
      <c r="N34" s="60">
        <v>45432</v>
      </c>
      <c r="O34" s="60">
        <f t="shared" si="6"/>
        <v>45796</v>
      </c>
      <c r="P34" s="175">
        <v>29000</v>
      </c>
      <c r="Q34" s="71">
        <v>16000</v>
      </c>
      <c r="R34" s="112" t="s">
        <v>652</v>
      </c>
      <c r="S34" s="71">
        <v>2400</v>
      </c>
      <c r="T34" s="73" t="s">
        <v>652</v>
      </c>
      <c r="U34" s="71">
        <v>2400</v>
      </c>
      <c r="V34" s="73" t="s">
        <v>705</v>
      </c>
      <c r="W34" s="71">
        <v>2400</v>
      </c>
      <c r="X34" s="73" t="s">
        <v>782</v>
      </c>
      <c r="Y34" s="71">
        <v>2400</v>
      </c>
      <c r="Z34" s="73" t="s">
        <v>806</v>
      </c>
      <c r="AA34" s="71">
        <v>2400</v>
      </c>
      <c r="AB34" s="73" t="s">
        <v>894</v>
      </c>
      <c r="AC34" s="71">
        <v>2400</v>
      </c>
      <c r="AD34" s="73">
        <v>45646</v>
      </c>
      <c r="AE34" s="71" t="s">
        <v>1003</v>
      </c>
      <c r="AF34" s="73" t="s">
        <v>702</v>
      </c>
      <c r="AG34" s="71" t="s">
        <v>1003</v>
      </c>
      <c r="AH34" s="73" t="s">
        <v>1003</v>
      </c>
      <c r="AI34" s="71" t="s">
        <v>1003</v>
      </c>
      <c r="AJ34" s="73" t="s">
        <v>1003</v>
      </c>
      <c r="AK34" s="71" t="s">
        <v>1003</v>
      </c>
      <c r="AL34" s="73" t="s">
        <v>1003</v>
      </c>
      <c r="AM34" s="71" t="s">
        <v>1003</v>
      </c>
      <c r="AN34" s="73" t="s">
        <v>1003</v>
      </c>
      <c r="AO34" s="71" t="s">
        <v>1003</v>
      </c>
      <c r="AP34" s="73" t="s">
        <v>1003</v>
      </c>
      <c r="AQ34" s="177"/>
      <c r="AR34" s="131"/>
      <c r="AS34" s="130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2"/>
      <c r="BO34" s="177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78"/>
      <c r="CM34" s="179" t="s">
        <v>661</v>
      </c>
      <c r="CN34" s="180" t="s">
        <v>694</v>
      </c>
      <c r="CO34" s="184" t="s">
        <v>676</v>
      </c>
      <c r="CP34" s="181" t="s">
        <v>675</v>
      </c>
      <c r="CQ34" s="126" t="s">
        <v>677</v>
      </c>
      <c r="CR34" s="127"/>
      <c r="CS34" s="128"/>
      <c r="CT34" s="129"/>
      <c r="CU34" s="73"/>
      <c r="CV34" s="130"/>
      <c r="CW34" s="131"/>
      <c r="CX34" s="131"/>
      <c r="CY34" s="132"/>
      <c r="CZ34" s="71">
        <v>3150</v>
      </c>
      <c r="DA34" s="134" t="s">
        <v>806</v>
      </c>
      <c r="DB34" s="135">
        <v>1050</v>
      </c>
      <c r="DC34" s="137" t="s">
        <v>978</v>
      </c>
      <c r="DD34" s="135"/>
      <c r="DE34" s="137"/>
      <c r="DF34" s="135"/>
      <c r="DG34" s="137"/>
      <c r="DH34" s="92">
        <f t="shared" si="1"/>
        <v>5800</v>
      </c>
      <c r="DI34" s="129"/>
      <c r="DJ34" s="135"/>
      <c r="DK34" s="135"/>
      <c r="DL34" s="135"/>
      <c r="DM34" s="135"/>
      <c r="DN34" s="135"/>
      <c r="DO34" s="135"/>
      <c r="DP34" s="135"/>
      <c r="DQ34" s="189"/>
      <c r="DR34" s="129"/>
      <c r="DS34" s="135"/>
      <c r="DT34" s="135"/>
      <c r="DU34" s="135"/>
      <c r="DV34" s="135"/>
      <c r="DW34" s="135"/>
      <c r="DX34" s="135"/>
      <c r="DY34" s="135"/>
      <c r="DZ34" s="190"/>
      <c r="EA34" s="142" t="s">
        <v>695</v>
      </c>
      <c r="EB34" s="182" t="s">
        <v>696</v>
      </c>
      <c r="EC34" s="182" t="s">
        <v>667</v>
      </c>
      <c r="ED34" s="182" t="s">
        <v>666</v>
      </c>
      <c r="EE34" s="180" t="s">
        <v>668</v>
      </c>
      <c r="EF34" s="180" t="s">
        <v>697</v>
      </c>
      <c r="EG34" s="180" t="s">
        <v>599</v>
      </c>
      <c r="EH34" s="180"/>
      <c r="EI34" s="182"/>
      <c r="EJ34" s="182"/>
      <c r="EK34" s="182"/>
      <c r="EL34" s="182"/>
      <c r="EM34" s="183"/>
      <c r="EN34" s="184"/>
      <c r="EO34" s="180"/>
      <c r="EP34" s="180"/>
      <c r="EQ34" s="182"/>
      <c r="ER34" s="180"/>
      <c r="ES34" s="180"/>
      <c r="ET34" s="182"/>
      <c r="EU34" s="129"/>
      <c r="EV34" s="131"/>
      <c r="EW34" s="131"/>
      <c r="EX34" s="131"/>
      <c r="EY34" s="131"/>
      <c r="EZ34" s="132"/>
      <c r="FA34" s="148"/>
      <c r="FB34" s="131"/>
      <c r="FC34" s="135"/>
      <c r="FD34" s="131"/>
      <c r="FE34" s="135"/>
      <c r="FF34" s="131"/>
      <c r="FG34" s="135"/>
      <c r="FH34" s="131"/>
      <c r="FI34" s="135"/>
      <c r="FJ34" s="131"/>
      <c r="FK34" s="135"/>
      <c r="FL34" s="131"/>
      <c r="FM34" s="135"/>
      <c r="FN34" s="131"/>
      <c r="FO34" s="135"/>
      <c r="FP34" s="131"/>
      <c r="FQ34" s="135"/>
      <c r="FR34" s="131"/>
      <c r="FS34" s="135"/>
      <c r="FT34" s="131"/>
      <c r="FU34" s="135"/>
      <c r="FV34" s="131"/>
      <c r="FW34" s="135"/>
      <c r="FX34" s="132"/>
      <c r="FY34" s="103"/>
      <c r="FZ34" s="99"/>
      <c r="GA34" s="99"/>
      <c r="GB34" s="99"/>
      <c r="GC34" s="99"/>
      <c r="GD34" s="99"/>
      <c r="GE34" s="99"/>
      <c r="GF34" s="99"/>
      <c r="GG34" s="99"/>
      <c r="GH34" s="99"/>
      <c r="GI34" s="99"/>
      <c r="GJ34" s="99"/>
      <c r="GK34" s="99"/>
      <c r="GL34" s="99"/>
      <c r="GM34" s="99"/>
      <c r="GN34" s="99"/>
      <c r="GO34" s="99"/>
      <c r="GP34" s="99"/>
      <c r="GQ34" s="99"/>
      <c r="GR34" s="99"/>
      <c r="GS34" s="99"/>
      <c r="GT34" s="99"/>
      <c r="GU34" s="99"/>
      <c r="GV34" s="104"/>
      <c r="GW34" s="103"/>
      <c r="GX34" s="99"/>
      <c r="GY34" s="99"/>
      <c r="GZ34" s="99"/>
      <c r="HA34" s="99"/>
      <c r="HB34" s="99"/>
      <c r="HC34" s="99"/>
      <c r="HD34" s="99"/>
      <c r="HE34" s="99"/>
      <c r="HF34" s="99"/>
      <c r="HG34" s="99"/>
      <c r="HH34" s="99"/>
      <c r="HI34" s="99"/>
      <c r="HJ34" s="99"/>
      <c r="HK34" s="99"/>
      <c r="HL34" s="99"/>
      <c r="HM34" s="99"/>
      <c r="HN34" s="99"/>
      <c r="HO34" s="99"/>
      <c r="HP34" s="99"/>
      <c r="HQ34" s="99"/>
      <c r="HR34" s="99"/>
      <c r="HS34" s="99"/>
      <c r="HT34" s="105"/>
    </row>
    <row r="35" spans="1:276" s="590" customFormat="1">
      <c r="A35" s="52">
        <f t="shared" si="2"/>
        <v>31</v>
      </c>
      <c r="B35" s="142" t="s">
        <v>206</v>
      </c>
      <c r="C35" s="54"/>
      <c r="D35" s="128" t="s">
        <v>644</v>
      </c>
      <c r="E35" s="56" t="s">
        <v>1081</v>
      </c>
      <c r="F35" s="57">
        <v>45791</v>
      </c>
      <c r="G35" s="58" t="s">
        <v>656</v>
      </c>
      <c r="H35" s="56" t="str">
        <f t="shared" si="0"/>
        <v>萬華區</v>
      </c>
      <c r="I35" s="56" t="s">
        <v>647</v>
      </c>
      <c r="J35" s="56" t="s">
        <v>660</v>
      </c>
      <c r="K35" s="56" t="s">
        <v>651</v>
      </c>
      <c r="L35" s="59">
        <v>53.35</v>
      </c>
      <c r="M35" s="56" t="s">
        <v>482</v>
      </c>
      <c r="N35" s="60">
        <v>45426</v>
      </c>
      <c r="O35" s="60">
        <f t="shared" ref="O35:O43" si="8">N35+364</f>
        <v>45790</v>
      </c>
      <c r="P35" s="175">
        <v>21800</v>
      </c>
      <c r="Q35" s="71">
        <v>16000</v>
      </c>
      <c r="R35" s="112" t="s">
        <v>652</v>
      </c>
      <c r="S35" s="71">
        <v>2400</v>
      </c>
      <c r="T35" s="73" t="s">
        <v>652</v>
      </c>
      <c r="U35" s="71">
        <v>2400</v>
      </c>
      <c r="V35" s="73" t="s">
        <v>652</v>
      </c>
      <c r="W35" s="71">
        <v>2400</v>
      </c>
      <c r="X35" s="73" t="s">
        <v>782</v>
      </c>
      <c r="Y35" s="71">
        <v>2400</v>
      </c>
      <c r="Z35" s="73" t="s">
        <v>806</v>
      </c>
      <c r="AA35" s="71">
        <v>2400</v>
      </c>
      <c r="AB35" s="73" t="s">
        <v>894</v>
      </c>
      <c r="AC35" s="71">
        <v>2400</v>
      </c>
      <c r="AD35" s="73">
        <v>45646</v>
      </c>
      <c r="AE35" s="71">
        <v>2400</v>
      </c>
      <c r="AF35" s="73" t="s">
        <v>979</v>
      </c>
      <c r="AG35" s="71">
        <v>2400</v>
      </c>
      <c r="AH35" s="73" t="s">
        <v>1007</v>
      </c>
      <c r="AI35" s="71">
        <v>2400</v>
      </c>
      <c r="AJ35" s="73" t="s">
        <v>1012</v>
      </c>
      <c r="AK35" s="71">
        <v>2400</v>
      </c>
      <c r="AL35" s="73" t="s">
        <v>1027</v>
      </c>
      <c r="AM35" s="71">
        <f>AK35</f>
        <v>2400</v>
      </c>
      <c r="AN35" s="73">
        <v>45797</v>
      </c>
      <c r="AO35" s="71">
        <f>AM35</f>
        <v>2400</v>
      </c>
      <c r="AP35" s="73">
        <v>45828</v>
      </c>
      <c r="AQ35" s="177"/>
      <c r="AR35" s="131"/>
      <c r="AS35" s="130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2"/>
      <c r="BO35" s="177"/>
      <c r="BP35" s="131"/>
      <c r="BQ35" s="131"/>
      <c r="BR35" s="131"/>
      <c r="BS35" s="131"/>
      <c r="BT35" s="131"/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78"/>
      <c r="CM35" s="179" t="s">
        <v>662</v>
      </c>
      <c r="CN35" s="180" t="s">
        <v>698</v>
      </c>
      <c r="CO35" s="184" t="s">
        <v>674</v>
      </c>
      <c r="CP35" s="181" t="s">
        <v>672</v>
      </c>
      <c r="CQ35" s="126" t="s">
        <v>673</v>
      </c>
      <c r="CR35" s="127"/>
      <c r="CS35" s="128"/>
      <c r="CT35" s="129">
        <v>3300</v>
      </c>
      <c r="CU35" s="73" t="s">
        <v>652</v>
      </c>
      <c r="CV35" s="130"/>
      <c r="CW35" s="131"/>
      <c r="CX35" s="131"/>
      <c r="CY35" s="132"/>
      <c r="CZ35" s="71">
        <v>850</v>
      </c>
      <c r="DA35" s="134" t="s">
        <v>652</v>
      </c>
      <c r="DB35" s="135">
        <v>2734</v>
      </c>
      <c r="DC35" s="137" t="s">
        <v>705</v>
      </c>
      <c r="DD35" s="135">
        <v>6416</v>
      </c>
      <c r="DE35" s="137">
        <v>45797</v>
      </c>
      <c r="DF35" s="135"/>
      <c r="DG35" s="137"/>
      <c r="DH35" s="92">
        <f t="shared" si="1"/>
        <v>0</v>
      </c>
      <c r="DI35" s="129"/>
      <c r="DJ35" s="135"/>
      <c r="DK35" s="135"/>
      <c r="DL35" s="135"/>
      <c r="DM35" s="135"/>
      <c r="DN35" s="135"/>
      <c r="DO35" s="135"/>
      <c r="DP35" s="135"/>
      <c r="DQ35" s="189"/>
      <c r="DR35" s="129"/>
      <c r="DS35" s="135"/>
      <c r="DT35" s="135"/>
      <c r="DU35" s="135"/>
      <c r="DV35" s="135"/>
      <c r="DW35" s="135"/>
      <c r="DX35" s="135"/>
      <c r="DY35" s="135"/>
      <c r="DZ35" s="190"/>
      <c r="EA35" s="142" t="s">
        <v>699</v>
      </c>
      <c r="EB35" s="182" t="s">
        <v>700</v>
      </c>
      <c r="EC35" s="182" t="s">
        <v>470</v>
      </c>
      <c r="ED35" s="182" t="s">
        <v>669</v>
      </c>
      <c r="EE35" s="180" t="s">
        <v>670</v>
      </c>
      <c r="EF35" s="180" t="s">
        <v>671</v>
      </c>
      <c r="EG35" s="180" t="s">
        <v>599</v>
      </c>
      <c r="EH35" s="180"/>
      <c r="EI35" s="182"/>
      <c r="EJ35" s="182"/>
      <c r="EK35" s="182"/>
      <c r="EL35" s="182"/>
      <c r="EM35" s="183"/>
      <c r="EN35" s="184"/>
      <c r="EO35" s="180"/>
      <c r="EP35" s="180"/>
      <c r="EQ35" s="182"/>
      <c r="ER35" s="180"/>
      <c r="ES35" s="180"/>
      <c r="ET35" s="182"/>
      <c r="EU35" s="129"/>
      <c r="EV35" s="131"/>
      <c r="EW35" s="131"/>
      <c r="EX35" s="131"/>
      <c r="EY35" s="131"/>
      <c r="EZ35" s="132"/>
      <c r="FA35" s="148"/>
      <c r="FB35" s="131"/>
      <c r="FC35" s="135"/>
      <c r="FD35" s="131"/>
      <c r="FE35" s="135"/>
      <c r="FF35" s="131"/>
      <c r="FG35" s="135"/>
      <c r="FH35" s="131"/>
      <c r="FI35" s="135"/>
      <c r="FJ35" s="131"/>
      <c r="FK35" s="135"/>
      <c r="FL35" s="131"/>
      <c r="FM35" s="135"/>
      <c r="FN35" s="131"/>
      <c r="FO35" s="135"/>
      <c r="FP35" s="131"/>
      <c r="FQ35" s="135"/>
      <c r="FR35" s="131"/>
      <c r="FS35" s="135"/>
      <c r="FT35" s="131"/>
      <c r="FU35" s="135"/>
      <c r="FV35" s="131"/>
      <c r="FW35" s="135"/>
      <c r="FX35" s="132"/>
      <c r="FY35" s="103"/>
      <c r="FZ35" s="99"/>
      <c r="GA35" s="99"/>
      <c r="GB35" s="99"/>
      <c r="GC35" s="99"/>
      <c r="GD35" s="99"/>
      <c r="GE35" s="99"/>
      <c r="GF35" s="99"/>
      <c r="GG35" s="99"/>
      <c r="GH35" s="99"/>
      <c r="GI35" s="99"/>
      <c r="GJ35" s="99"/>
      <c r="GK35" s="99"/>
      <c r="GL35" s="99"/>
      <c r="GM35" s="99"/>
      <c r="GN35" s="99"/>
      <c r="GO35" s="99"/>
      <c r="GP35" s="99"/>
      <c r="GQ35" s="99"/>
      <c r="GR35" s="99"/>
      <c r="GS35" s="99"/>
      <c r="GT35" s="99"/>
      <c r="GU35" s="99"/>
      <c r="GV35" s="104"/>
      <c r="GW35" s="103"/>
      <c r="GX35" s="99"/>
      <c r="GY35" s="99"/>
      <c r="GZ35" s="99"/>
      <c r="HA35" s="99"/>
      <c r="HB35" s="99"/>
      <c r="HC35" s="99"/>
      <c r="HD35" s="99"/>
      <c r="HE35" s="99"/>
      <c r="HF35" s="99"/>
      <c r="HG35" s="99"/>
      <c r="HH35" s="99"/>
      <c r="HI35" s="99"/>
      <c r="HJ35" s="99"/>
      <c r="HK35" s="99"/>
      <c r="HL35" s="99"/>
      <c r="HM35" s="99"/>
      <c r="HN35" s="99"/>
      <c r="HO35" s="99"/>
      <c r="HP35" s="99"/>
      <c r="HQ35" s="99"/>
      <c r="HR35" s="99"/>
      <c r="HS35" s="99"/>
      <c r="HT35" s="105"/>
    </row>
    <row r="36" spans="1:276" s="590" customFormat="1">
      <c r="A36" s="52">
        <f t="shared" si="2"/>
        <v>32</v>
      </c>
      <c r="B36" s="142" t="s">
        <v>206</v>
      </c>
      <c r="C36" s="54"/>
      <c r="D36" s="128" t="s">
        <v>724</v>
      </c>
      <c r="E36" s="56" t="s">
        <v>1048</v>
      </c>
      <c r="F36" s="57"/>
      <c r="G36" s="58" t="s">
        <v>727</v>
      </c>
      <c r="H36" s="56" t="str">
        <f t="shared" si="0"/>
        <v>大同區</v>
      </c>
      <c r="I36" s="56" t="s">
        <v>725</v>
      </c>
      <c r="J36" s="56" t="s">
        <v>728</v>
      </c>
      <c r="K36" s="56" t="s">
        <v>726</v>
      </c>
      <c r="L36" s="59">
        <v>59.72</v>
      </c>
      <c r="M36" s="56" t="s">
        <v>482</v>
      </c>
      <c r="N36" s="60">
        <v>45458</v>
      </c>
      <c r="O36" s="60">
        <f t="shared" si="8"/>
        <v>45822</v>
      </c>
      <c r="P36" s="175">
        <v>22000</v>
      </c>
      <c r="Q36" s="71">
        <v>16000</v>
      </c>
      <c r="R36" s="112" t="s">
        <v>729</v>
      </c>
      <c r="S36" s="71">
        <v>2400</v>
      </c>
      <c r="T36" s="73" t="s">
        <v>729</v>
      </c>
      <c r="U36" s="71">
        <v>2400</v>
      </c>
      <c r="V36" s="73" t="s">
        <v>782</v>
      </c>
      <c r="W36" s="71">
        <v>2400</v>
      </c>
      <c r="X36" s="73" t="s">
        <v>806</v>
      </c>
      <c r="Y36" s="71">
        <v>2400</v>
      </c>
      <c r="Z36" s="73" t="s">
        <v>894</v>
      </c>
      <c r="AA36" s="71">
        <v>2400</v>
      </c>
      <c r="AB36" s="73">
        <v>45646</v>
      </c>
      <c r="AC36" s="71">
        <v>2400</v>
      </c>
      <c r="AD36" s="73" t="s">
        <v>979</v>
      </c>
      <c r="AE36" s="71">
        <v>2400</v>
      </c>
      <c r="AF36" s="73" t="s">
        <v>1007</v>
      </c>
      <c r="AG36" s="71">
        <v>2400</v>
      </c>
      <c r="AH36" s="73" t="s">
        <v>1012</v>
      </c>
      <c r="AI36" s="71">
        <v>2400</v>
      </c>
      <c r="AJ36" s="73" t="s">
        <v>1027</v>
      </c>
      <c r="AK36" s="71">
        <f t="shared" ref="AK36:AK38" si="9">AI36</f>
        <v>2400</v>
      </c>
      <c r="AL36" s="73">
        <v>45797</v>
      </c>
      <c r="AM36" s="71">
        <f t="shared" ref="AM36:AM38" si="10">AK36</f>
        <v>2400</v>
      </c>
      <c r="AN36" s="73">
        <v>45828</v>
      </c>
      <c r="AO36" s="135">
        <f t="shared" ref="AO36:AO38" si="11">AM36</f>
        <v>2400</v>
      </c>
      <c r="AP36" s="137">
        <v>45858</v>
      </c>
      <c r="AQ36" s="177"/>
      <c r="AR36" s="131"/>
      <c r="AS36" s="130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2"/>
      <c r="BO36" s="177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78"/>
      <c r="CM36" s="128" t="s">
        <v>730</v>
      </c>
      <c r="CN36" s="128" t="s">
        <v>731</v>
      </c>
      <c r="CO36" s="184" t="s">
        <v>733</v>
      </c>
      <c r="CP36" s="181" t="s">
        <v>734</v>
      </c>
      <c r="CQ36" s="126" t="s">
        <v>735</v>
      </c>
      <c r="CR36" s="127"/>
      <c r="CS36" s="128"/>
      <c r="CT36" s="129"/>
      <c r="CU36" s="73"/>
      <c r="CV36" s="130"/>
      <c r="CW36" s="131"/>
      <c r="CX36" s="131"/>
      <c r="CY36" s="132"/>
      <c r="CZ36" s="71">
        <v>850</v>
      </c>
      <c r="DA36" s="134" t="s">
        <v>782</v>
      </c>
      <c r="DB36" s="135">
        <v>9150</v>
      </c>
      <c r="DC36" s="137" t="s">
        <v>894</v>
      </c>
      <c r="DD36" s="135"/>
      <c r="DE36" s="137"/>
      <c r="DF36" s="135"/>
      <c r="DG36" s="137"/>
      <c r="DH36" s="92">
        <f t="shared" si="1"/>
        <v>0</v>
      </c>
      <c r="DI36" s="129"/>
      <c r="DJ36" s="135"/>
      <c r="DK36" s="135"/>
      <c r="DL36" s="135"/>
      <c r="DM36" s="135"/>
      <c r="DN36" s="135"/>
      <c r="DO36" s="135"/>
      <c r="DP36" s="135"/>
      <c r="DQ36" s="189"/>
      <c r="DR36" s="129"/>
      <c r="DS36" s="135"/>
      <c r="DT36" s="135"/>
      <c r="DU36" s="135"/>
      <c r="DV36" s="135"/>
      <c r="DW36" s="135"/>
      <c r="DX36" s="135"/>
      <c r="DY36" s="135"/>
      <c r="DZ36" s="190"/>
      <c r="EA36" s="142" t="s">
        <v>741</v>
      </c>
      <c r="EB36" s="180" t="s">
        <v>732</v>
      </c>
      <c r="EC36" s="182" t="s">
        <v>737</v>
      </c>
      <c r="ED36" s="182" t="s">
        <v>736</v>
      </c>
      <c r="EE36" s="180" t="s">
        <v>738</v>
      </c>
      <c r="EF36" s="180" t="s">
        <v>739</v>
      </c>
      <c r="EG36" s="180" t="s">
        <v>740</v>
      </c>
      <c r="EH36" s="180"/>
      <c r="EI36" s="182"/>
      <c r="EJ36" s="182"/>
      <c r="EK36" s="182"/>
      <c r="EL36" s="182"/>
      <c r="EM36" s="183"/>
      <c r="EN36" s="184"/>
      <c r="EO36" s="180"/>
      <c r="EP36" s="180"/>
      <c r="EQ36" s="182"/>
      <c r="ER36" s="180"/>
      <c r="ES36" s="180"/>
      <c r="ET36" s="182"/>
      <c r="EU36" s="129"/>
      <c r="EV36" s="131"/>
      <c r="EW36" s="131"/>
      <c r="EX36" s="131"/>
      <c r="EY36" s="131"/>
      <c r="EZ36" s="132"/>
      <c r="FA36" s="148"/>
      <c r="FB36" s="131"/>
      <c r="FC36" s="135"/>
      <c r="FD36" s="131"/>
      <c r="FE36" s="135"/>
      <c r="FF36" s="131"/>
      <c r="FG36" s="135"/>
      <c r="FH36" s="131"/>
      <c r="FI36" s="135"/>
      <c r="FJ36" s="131"/>
      <c r="FK36" s="135"/>
      <c r="FL36" s="131"/>
      <c r="FM36" s="135"/>
      <c r="FN36" s="131"/>
      <c r="FO36" s="135"/>
      <c r="FP36" s="131"/>
      <c r="FQ36" s="135"/>
      <c r="FR36" s="131"/>
      <c r="FS36" s="135"/>
      <c r="FT36" s="131"/>
      <c r="FU36" s="135"/>
      <c r="FV36" s="131"/>
      <c r="FW36" s="135"/>
      <c r="FX36" s="132"/>
      <c r="FY36" s="103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 s="99"/>
      <c r="GL36" s="99"/>
      <c r="GM36" s="99"/>
      <c r="GN36" s="99"/>
      <c r="GO36" s="99"/>
      <c r="GP36" s="99"/>
      <c r="GQ36" s="99"/>
      <c r="GR36" s="99"/>
      <c r="GS36" s="99"/>
      <c r="GT36" s="99"/>
      <c r="GU36" s="99"/>
      <c r="GV36" s="104"/>
      <c r="GW36" s="103"/>
      <c r="GX36" s="99"/>
      <c r="GY36" s="99"/>
      <c r="GZ36" s="99"/>
      <c r="HA36" s="99"/>
      <c r="HB36" s="99"/>
      <c r="HC36" s="99"/>
      <c r="HD36" s="99"/>
      <c r="HE36" s="99"/>
      <c r="HF36" s="99"/>
      <c r="HG36" s="99"/>
      <c r="HH36" s="99"/>
      <c r="HI36" s="99"/>
      <c r="HJ36" s="99"/>
      <c r="HK36" s="99"/>
      <c r="HL36" s="99"/>
      <c r="HM36" s="99"/>
      <c r="HN36" s="99"/>
      <c r="HO36" s="99"/>
      <c r="HP36" s="99"/>
      <c r="HQ36" s="99"/>
      <c r="HR36" s="99"/>
      <c r="HS36" s="99"/>
      <c r="HT36" s="105"/>
    </row>
    <row r="37" spans="1:276" s="590" customFormat="1">
      <c r="A37" s="52">
        <f t="shared" si="2"/>
        <v>33</v>
      </c>
      <c r="B37" s="142" t="s">
        <v>206</v>
      </c>
      <c r="C37" s="54"/>
      <c r="D37" s="128" t="s">
        <v>743</v>
      </c>
      <c r="E37" s="56" t="s">
        <v>1048</v>
      </c>
      <c r="F37" s="57"/>
      <c r="G37" s="58" t="s">
        <v>745</v>
      </c>
      <c r="H37" s="56" t="str">
        <f t="shared" si="0"/>
        <v>北投區</v>
      </c>
      <c r="I37" s="56" t="s">
        <v>746</v>
      </c>
      <c r="J37" s="56" t="s">
        <v>758</v>
      </c>
      <c r="K37" s="56" t="s">
        <v>747</v>
      </c>
      <c r="L37" s="59">
        <v>32.44</v>
      </c>
      <c r="M37" s="56" t="s">
        <v>482</v>
      </c>
      <c r="N37" s="60">
        <v>45453</v>
      </c>
      <c r="O37" s="60">
        <f t="shared" si="8"/>
        <v>45817</v>
      </c>
      <c r="P37" s="175">
        <v>10500</v>
      </c>
      <c r="Q37" s="71">
        <v>16000</v>
      </c>
      <c r="R37" s="112" t="s">
        <v>782</v>
      </c>
      <c r="S37" s="71">
        <v>2400</v>
      </c>
      <c r="T37" s="73" t="s">
        <v>782</v>
      </c>
      <c r="U37" s="71">
        <v>2400</v>
      </c>
      <c r="V37" s="73" t="s">
        <v>782</v>
      </c>
      <c r="W37" s="71">
        <v>2400</v>
      </c>
      <c r="X37" s="73" t="s">
        <v>806</v>
      </c>
      <c r="Y37" s="71">
        <v>2400</v>
      </c>
      <c r="Z37" s="73" t="s">
        <v>894</v>
      </c>
      <c r="AA37" s="71">
        <v>2400</v>
      </c>
      <c r="AB37" s="73">
        <v>45646</v>
      </c>
      <c r="AC37" s="71">
        <v>2400</v>
      </c>
      <c r="AD37" s="73" t="s">
        <v>979</v>
      </c>
      <c r="AE37" s="71">
        <v>2400</v>
      </c>
      <c r="AF37" s="73" t="s">
        <v>1007</v>
      </c>
      <c r="AG37" s="71">
        <v>2400</v>
      </c>
      <c r="AH37" s="73" t="s">
        <v>1012</v>
      </c>
      <c r="AI37" s="71">
        <v>2400</v>
      </c>
      <c r="AJ37" s="73" t="s">
        <v>1027</v>
      </c>
      <c r="AK37" s="71">
        <f t="shared" si="9"/>
        <v>2400</v>
      </c>
      <c r="AL37" s="73">
        <v>45797</v>
      </c>
      <c r="AM37" s="71">
        <f t="shared" si="10"/>
        <v>2400</v>
      </c>
      <c r="AN37" s="73">
        <v>45828</v>
      </c>
      <c r="AO37" s="135">
        <f t="shared" si="11"/>
        <v>2400</v>
      </c>
      <c r="AP37" s="137">
        <v>45858</v>
      </c>
      <c r="AQ37" s="177"/>
      <c r="AR37" s="131"/>
      <c r="AS37" s="130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2"/>
      <c r="BO37" s="177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78"/>
      <c r="CM37" s="128" t="s">
        <v>749</v>
      </c>
      <c r="CN37" s="128" t="s">
        <v>750</v>
      </c>
      <c r="CO37" s="184" t="s">
        <v>763</v>
      </c>
      <c r="CP37" s="181" t="s">
        <v>764</v>
      </c>
      <c r="CQ37" s="126" t="s">
        <v>745</v>
      </c>
      <c r="CR37" s="127"/>
      <c r="CS37" s="128"/>
      <c r="CT37" s="129"/>
      <c r="CU37" s="73"/>
      <c r="CV37" s="130"/>
      <c r="CW37" s="131"/>
      <c r="CX37" s="131"/>
      <c r="CY37" s="132"/>
      <c r="CZ37" s="71">
        <v>1300</v>
      </c>
      <c r="DA37" s="134" t="s">
        <v>783</v>
      </c>
      <c r="DB37" s="135"/>
      <c r="DC37" s="137"/>
      <c r="DD37" s="135"/>
      <c r="DE37" s="137"/>
      <c r="DF37" s="135"/>
      <c r="DG37" s="137"/>
      <c r="DH37" s="92">
        <f t="shared" si="1"/>
        <v>8700</v>
      </c>
      <c r="DI37" s="129"/>
      <c r="DJ37" s="135"/>
      <c r="DK37" s="135"/>
      <c r="DL37" s="135"/>
      <c r="DM37" s="135"/>
      <c r="DN37" s="135"/>
      <c r="DO37" s="135"/>
      <c r="DP37" s="135"/>
      <c r="DQ37" s="189"/>
      <c r="DR37" s="129"/>
      <c r="DS37" s="135"/>
      <c r="DT37" s="135"/>
      <c r="DU37" s="135"/>
      <c r="DV37" s="135"/>
      <c r="DW37" s="135"/>
      <c r="DX37" s="135"/>
      <c r="DY37" s="135"/>
      <c r="DZ37" s="190"/>
      <c r="EA37" s="142" t="s">
        <v>755</v>
      </c>
      <c r="EB37" s="180" t="s">
        <v>753</v>
      </c>
      <c r="EC37" s="182" t="s">
        <v>766</v>
      </c>
      <c r="ED37" s="182" t="s">
        <v>765</v>
      </c>
      <c r="EE37" s="180" t="s">
        <v>767</v>
      </c>
      <c r="EF37" s="180" t="s">
        <v>768</v>
      </c>
      <c r="EG37" s="180" t="s">
        <v>771</v>
      </c>
      <c r="EH37" s="180" t="s">
        <v>769</v>
      </c>
      <c r="EI37" s="182" t="s">
        <v>770</v>
      </c>
      <c r="EJ37" s="182" t="s">
        <v>525</v>
      </c>
      <c r="EK37" s="182"/>
      <c r="EL37" s="182"/>
      <c r="EM37" s="183"/>
      <c r="EN37" s="184"/>
      <c r="EO37" s="180"/>
      <c r="EP37" s="180"/>
      <c r="EQ37" s="182"/>
      <c r="ER37" s="180"/>
      <c r="ES37" s="180"/>
      <c r="ET37" s="182"/>
      <c r="EU37" s="129"/>
      <c r="EV37" s="131"/>
      <c r="EW37" s="131"/>
      <c r="EX37" s="131"/>
      <c r="EY37" s="131"/>
      <c r="EZ37" s="132"/>
      <c r="FA37" s="148"/>
      <c r="FB37" s="131"/>
      <c r="FC37" s="135"/>
      <c r="FD37" s="131"/>
      <c r="FE37" s="135"/>
      <c r="FF37" s="131"/>
      <c r="FG37" s="135"/>
      <c r="FH37" s="131"/>
      <c r="FI37" s="135"/>
      <c r="FJ37" s="131"/>
      <c r="FK37" s="135"/>
      <c r="FL37" s="131"/>
      <c r="FM37" s="135"/>
      <c r="FN37" s="131"/>
      <c r="FO37" s="135"/>
      <c r="FP37" s="131"/>
      <c r="FQ37" s="135"/>
      <c r="FR37" s="131"/>
      <c r="FS37" s="135"/>
      <c r="FT37" s="131"/>
      <c r="FU37" s="135"/>
      <c r="FV37" s="131"/>
      <c r="FW37" s="135"/>
      <c r="FX37" s="132"/>
      <c r="FY37" s="103"/>
      <c r="FZ37" s="99"/>
      <c r="GA37" s="99"/>
      <c r="GB37" s="99"/>
      <c r="GC37" s="99"/>
      <c r="GD37" s="99"/>
      <c r="GE37" s="99"/>
      <c r="GF37" s="99"/>
      <c r="GG37" s="99"/>
      <c r="GH37" s="99"/>
      <c r="GI37" s="99"/>
      <c r="GJ37" s="99"/>
      <c r="GK37" s="99"/>
      <c r="GL37" s="99"/>
      <c r="GM37" s="99"/>
      <c r="GN37" s="99"/>
      <c r="GO37" s="99"/>
      <c r="GP37" s="99"/>
      <c r="GQ37" s="99"/>
      <c r="GR37" s="99"/>
      <c r="GS37" s="99"/>
      <c r="GT37" s="99"/>
      <c r="GU37" s="99"/>
      <c r="GV37" s="104"/>
      <c r="GW37" s="103"/>
      <c r="GX37" s="99"/>
      <c r="GY37" s="99"/>
      <c r="GZ37" s="99"/>
      <c r="HA37" s="99"/>
      <c r="HB37" s="99"/>
      <c r="HC37" s="99"/>
      <c r="HD37" s="99"/>
      <c r="HE37" s="99"/>
      <c r="HF37" s="99"/>
      <c r="HG37" s="99"/>
      <c r="HH37" s="99"/>
      <c r="HI37" s="99"/>
      <c r="HJ37" s="99"/>
      <c r="HK37" s="99"/>
      <c r="HL37" s="99"/>
      <c r="HM37" s="99"/>
      <c r="HN37" s="99"/>
      <c r="HO37" s="99"/>
      <c r="HP37" s="99"/>
      <c r="HQ37" s="99"/>
      <c r="HR37" s="99"/>
      <c r="HS37" s="99"/>
      <c r="HT37" s="105"/>
    </row>
    <row r="38" spans="1:276" s="590" customFormat="1">
      <c r="A38" s="52">
        <f t="shared" si="2"/>
        <v>34</v>
      </c>
      <c r="B38" s="142" t="s">
        <v>206</v>
      </c>
      <c r="C38" s="54"/>
      <c r="D38" s="128" t="s">
        <v>744</v>
      </c>
      <c r="E38" s="56" t="s">
        <v>1074</v>
      </c>
      <c r="F38" s="57"/>
      <c r="G38" s="58" t="s">
        <v>759</v>
      </c>
      <c r="H38" s="56" t="str">
        <f t="shared" si="0"/>
        <v>北投區</v>
      </c>
      <c r="I38" s="56" t="s">
        <v>1034</v>
      </c>
      <c r="J38" s="56" t="s">
        <v>757</v>
      </c>
      <c r="K38" s="56" t="s">
        <v>748</v>
      </c>
      <c r="L38" s="59">
        <v>83.28</v>
      </c>
      <c r="M38" s="56" t="s">
        <v>482</v>
      </c>
      <c r="N38" s="60">
        <v>45467</v>
      </c>
      <c r="O38" s="60">
        <f t="shared" si="8"/>
        <v>45831</v>
      </c>
      <c r="P38" s="175">
        <v>31000</v>
      </c>
      <c r="Q38" s="71">
        <v>16000</v>
      </c>
      <c r="R38" s="112" t="s">
        <v>782</v>
      </c>
      <c r="S38" s="71">
        <v>2400</v>
      </c>
      <c r="T38" s="73" t="s">
        <v>782</v>
      </c>
      <c r="U38" s="71">
        <v>2400</v>
      </c>
      <c r="V38" s="73" t="s">
        <v>782</v>
      </c>
      <c r="W38" s="71">
        <v>2400</v>
      </c>
      <c r="X38" s="73" t="s">
        <v>806</v>
      </c>
      <c r="Y38" s="71">
        <v>2400</v>
      </c>
      <c r="Z38" s="73" t="s">
        <v>894</v>
      </c>
      <c r="AA38" s="71">
        <v>2400</v>
      </c>
      <c r="AB38" s="73">
        <v>45646</v>
      </c>
      <c r="AC38" s="71">
        <v>2400</v>
      </c>
      <c r="AD38" s="73" t="s">
        <v>979</v>
      </c>
      <c r="AE38" s="71">
        <v>2400</v>
      </c>
      <c r="AF38" s="73" t="s">
        <v>1007</v>
      </c>
      <c r="AG38" s="71">
        <v>2400</v>
      </c>
      <c r="AH38" s="73" t="s">
        <v>1012</v>
      </c>
      <c r="AI38" s="71">
        <v>2400</v>
      </c>
      <c r="AJ38" s="73" t="s">
        <v>1027</v>
      </c>
      <c r="AK38" s="71">
        <f t="shared" si="9"/>
        <v>2400</v>
      </c>
      <c r="AL38" s="73">
        <v>45797</v>
      </c>
      <c r="AM38" s="71">
        <f t="shared" si="10"/>
        <v>2400</v>
      </c>
      <c r="AN38" s="73">
        <v>45828</v>
      </c>
      <c r="AO38" s="135">
        <f t="shared" si="11"/>
        <v>2400</v>
      </c>
      <c r="AP38" s="137">
        <v>45858</v>
      </c>
      <c r="AQ38" s="177"/>
      <c r="AR38" s="131"/>
      <c r="AS38" s="130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2"/>
      <c r="BO38" s="177"/>
      <c r="BP38" s="131"/>
      <c r="BQ38" s="131"/>
      <c r="BR38" s="131"/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78"/>
      <c r="CM38" s="128" t="s">
        <v>751</v>
      </c>
      <c r="CN38" s="128" t="s">
        <v>752</v>
      </c>
      <c r="CO38" s="184" t="s">
        <v>761</v>
      </c>
      <c r="CP38" s="181" t="s">
        <v>760</v>
      </c>
      <c r="CQ38" s="126" t="s">
        <v>762</v>
      </c>
      <c r="CR38" s="127"/>
      <c r="CS38" s="128"/>
      <c r="CT38" s="129">
        <v>4500</v>
      </c>
      <c r="CU38" s="73" t="s">
        <v>783</v>
      </c>
      <c r="CV38" s="130"/>
      <c r="CW38" s="131"/>
      <c r="CX38" s="131"/>
      <c r="CY38" s="132"/>
      <c r="CZ38" s="71">
        <v>10000</v>
      </c>
      <c r="DA38" s="134">
        <v>45828</v>
      </c>
      <c r="DB38" s="135"/>
      <c r="DC38" s="137"/>
      <c r="DD38" s="135"/>
      <c r="DE38" s="137"/>
      <c r="DF38" s="135"/>
      <c r="DG38" s="137"/>
      <c r="DH38" s="92">
        <f t="shared" si="1"/>
        <v>0</v>
      </c>
      <c r="DI38" s="129"/>
      <c r="DJ38" s="135"/>
      <c r="DK38" s="135"/>
      <c r="DL38" s="135"/>
      <c r="DM38" s="135"/>
      <c r="DN38" s="135"/>
      <c r="DO38" s="135"/>
      <c r="DP38" s="135"/>
      <c r="DQ38" s="189"/>
      <c r="DR38" s="129"/>
      <c r="DS38" s="135"/>
      <c r="DT38" s="135"/>
      <c r="DU38" s="135"/>
      <c r="DV38" s="135"/>
      <c r="DW38" s="135"/>
      <c r="DX38" s="135"/>
      <c r="DY38" s="135"/>
      <c r="DZ38" s="190"/>
      <c r="EA38" s="142" t="s">
        <v>756</v>
      </c>
      <c r="EB38" s="180" t="s">
        <v>754</v>
      </c>
      <c r="EC38" s="182" t="s">
        <v>773</v>
      </c>
      <c r="ED38" s="182" t="s">
        <v>772</v>
      </c>
      <c r="EE38" s="180" t="s">
        <v>774</v>
      </c>
      <c r="EF38" s="180" t="s">
        <v>775</v>
      </c>
      <c r="EG38" s="180" t="s">
        <v>599</v>
      </c>
      <c r="EH38" s="180" t="s">
        <v>776</v>
      </c>
      <c r="EI38" s="182" t="s">
        <v>777</v>
      </c>
      <c r="EJ38" s="182" t="s">
        <v>474</v>
      </c>
      <c r="EK38" s="182" t="s">
        <v>778</v>
      </c>
      <c r="EL38" s="182" t="s">
        <v>779</v>
      </c>
      <c r="EM38" s="183" t="s">
        <v>528</v>
      </c>
      <c r="EN38" s="184"/>
      <c r="EO38" s="180"/>
      <c r="EP38" s="180"/>
      <c r="EQ38" s="182"/>
      <c r="ER38" s="180"/>
      <c r="ES38" s="180"/>
      <c r="ET38" s="182"/>
      <c r="EU38" s="129"/>
      <c r="EV38" s="131"/>
      <c r="EW38" s="131"/>
      <c r="EX38" s="131"/>
      <c r="EY38" s="131"/>
      <c r="EZ38" s="132"/>
      <c r="FA38" s="148"/>
      <c r="FB38" s="131"/>
      <c r="FC38" s="135"/>
      <c r="FD38" s="131"/>
      <c r="FE38" s="135"/>
      <c r="FF38" s="131"/>
      <c r="FG38" s="135"/>
      <c r="FH38" s="131"/>
      <c r="FI38" s="135"/>
      <c r="FJ38" s="131"/>
      <c r="FK38" s="135"/>
      <c r="FL38" s="131"/>
      <c r="FM38" s="135"/>
      <c r="FN38" s="131"/>
      <c r="FO38" s="135"/>
      <c r="FP38" s="131"/>
      <c r="FQ38" s="135"/>
      <c r="FR38" s="131"/>
      <c r="FS38" s="135"/>
      <c r="FT38" s="131"/>
      <c r="FU38" s="135"/>
      <c r="FV38" s="131"/>
      <c r="FW38" s="135"/>
      <c r="FX38" s="132"/>
      <c r="FY38" s="103"/>
      <c r="FZ38" s="99"/>
      <c r="GA38" s="99"/>
      <c r="GB38" s="99"/>
      <c r="GC38" s="99"/>
      <c r="GD38" s="99"/>
      <c r="GE38" s="99"/>
      <c r="GF38" s="99"/>
      <c r="GG38" s="99"/>
      <c r="GH38" s="99"/>
      <c r="GI38" s="99"/>
      <c r="GJ38" s="99"/>
      <c r="GK38" s="99"/>
      <c r="GL38" s="99"/>
      <c r="GM38" s="99"/>
      <c r="GN38" s="99"/>
      <c r="GO38" s="99"/>
      <c r="GP38" s="99"/>
      <c r="GQ38" s="99"/>
      <c r="GR38" s="99"/>
      <c r="GS38" s="99"/>
      <c r="GT38" s="99"/>
      <c r="GU38" s="99"/>
      <c r="GV38" s="104"/>
      <c r="GW38" s="103"/>
      <c r="GX38" s="99"/>
      <c r="GY38" s="99"/>
      <c r="GZ38" s="99"/>
      <c r="HA38" s="99"/>
      <c r="HB38" s="99"/>
      <c r="HC38" s="99"/>
      <c r="HD38" s="99"/>
      <c r="HE38" s="99"/>
      <c r="HF38" s="99"/>
      <c r="HG38" s="99"/>
      <c r="HH38" s="99"/>
      <c r="HI38" s="99"/>
      <c r="HJ38" s="99"/>
      <c r="HK38" s="99"/>
      <c r="HL38" s="99"/>
      <c r="HM38" s="99"/>
      <c r="HN38" s="99"/>
      <c r="HO38" s="99"/>
      <c r="HP38" s="99"/>
      <c r="HQ38" s="99"/>
      <c r="HR38" s="99"/>
      <c r="HS38" s="99"/>
      <c r="HT38" s="105"/>
    </row>
    <row r="39" spans="1:276" s="590" customFormat="1">
      <c r="A39" s="52">
        <f t="shared" si="2"/>
        <v>35</v>
      </c>
      <c r="B39" s="142" t="s">
        <v>206</v>
      </c>
      <c r="C39" s="54"/>
      <c r="D39" s="128" t="s">
        <v>786</v>
      </c>
      <c r="E39" s="106" t="s">
        <v>701</v>
      </c>
      <c r="F39" s="107" t="s">
        <v>1075</v>
      </c>
      <c r="G39" s="58" t="s">
        <v>224</v>
      </c>
      <c r="H39" s="56" t="str">
        <f t="shared" si="0"/>
        <v>南港區</v>
      </c>
      <c r="I39" s="56" t="s">
        <v>789</v>
      </c>
      <c r="J39" s="56" t="s">
        <v>787</v>
      </c>
      <c r="K39" s="56" t="s">
        <v>788</v>
      </c>
      <c r="L39" s="59">
        <v>111.75</v>
      </c>
      <c r="M39" s="56" t="s">
        <v>482</v>
      </c>
      <c r="N39" s="60">
        <v>45489</v>
      </c>
      <c r="O39" s="60">
        <f t="shared" si="8"/>
        <v>45853</v>
      </c>
      <c r="P39" s="152">
        <v>33000</v>
      </c>
      <c r="Q39" s="71">
        <v>4000</v>
      </c>
      <c r="R39" s="112" t="s">
        <v>782</v>
      </c>
      <c r="S39" s="71">
        <v>2400</v>
      </c>
      <c r="T39" s="73" t="s">
        <v>782</v>
      </c>
      <c r="U39" s="71">
        <v>2400</v>
      </c>
      <c r="V39" s="73" t="s">
        <v>806</v>
      </c>
      <c r="W39" s="71">
        <v>2400</v>
      </c>
      <c r="X39" s="73" t="s">
        <v>894</v>
      </c>
      <c r="Y39" s="71">
        <v>2400</v>
      </c>
      <c r="Z39" s="73">
        <v>45646</v>
      </c>
      <c r="AA39" s="71">
        <v>2400</v>
      </c>
      <c r="AB39" s="73" t="s">
        <v>979</v>
      </c>
      <c r="AC39" s="71">
        <v>2400</v>
      </c>
      <c r="AD39" s="73" t="s">
        <v>1007</v>
      </c>
      <c r="AE39" s="71" t="s">
        <v>1025</v>
      </c>
      <c r="AF39" s="73" t="s">
        <v>702</v>
      </c>
      <c r="AG39" s="71" t="s">
        <v>1025</v>
      </c>
      <c r="AH39" s="72" t="s">
        <v>1025</v>
      </c>
      <c r="AI39" s="71" t="s">
        <v>1025</v>
      </c>
      <c r="AJ39" s="72" t="s">
        <v>1025</v>
      </c>
      <c r="AK39" s="71" t="s">
        <v>1025</v>
      </c>
      <c r="AL39" s="72" t="s">
        <v>1025</v>
      </c>
      <c r="AM39" s="71" t="s">
        <v>1025</v>
      </c>
      <c r="AN39" s="73" t="s">
        <v>1025</v>
      </c>
      <c r="AO39" s="71" t="s">
        <v>1025</v>
      </c>
      <c r="AP39" s="73" t="s">
        <v>1025</v>
      </c>
      <c r="AQ39" s="191"/>
      <c r="AR39" s="185"/>
      <c r="AS39" s="192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6"/>
      <c r="BO39" s="191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93"/>
      <c r="CM39" s="159" t="s">
        <v>309</v>
      </c>
      <c r="CN39" s="194" t="s">
        <v>310</v>
      </c>
      <c r="CO39" s="161" t="s">
        <v>790</v>
      </c>
      <c r="CP39" s="162" t="s">
        <v>312</v>
      </c>
      <c r="CQ39" s="126" t="s">
        <v>313</v>
      </c>
      <c r="CR39" s="127"/>
      <c r="CS39" s="128"/>
      <c r="CT39" s="129"/>
      <c r="CU39" s="73"/>
      <c r="CV39" s="130"/>
      <c r="CW39" s="131"/>
      <c r="CX39" s="131"/>
      <c r="CY39" s="132"/>
      <c r="CZ39" s="148">
        <v>700</v>
      </c>
      <c r="DA39" s="134" t="s">
        <v>978</v>
      </c>
      <c r="DB39" s="135"/>
      <c r="DC39" s="136"/>
      <c r="DD39" s="135"/>
      <c r="DE39" s="137"/>
      <c r="DF39" s="135"/>
      <c r="DG39" s="137"/>
      <c r="DH39" s="92">
        <f t="shared" si="1"/>
        <v>9300</v>
      </c>
      <c r="DI39" s="195"/>
      <c r="DJ39" s="188"/>
      <c r="DK39" s="188"/>
      <c r="DL39" s="188"/>
      <c r="DM39" s="188"/>
      <c r="DN39" s="188"/>
      <c r="DO39" s="188"/>
      <c r="DP39" s="188"/>
      <c r="DQ39" s="196"/>
      <c r="DR39" s="195"/>
      <c r="DS39" s="188"/>
      <c r="DT39" s="188"/>
      <c r="DU39" s="188"/>
      <c r="DV39" s="188"/>
      <c r="DW39" s="188"/>
      <c r="DX39" s="188"/>
      <c r="DY39" s="188"/>
      <c r="DZ39" s="197"/>
      <c r="EA39" s="142" t="s">
        <v>791</v>
      </c>
      <c r="EB39" s="198" t="s">
        <v>792</v>
      </c>
      <c r="EC39" s="198" t="s">
        <v>794</v>
      </c>
      <c r="ED39" s="182" t="s">
        <v>793</v>
      </c>
      <c r="EE39" s="180" t="s">
        <v>795</v>
      </c>
      <c r="EF39" s="180" t="s">
        <v>796</v>
      </c>
      <c r="EG39" s="180" t="s">
        <v>797</v>
      </c>
      <c r="EH39" s="180" t="s">
        <v>798</v>
      </c>
      <c r="EI39" s="182" t="s">
        <v>799</v>
      </c>
      <c r="EJ39" s="182" t="s">
        <v>800</v>
      </c>
      <c r="EK39" s="182" t="s">
        <v>801</v>
      </c>
      <c r="EL39" s="182" t="s">
        <v>802</v>
      </c>
      <c r="EM39" s="183" t="s">
        <v>803</v>
      </c>
      <c r="EN39" s="184"/>
      <c r="EO39" s="180"/>
      <c r="EP39" s="180"/>
      <c r="EQ39" s="182"/>
      <c r="ER39" s="180"/>
      <c r="ES39" s="180"/>
      <c r="ET39" s="182"/>
      <c r="EU39" s="129"/>
      <c r="EV39" s="131"/>
      <c r="EW39" s="131"/>
      <c r="EX39" s="131"/>
      <c r="EY39" s="131"/>
      <c r="EZ39" s="132"/>
      <c r="FA39" s="148"/>
      <c r="FB39" s="131"/>
      <c r="FC39" s="135"/>
      <c r="FD39" s="131"/>
      <c r="FE39" s="135"/>
      <c r="FF39" s="131"/>
      <c r="FG39" s="135"/>
      <c r="FH39" s="131"/>
      <c r="FI39" s="135"/>
      <c r="FJ39" s="131"/>
      <c r="FK39" s="135"/>
      <c r="FL39" s="185"/>
      <c r="FM39" s="135"/>
      <c r="FN39" s="185"/>
      <c r="FO39" s="135"/>
      <c r="FP39" s="185"/>
      <c r="FQ39" s="135"/>
      <c r="FR39" s="185"/>
      <c r="FS39" s="135"/>
      <c r="FT39" s="131"/>
      <c r="FU39" s="135"/>
      <c r="FV39" s="131"/>
      <c r="FW39" s="135"/>
      <c r="FX39" s="132"/>
      <c r="FY39" s="103"/>
      <c r="FZ39" s="99"/>
      <c r="GA39" s="99"/>
      <c r="GB39" s="99"/>
      <c r="GC39" s="99"/>
      <c r="GD39" s="99"/>
      <c r="GE39" s="99"/>
      <c r="GF39" s="99"/>
      <c r="GG39" s="99"/>
      <c r="GH39" s="99"/>
      <c r="GI39" s="99"/>
      <c r="GJ39" s="99"/>
      <c r="GK39" s="99"/>
      <c r="GL39" s="99"/>
      <c r="GM39" s="99"/>
      <c r="GN39" s="99"/>
      <c r="GO39" s="99"/>
      <c r="GP39" s="99"/>
      <c r="GQ39" s="99"/>
      <c r="GR39" s="99"/>
      <c r="GS39" s="99"/>
      <c r="GT39" s="99"/>
      <c r="GU39" s="99"/>
      <c r="GV39" s="104"/>
      <c r="GW39" s="103"/>
      <c r="GX39" s="99"/>
      <c r="GY39" s="99"/>
      <c r="GZ39" s="99"/>
      <c r="HA39" s="99"/>
      <c r="HB39" s="99"/>
      <c r="HC39" s="99"/>
      <c r="HD39" s="99"/>
      <c r="HE39" s="99"/>
      <c r="HF39" s="99"/>
      <c r="HG39" s="99"/>
      <c r="HH39" s="99"/>
      <c r="HI39" s="99"/>
      <c r="HJ39" s="99"/>
      <c r="HK39" s="99"/>
      <c r="HL39" s="99"/>
      <c r="HM39" s="99"/>
      <c r="HN39" s="99"/>
      <c r="HO39" s="99"/>
      <c r="HP39" s="99"/>
      <c r="HQ39" s="99"/>
      <c r="HR39" s="99"/>
      <c r="HS39" s="99"/>
      <c r="HT39" s="105"/>
    </row>
    <row r="40" spans="1:276" s="590" customFormat="1">
      <c r="A40" s="52">
        <f t="shared" si="2"/>
        <v>36</v>
      </c>
      <c r="B40" s="142" t="s">
        <v>206</v>
      </c>
      <c r="C40" s="54"/>
      <c r="D40" s="128" t="s">
        <v>807</v>
      </c>
      <c r="E40" s="56" t="s">
        <v>916</v>
      </c>
      <c r="F40" s="57">
        <v>45869</v>
      </c>
      <c r="G40" s="58" t="s">
        <v>817</v>
      </c>
      <c r="H40" s="56" t="str">
        <f t="shared" si="0"/>
        <v>士林區</v>
      </c>
      <c r="I40" s="56" t="s">
        <v>819</v>
      </c>
      <c r="J40" s="56" t="s">
        <v>820</v>
      </c>
      <c r="K40" s="56" t="s">
        <v>821</v>
      </c>
      <c r="L40" s="59">
        <v>67.05</v>
      </c>
      <c r="M40" s="56" t="s">
        <v>228</v>
      </c>
      <c r="N40" s="60">
        <v>45505</v>
      </c>
      <c r="O40" s="60">
        <f t="shared" si="8"/>
        <v>45869</v>
      </c>
      <c r="P40" s="175">
        <v>13000</v>
      </c>
      <c r="Q40" s="71">
        <v>16000</v>
      </c>
      <c r="R40" s="73" t="s">
        <v>806</v>
      </c>
      <c r="S40" s="71">
        <v>2400</v>
      </c>
      <c r="T40" s="73" t="s">
        <v>806</v>
      </c>
      <c r="U40" s="71">
        <v>2400</v>
      </c>
      <c r="V40" s="73" t="s">
        <v>894</v>
      </c>
      <c r="W40" s="71">
        <v>2400</v>
      </c>
      <c r="X40" s="73">
        <v>45646</v>
      </c>
      <c r="Y40" s="71">
        <v>2400</v>
      </c>
      <c r="Z40" s="73" t="s">
        <v>979</v>
      </c>
      <c r="AA40" s="71">
        <v>2400</v>
      </c>
      <c r="AB40" s="73" t="s">
        <v>1007</v>
      </c>
      <c r="AC40" s="71">
        <v>2400</v>
      </c>
      <c r="AD40" s="73" t="s">
        <v>1012</v>
      </c>
      <c r="AE40" s="71">
        <v>2400</v>
      </c>
      <c r="AF40" s="73" t="s">
        <v>1027</v>
      </c>
      <c r="AG40" s="71">
        <f t="shared" ref="AG40:AG47" si="12">AE40</f>
        <v>2400</v>
      </c>
      <c r="AH40" s="73">
        <v>45797</v>
      </c>
      <c r="AI40" s="71">
        <f t="shared" ref="AI40:AI46" si="13">AG40</f>
        <v>2400</v>
      </c>
      <c r="AJ40" s="73">
        <v>45828</v>
      </c>
      <c r="AK40" s="135">
        <f t="shared" ref="AK40:AK47" si="14">AI40</f>
        <v>2400</v>
      </c>
      <c r="AL40" s="137">
        <v>45858</v>
      </c>
      <c r="AM40" s="71">
        <f>AK40</f>
        <v>2400</v>
      </c>
      <c r="AN40" s="73">
        <v>45889</v>
      </c>
      <c r="AO40" s="113">
        <v>2400</v>
      </c>
      <c r="AP40" s="114">
        <v>45920</v>
      </c>
      <c r="AQ40" s="177"/>
      <c r="AR40" s="131"/>
      <c r="AS40" s="130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1"/>
      <c r="BL40" s="131"/>
      <c r="BM40" s="131"/>
      <c r="BN40" s="132"/>
      <c r="BO40" s="177"/>
      <c r="BP40" s="131"/>
      <c r="BQ40" s="131"/>
      <c r="BR40" s="131"/>
      <c r="BS40" s="131"/>
      <c r="BT40" s="131"/>
      <c r="BU40" s="131"/>
      <c r="BV40" s="131"/>
      <c r="BW40" s="131"/>
      <c r="BX40" s="131"/>
      <c r="BY40" s="131"/>
      <c r="BZ40" s="131"/>
      <c r="CA40" s="131"/>
      <c r="CB40" s="131"/>
      <c r="CC40" s="131"/>
      <c r="CD40" s="131"/>
      <c r="CE40" s="131"/>
      <c r="CF40" s="131"/>
      <c r="CG40" s="131"/>
      <c r="CH40" s="131"/>
      <c r="CI40" s="131"/>
      <c r="CJ40" s="131"/>
      <c r="CK40" s="131"/>
      <c r="CL40" s="178"/>
      <c r="CM40" s="179" t="s">
        <v>809</v>
      </c>
      <c r="CN40" s="180" t="s">
        <v>810</v>
      </c>
      <c r="CO40" s="184" t="s">
        <v>470</v>
      </c>
      <c r="CP40" s="181" t="s">
        <v>828</v>
      </c>
      <c r="CQ40" s="126" t="s">
        <v>829</v>
      </c>
      <c r="CR40" s="127"/>
      <c r="CS40" s="128"/>
      <c r="CT40" s="129"/>
      <c r="CU40" s="73"/>
      <c r="CV40" s="130"/>
      <c r="CW40" s="131"/>
      <c r="CX40" s="131"/>
      <c r="CY40" s="132"/>
      <c r="CZ40" s="71">
        <v>1250</v>
      </c>
      <c r="DA40" s="134" t="s">
        <v>806</v>
      </c>
      <c r="DB40" s="135"/>
      <c r="DC40" s="137"/>
      <c r="DD40" s="135"/>
      <c r="DE40" s="137"/>
      <c r="DF40" s="135"/>
      <c r="DG40" s="137"/>
      <c r="DH40" s="92">
        <f t="shared" ref="DH40:DH47" si="15">10000-DF40-DD40-DB40-CZ40</f>
        <v>8750</v>
      </c>
      <c r="DI40" s="129"/>
      <c r="DJ40" s="135"/>
      <c r="DK40" s="135"/>
      <c r="DL40" s="135"/>
      <c r="DM40" s="135"/>
      <c r="DN40" s="135"/>
      <c r="DO40" s="135"/>
      <c r="DP40" s="135"/>
      <c r="DQ40" s="189"/>
      <c r="DR40" s="129"/>
      <c r="DS40" s="135"/>
      <c r="DT40" s="135"/>
      <c r="DU40" s="135"/>
      <c r="DV40" s="135"/>
      <c r="DW40" s="135"/>
      <c r="DX40" s="135"/>
      <c r="DY40" s="135"/>
      <c r="DZ40" s="190"/>
      <c r="EA40" s="142" t="s">
        <v>813</v>
      </c>
      <c r="EB40" s="182" t="s">
        <v>814</v>
      </c>
      <c r="EC40" s="182" t="s">
        <v>831</v>
      </c>
      <c r="ED40" s="182" t="s">
        <v>830</v>
      </c>
      <c r="EE40" s="180"/>
      <c r="EF40" s="180"/>
      <c r="EG40" s="180"/>
      <c r="EH40" s="180"/>
      <c r="EI40" s="182"/>
      <c r="EJ40" s="182"/>
      <c r="EK40" s="182"/>
      <c r="EL40" s="182"/>
      <c r="EM40" s="183"/>
      <c r="EN40" s="184"/>
      <c r="EO40" s="180"/>
      <c r="EP40" s="180"/>
      <c r="EQ40" s="182"/>
      <c r="ER40" s="180"/>
      <c r="ES40" s="180"/>
      <c r="ET40" s="182"/>
      <c r="EU40" s="129"/>
      <c r="EV40" s="131"/>
      <c r="EW40" s="131"/>
      <c r="EX40" s="131"/>
      <c r="EY40" s="131"/>
      <c r="EZ40" s="132"/>
      <c r="FA40" s="148"/>
      <c r="FB40" s="131"/>
      <c r="FC40" s="135"/>
      <c r="FD40" s="131"/>
      <c r="FE40" s="135"/>
      <c r="FF40" s="131"/>
      <c r="FG40" s="135"/>
      <c r="FH40" s="131"/>
      <c r="FI40" s="135"/>
      <c r="FJ40" s="131"/>
      <c r="FK40" s="135"/>
      <c r="FL40" s="131"/>
      <c r="FM40" s="135"/>
      <c r="FN40" s="131"/>
      <c r="FO40" s="135"/>
      <c r="FP40" s="131"/>
      <c r="FQ40" s="135"/>
      <c r="FR40" s="131"/>
      <c r="FS40" s="135"/>
      <c r="FT40" s="131"/>
      <c r="FU40" s="135"/>
      <c r="FV40" s="131"/>
      <c r="FW40" s="135"/>
      <c r="FX40" s="132"/>
      <c r="FY40" s="103"/>
      <c r="FZ40" s="99"/>
      <c r="GA40" s="99"/>
      <c r="GB40" s="99"/>
      <c r="GC40" s="99"/>
      <c r="GD40" s="99"/>
      <c r="GE40" s="99"/>
      <c r="GF40" s="99"/>
      <c r="GG40" s="99"/>
      <c r="GH40" s="99"/>
      <c r="GI40" s="99"/>
      <c r="GJ40" s="99"/>
      <c r="GK40" s="99"/>
      <c r="GL40" s="99"/>
      <c r="GM40" s="99"/>
      <c r="GN40" s="99"/>
      <c r="GO40" s="99"/>
      <c r="GP40" s="99"/>
      <c r="GQ40" s="99"/>
      <c r="GR40" s="99"/>
      <c r="GS40" s="99"/>
      <c r="GT40" s="99"/>
      <c r="GU40" s="99"/>
      <c r="GV40" s="104"/>
      <c r="GW40" s="103"/>
      <c r="GX40" s="99"/>
      <c r="GY40" s="99"/>
      <c r="GZ40" s="99"/>
      <c r="HA40" s="99"/>
      <c r="HB40" s="99"/>
      <c r="HC40" s="99"/>
      <c r="HD40" s="99"/>
      <c r="HE40" s="99"/>
      <c r="HF40" s="99"/>
      <c r="HG40" s="99"/>
      <c r="HH40" s="99"/>
      <c r="HI40" s="99"/>
      <c r="HJ40" s="99"/>
      <c r="HK40" s="99"/>
      <c r="HL40" s="99"/>
      <c r="HM40" s="99"/>
      <c r="HN40" s="99"/>
      <c r="HO40" s="99"/>
      <c r="HP40" s="99"/>
      <c r="HQ40" s="99"/>
      <c r="HR40" s="99"/>
      <c r="HS40" s="99"/>
      <c r="HT40" s="105"/>
    </row>
    <row r="41" spans="1:276" s="590" customFormat="1">
      <c r="A41" s="52">
        <f t="shared" si="2"/>
        <v>37</v>
      </c>
      <c r="B41" s="142" t="s">
        <v>206</v>
      </c>
      <c r="C41" s="54"/>
      <c r="D41" s="55" t="s">
        <v>808</v>
      </c>
      <c r="E41" s="106" t="s">
        <v>1113</v>
      </c>
      <c r="F41" s="107"/>
      <c r="G41" s="58" t="s">
        <v>818</v>
      </c>
      <c r="H41" s="56" t="str">
        <f t="shared" si="0"/>
        <v>萬華區</v>
      </c>
      <c r="I41" s="56" t="s">
        <v>822</v>
      </c>
      <c r="J41" s="56" t="s">
        <v>823</v>
      </c>
      <c r="K41" s="56" t="s">
        <v>824</v>
      </c>
      <c r="L41" s="59">
        <v>62.85</v>
      </c>
      <c r="M41" s="56" t="s">
        <v>228</v>
      </c>
      <c r="N41" s="60">
        <v>45509</v>
      </c>
      <c r="O41" s="60">
        <f t="shared" si="8"/>
        <v>45873</v>
      </c>
      <c r="P41" s="152">
        <v>23000</v>
      </c>
      <c r="Q41" s="71">
        <v>16000</v>
      </c>
      <c r="R41" s="73" t="s">
        <v>806</v>
      </c>
      <c r="S41" s="71">
        <v>2400</v>
      </c>
      <c r="T41" s="73" t="s">
        <v>806</v>
      </c>
      <c r="U41" s="71">
        <v>2400</v>
      </c>
      <c r="V41" s="73" t="s">
        <v>894</v>
      </c>
      <c r="W41" s="71">
        <v>2400</v>
      </c>
      <c r="X41" s="73">
        <v>45646</v>
      </c>
      <c r="Y41" s="71">
        <v>2400</v>
      </c>
      <c r="Z41" s="73" t="s">
        <v>979</v>
      </c>
      <c r="AA41" s="71">
        <v>2400</v>
      </c>
      <c r="AB41" s="73" t="s">
        <v>1007</v>
      </c>
      <c r="AC41" s="71">
        <v>2400</v>
      </c>
      <c r="AD41" s="73" t="s">
        <v>1012</v>
      </c>
      <c r="AE41" s="71">
        <v>2400</v>
      </c>
      <c r="AF41" s="73" t="s">
        <v>1027</v>
      </c>
      <c r="AG41" s="71">
        <f t="shared" si="12"/>
        <v>2400</v>
      </c>
      <c r="AH41" s="73">
        <v>45797</v>
      </c>
      <c r="AI41" s="71">
        <f t="shared" si="13"/>
        <v>2400</v>
      </c>
      <c r="AJ41" s="73">
        <v>45828</v>
      </c>
      <c r="AK41" s="135">
        <f t="shared" si="14"/>
        <v>2400</v>
      </c>
      <c r="AL41" s="137">
        <v>45858</v>
      </c>
      <c r="AM41" s="71">
        <f t="shared" ref="AM41:AM44" si="16">AK41</f>
        <v>2400</v>
      </c>
      <c r="AN41" s="73">
        <v>45889</v>
      </c>
      <c r="AO41" s="113">
        <v>2400</v>
      </c>
      <c r="AP41" s="114">
        <v>45920</v>
      </c>
      <c r="AQ41" s="191"/>
      <c r="AR41" s="185"/>
      <c r="AS41" s="192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6"/>
      <c r="BO41" s="191"/>
      <c r="BP41" s="185"/>
      <c r="BQ41" s="185"/>
      <c r="BR41" s="185"/>
      <c r="BS41" s="185"/>
      <c r="BT41" s="185"/>
      <c r="BU41" s="185"/>
      <c r="BV41" s="185"/>
      <c r="BW41" s="185"/>
      <c r="BX41" s="185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5"/>
      <c r="CJ41" s="185"/>
      <c r="CK41" s="185"/>
      <c r="CL41" s="193"/>
      <c r="CM41" s="159" t="s">
        <v>811</v>
      </c>
      <c r="CN41" s="160" t="s">
        <v>812</v>
      </c>
      <c r="CO41" s="161" t="s">
        <v>826</v>
      </c>
      <c r="CP41" s="162" t="s">
        <v>825</v>
      </c>
      <c r="CQ41" s="126" t="s">
        <v>827</v>
      </c>
      <c r="CR41" s="127"/>
      <c r="CS41" s="128"/>
      <c r="CT41" s="129"/>
      <c r="CU41" s="73"/>
      <c r="CV41" s="130"/>
      <c r="CW41" s="131"/>
      <c r="CX41" s="131"/>
      <c r="CY41" s="132"/>
      <c r="CZ41" s="148"/>
      <c r="DA41" s="134"/>
      <c r="DB41" s="135"/>
      <c r="DC41" s="136"/>
      <c r="DD41" s="135"/>
      <c r="DE41" s="137"/>
      <c r="DF41" s="135"/>
      <c r="DG41" s="137"/>
      <c r="DH41" s="92">
        <f t="shared" si="15"/>
        <v>10000</v>
      </c>
      <c r="DI41" s="195"/>
      <c r="DJ41" s="188"/>
      <c r="DK41" s="188"/>
      <c r="DL41" s="188"/>
      <c r="DM41" s="188"/>
      <c r="DN41" s="188"/>
      <c r="DO41" s="188"/>
      <c r="DP41" s="188"/>
      <c r="DQ41" s="196"/>
      <c r="DR41" s="195"/>
      <c r="DS41" s="188"/>
      <c r="DT41" s="188"/>
      <c r="DU41" s="188"/>
      <c r="DV41" s="188"/>
      <c r="DW41" s="188"/>
      <c r="DX41" s="188"/>
      <c r="DY41" s="188"/>
      <c r="DZ41" s="197"/>
      <c r="EA41" s="142" t="s">
        <v>815</v>
      </c>
      <c r="EB41" s="198" t="s">
        <v>816</v>
      </c>
      <c r="EC41" s="198" t="s">
        <v>832</v>
      </c>
      <c r="ED41" s="182" t="s">
        <v>833</v>
      </c>
      <c r="EE41" s="180" t="s">
        <v>834</v>
      </c>
      <c r="EF41" s="180" t="s">
        <v>835</v>
      </c>
      <c r="EG41" s="180" t="s">
        <v>599</v>
      </c>
      <c r="EH41" s="180"/>
      <c r="EI41" s="182"/>
      <c r="EJ41" s="182"/>
      <c r="EK41" s="182"/>
      <c r="EL41" s="182"/>
      <c r="EM41" s="183"/>
      <c r="EN41" s="184"/>
      <c r="EO41" s="180"/>
      <c r="EP41" s="180"/>
      <c r="EQ41" s="182"/>
      <c r="ER41" s="180"/>
      <c r="ES41" s="180"/>
      <c r="ET41" s="182"/>
      <c r="EU41" s="129"/>
      <c r="EV41" s="131"/>
      <c r="EW41" s="131"/>
      <c r="EX41" s="131"/>
      <c r="EY41" s="131"/>
      <c r="EZ41" s="132"/>
      <c r="FA41" s="148"/>
      <c r="FB41" s="131"/>
      <c r="FC41" s="135"/>
      <c r="FD41" s="131"/>
      <c r="FE41" s="135"/>
      <c r="FF41" s="131"/>
      <c r="FG41" s="135"/>
      <c r="FH41" s="131"/>
      <c r="FI41" s="135"/>
      <c r="FJ41" s="131"/>
      <c r="FK41" s="135"/>
      <c r="FL41" s="185"/>
      <c r="FM41" s="135"/>
      <c r="FN41" s="185"/>
      <c r="FO41" s="135"/>
      <c r="FP41" s="185"/>
      <c r="FQ41" s="135"/>
      <c r="FR41" s="185"/>
      <c r="FS41" s="135"/>
      <c r="FT41" s="131"/>
      <c r="FU41" s="135"/>
      <c r="FV41" s="131"/>
      <c r="FW41" s="135"/>
      <c r="FX41" s="132"/>
      <c r="FY41" s="103"/>
      <c r="FZ41" s="99"/>
      <c r="GA41" s="99"/>
      <c r="GB41" s="99"/>
      <c r="GC41" s="99"/>
      <c r="GD41" s="99"/>
      <c r="GE41" s="99"/>
      <c r="GF41" s="99"/>
      <c r="GG41" s="99"/>
      <c r="GH41" s="99"/>
      <c r="GI41" s="99"/>
      <c r="GJ41" s="99"/>
      <c r="GK41" s="99"/>
      <c r="GL41" s="99"/>
      <c r="GM41" s="99"/>
      <c r="GN41" s="99"/>
      <c r="GO41" s="99"/>
      <c r="GP41" s="99"/>
      <c r="GQ41" s="99"/>
      <c r="GR41" s="99"/>
      <c r="GS41" s="99"/>
      <c r="GT41" s="99"/>
      <c r="GU41" s="99"/>
      <c r="GV41" s="104"/>
      <c r="GW41" s="103"/>
      <c r="GX41" s="99"/>
      <c r="GY41" s="99"/>
      <c r="GZ41" s="99"/>
      <c r="HA41" s="99"/>
      <c r="HB41" s="99"/>
      <c r="HC41" s="99"/>
      <c r="HD41" s="99"/>
      <c r="HE41" s="99"/>
      <c r="HF41" s="99"/>
      <c r="HG41" s="99"/>
      <c r="HH41" s="99"/>
      <c r="HI41" s="99"/>
      <c r="HJ41" s="99"/>
      <c r="HK41" s="99"/>
      <c r="HL41" s="99"/>
      <c r="HM41" s="99"/>
      <c r="HN41" s="99"/>
      <c r="HO41" s="99"/>
      <c r="HP41" s="99"/>
      <c r="HQ41" s="99"/>
      <c r="HR41" s="99"/>
      <c r="HS41" s="99"/>
      <c r="HT41" s="105"/>
    </row>
    <row r="42" spans="1:276" s="590" customFormat="1">
      <c r="A42" s="52">
        <f t="shared" si="2"/>
        <v>38</v>
      </c>
      <c r="B42" s="142" t="s">
        <v>206</v>
      </c>
      <c r="C42" s="54"/>
      <c r="D42" s="55" t="s">
        <v>836</v>
      </c>
      <c r="E42" s="106" t="s">
        <v>701</v>
      </c>
      <c r="F42" s="107">
        <v>45841</v>
      </c>
      <c r="G42" s="58" t="s">
        <v>838</v>
      </c>
      <c r="H42" s="56" t="str">
        <f t="shared" si="0"/>
        <v>大安區</v>
      </c>
      <c r="I42" s="56" t="s">
        <v>851</v>
      </c>
      <c r="J42" s="56" t="s">
        <v>853</v>
      </c>
      <c r="K42" s="56" t="s">
        <v>849</v>
      </c>
      <c r="L42" s="59">
        <v>26.65</v>
      </c>
      <c r="M42" s="56" t="s">
        <v>228</v>
      </c>
      <c r="N42" s="60">
        <v>45505</v>
      </c>
      <c r="O42" s="60">
        <f t="shared" si="8"/>
        <v>45869</v>
      </c>
      <c r="P42" s="152">
        <v>27500</v>
      </c>
      <c r="Q42" s="71">
        <v>16000</v>
      </c>
      <c r="R42" s="73" t="s">
        <v>806</v>
      </c>
      <c r="S42" s="71">
        <v>2400</v>
      </c>
      <c r="T42" s="73" t="s">
        <v>806</v>
      </c>
      <c r="U42" s="71">
        <v>2400</v>
      </c>
      <c r="V42" s="73" t="s">
        <v>894</v>
      </c>
      <c r="W42" s="71">
        <v>2400</v>
      </c>
      <c r="X42" s="73">
        <v>45646</v>
      </c>
      <c r="Y42" s="71">
        <v>2400</v>
      </c>
      <c r="Z42" s="73" t="s">
        <v>979</v>
      </c>
      <c r="AA42" s="71">
        <v>2400</v>
      </c>
      <c r="AB42" s="73" t="s">
        <v>1007</v>
      </c>
      <c r="AC42" s="71">
        <v>2400</v>
      </c>
      <c r="AD42" s="73" t="s">
        <v>1012</v>
      </c>
      <c r="AE42" s="71">
        <v>2400</v>
      </c>
      <c r="AF42" s="73" t="s">
        <v>1027</v>
      </c>
      <c r="AG42" s="71">
        <f t="shared" si="12"/>
        <v>2400</v>
      </c>
      <c r="AH42" s="73">
        <v>45797</v>
      </c>
      <c r="AI42" s="71">
        <f t="shared" si="13"/>
        <v>2400</v>
      </c>
      <c r="AJ42" s="73">
        <v>45828</v>
      </c>
      <c r="AK42" s="135">
        <f t="shared" si="14"/>
        <v>2400</v>
      </c>
      <c r="AL42" s="137">
        <v>45858</v>
      </c>
      <c r="AM42" s="71">
        <f t="shared" si="16"/>
        <v>2400</v>
      </c>
      <c r="AN42" s="73">
        <v>45889</v>
      </c>
      <c r="AO42" s="113">
        <v>2400</v>
      </c>
      <c r="AP42" s="114">
        <v>45920</v>
      </c>
      <c r="AQ42" s="191"/>
      <c r="AR42" s="185"/>
      <c r="AS42" s="192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6"/>
      <c r="BO42" s="191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93"/>
      <c r="CM42" s="159" t="s">
        <v>840</v>
      </c>
      <c r="CN42" s="160" t="s">
        <v>841</v>
      </c>
      <c r="CO42" s="161" t="s">
        <v>858</v>
      </c>
      <c r="CP42" s="162" t="s">
        <v>855</v>
      </c>
      <c r="CQ42" s="126" t="s">
        <v>859</v>
      </c>
      <c r="CR42" s="127" t="s">
        <v>856</v>
      </c>
      <c r="CS42" s="128" t="s">
        <v>857</v>
      </c>
      <c r="CT42" s="129"/>
      <c r="CU42" s="73"/>
      <c r="CV42" s="130"/>
      <c r="CW42" s="131"/>
      <c r="CX42" s="131"/>
      <c r="CY42" s="132"/>
      <c r="CZ42" s="148">
        <v>1250</v>
      </c>
      <c r="DA42" s="134" t="s">
        <v>806</v>
      </c>
      <c r="DB42" s="135">
        <v>1050</v>
      </c>
      <c r="DC42" s="136" t="s">
        <v>978</v>
      </c>
      <c r="DD42" s="135">
        <v>4063</v>
      </c>
      <c r="DE42" s="137">
        <v>45797</v>
      </c>
      <c r="DF42" s="135"/>
      <c r="DG42" s="137"/>
      <c r="DH42" s="92">
        <f t="shared" si="15"/>
        <v>3637</v>
      </c>
      <c r="DI42" s="195"/>
      <c r="DJ42" s="188"/>
      <c r="DK42" s="188"/>
      <c r="DL42" s="188"/>
      <c r="DM42" s="188"/>
      <c r="DN42" s="188"/>
      <c r="DO42" s="188"/>
      <c r="DP42" s="188"/>
      <c r="DQ42" s="196"/>
      <c r="DR42" s="195"/>
      <c r="DS42" s="188"/>
      <c r="DT42" s="188"/>
      <c r="DU42" s="188"/>
      <c r="DV42" s="188"/>
      <c r="DW42" s="188"/>
      <c r="DX42" s="188"/>
      <c r="DY42" s="188"/>
      <c r="DZ42" s="197"/>
      <c r="EA42" s="142" t="s">
        <v>844</v>
      </c>
      <c r="EB42" s="198" t="s">
        <v>845</v>
      </c>
      <c r="EC42" s="198" t="s">
        <v>871</v>
      </c>
      <c r="ED42" s="182" t="s">
        <v>870</v>
      </c>
      <c r="EE42" s="180"/>
      <c r="EF42" s="180"/>
      <c r="EG42" s="180"/>
      <c r="EH42" s="180"/>
      <c r="EI42" s="182"/>
      <c r="EJ42" s="182"/>
      <c r="EK42" s="182"/>
      <c r="EL42" s="182"/>
      <c r="EM42" s="183"/>
      <c r="EN42" s="184"/>
      <c r="EO42" s="180"/>
      <c r="EP42" s="180"/>
      <c r="EQ42" s="182"/>
      <c r="ER42" s="180"/>
      <c r="ES42" s="180"/>
      <c r="ET42" s="182"/>
      <c r="EU42" s="129"/>
      <c r="EV42" s="131"/>
      <c r="EW42" s="131"/>
      <c r="EX42" s="131"/>
      <c r="EY42" s="131"/>
      <c r="EZ42" s="132"/>
      <c r="FA42" s="148"/>
      <c r="FB42" s="131"/>
      <c r="FC42" s="135"/>
      <c r="FD42" s="131"/>
      <c r="FE42" s="135"/>
      <c r="FF42" s="131"/>
      <c r="FG42" s="135"/>
      <c r="FH42" s="131"/>
      <c r="FI42" s="135"/>
      <c r="FJ42" s="131"/>
      <c r="FK42" s="135"/>
      <c r="FL42" s="185"/>
      <c r="FM42" s="135"/>
      <c r="FN42" s="185"/>
      <c r="FO42" s="135"/>
      <c r="FP42" s="185"/>
      <c r="FQ42" s="135"/>
      <c r="FR42" s="185"/>
      <c r="FS42" s="135"/>
      <c r="FT42" s="131"/>
      <c r="FU42" s="135"/>
      <c r="FV42" s="131"/>
      <c r="FW42" s="135"/>
      <c r="FX42" s="132"/>
      <c r="FY42" s="103"/>
      <c r="FZ42" s="99"/>
      <c r="GA42" s="99"/>
      <c r="GB42" s="99"/>
      <c r="GC42" s="99"/>
      <c r="GD42" s="99"/>
      <c r="GE42" s="99"/>
      <c r="GF42" s="99"/>
      <c r="GG42" s="99"/>
      <c r="GH42" s="99"/>
      <c r="GI42" s="99"/>
      <c r="GJ42" s="99"/>
      <c r="GK42" s="99"/>
      <c r="GL42" s="99"/>
      <c r="GM42" s="99"/>
      <c r="GN42" s="99"/>
      <c r="GO42" s="99"/>
      <c r="GP42" s="99"/>
      <c r="GQ42" s="99"/>
      <c r="GR42" s="99"/>
      <c r="GS42" s="99"/>
      <c r="GT42" s="99"/>
      <c r="GU42" s="99"/>
      <c r="GV42" s="104"/>
      <c r="GW42" s="103"/>
      <c r="GX42" s="99"/>
      <c r="GY42" s="99"/>
      <c r="GZ42" s="99"/>
      <c r="HA42" s="99"/>
      <c r="HB42" s="99"/>
      <c r="HC42" s="99"/>
      <c r="HD42" s="99"/>
      <c r="HE42" s="99"/>
      <c r="HF42" s="99"/>
      <c r="HG42" s="99"/>
      <c r="HH42" s="99"/>
      <c r="HI42" s="99"/>
      <c r="HJ42" s="99"/>
      <c r="HK42" s="99"/>
      <c r="HL42" s="99"/>
      <c r="HM42" s="99"/>
      <c r="HN42" s="99"/>
      <c r="HO42" s="99"/>
      <c r="HP42" s="99"/>
      <c r="HQ42" s="99"/>
      <c r="HR42" s="99"/>
      <c r="HS42" s="99"/>
      <c r="HT42" s="105"/>
    </row>
    <row r="43" spans="1:276" s="590" customFormat="1">
      <c r="A43" s="52">
        <f t="shared" si="2"/>
        <v>39</v>
      </c>
      <c r="B43" s="142" t="s">
        <v>206</v>
      </c>
      <c r="C43" s="54"/>
      <c r="D43" s="55" t="s">
        <v>837</v>
      </c>
      <c r="E43" s="106" t="s">
        <v>993</v>
      </c>
      <c r="F43" s="107"/>
      <c r="G43" s="58" t="s">
        <v>839</v>
      </c>
      <c r="H43" s="56" t="str">
        <f t="shared" si="0"/>
        <v>萬華區</v>
      </c>
      <c r="I43" s="56" t="s">
        <v>852</v>
      </c>
      <c r="J43" s="56" t="s">
        <v>854</v>
      </c>
      <c r="K43" s="56" t="s">
        <v>850</v>
      </c>
      <c r="L43" s="59">
        <v>91.23</v>
      </c>
      <c r="M43" s="56" t="s">
        <v>228</v>
      </c>
      <c r="N43" s="60">
        <v>45519</v>
      </c>
      <c r="O43" s="60">
        <f t="shared" si="8"/>
        <v>45883</v>
      </c>
      <c r="P43" s="152">
        <v>23000</v>
      </c>
      <c r="Q43" s="71">
        <v>16000</v>
      </c>
      <c r="R43" s="73" t="s">
        <v>806</v>
      </c>
      <c r="S43" s="71">
        <v>2400</v>
      </c>
      <c r="T43" s="73" t="s">
        <v>806</v>
      </c>
      <c r="U43" s="71">
        <v>2400</v>
      </c>
      <c r="V43" s="73" t="s">
        <v>894</v>
      </c>
      <c r="W43" s="71">
        <v>2400</v>
      </c>
      <c r="X43" s="73">
        <v>45646</v>
      </c>
      <c r="Y43" s="71">
        <v>2400</v>
      </c>
      <c r="Z43" s="73" t="s">
        <v>979</v>
      </c>
      <c r="AA43" s="71">
        <v>2400</v>
      </c>
      <c r="AB43" s="73" t="s">
        <v>1007</v>
      </c>
      <c r="AC43" s="71">
        <v>2400</v>
      </c>
      <c r="AD43" s="73" t="s">
        <v>1012</v>
      </c>
      <c r="AE43" s="71">
        <v>2400</v>
      </c>
      <c r="AF43" s="73" t="s">
        <v>1027</v>
      </c>
      <c r="AG43" s="71">
        <f t="shared" si="12"/>
        <v>2400</v>
      </c>
      <c r="AH43" s="73">
        <v>45797</v>
      </c>
      <c r="AI43" s="71">
        <f t="shared" si="13"/>
        <v>2400</v>
      </c>
      <c r="AJ43" s="73">
        <v>45828</v>
      </c>
      <c r="AK43" s="135">
        <f t="shared" si="14"/>
        <v>2400</v>
      </c>
      <c r="AL43" s="137">
        <v>45858</v>
      </c>
      <c r="AM43" s="71">
        <f t="shared" si="16"/>
        <v>2400</v>
      </c>
      <c r="AN43" s="73">
        <v>45889</v>
      </c>
      <c r="AO43" s="113">
        <v>2400</v>
      </c>
      <c r="AP43" s="114">
        <v>45920</v>
      </c>
      <c r="AQ43" s="191"/>
      <c r="AR43" s="185"/>
      <c r="AS43" s="192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6"/>
      <c r="BO43" s="191"/>
      <c r="BP43" s="185"/>
      <c r="BQ43" s="185"/>
      <c r="BR43" s="185"/>
      <c r="BS43" s="185"/>
      <c r="BT43" s="185"/>
      <c r="BU43" s="185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93"/>
      <c r="CM43" s="159" t="s">
        <v>842</v>
      </c>
      <c r="CN43" s="160" t="s">
        <v>843</v>
      </c>
      <c r="CO43" s="161" t="s">
        <v>861</v>
      </c>
      <c r="CP43" s="162" t="s">
        <v>860</v>
      </c>
      <c r="CQ43" s="126" t="s">
        <v>892</v>
      </c>
      <c r="CR43" s="127"/>
      <c r="CS43" s="128"/>
      <c r="CT43" s="129">
        <v>3300</v>
      </c>
      <c r="CU43" s="73" t="s">
        <v>806</v>
      </c>
      <c r="CV43" s="130"/>
      <c r="CW43" s="131"/>
      <c r="CX43" s="131"/>
      <c r="CY43" s="132"/>
      <c r="CZ43" s="148">
        <v>10000</v>
      </c>
      <c r="DA43" s="134">
        <v>45889</v>
      </c>
      <c r="DB43" s="135"/>
      <c r="DC43" s="136"/>
      <c r="DD43" s="135"/>
      <c r="DE43" s="137"/>
      <c r="DF43" s="135"/>
      <c r="DG43" s="137"/>
      <c r="DH43" s="92">
        <f t="shared" si="15"/>
        <v>0</v>
      </c>
      <c r="DI43" s="195"/>
      <c r="DJ43" s="188"/>
      <c r="DK43" s="188"/>
      <c r="DL43" s="188"/>
      <c r="DM43" s="188"/>
      <c r="DN43" s="188"/>
      <c r="DO43" s="188"/>
      <c r="DP43" s="188"/>
      <c r="DQ43" s="196"/>
      <c r="DR43" s="195"/>
      <c r="DS43" s="188"/>
      <c r="DT43" s="188"/>
      <c r="DU43" s="188"/>
      <c r="DV43" s="188"/>
      <c r="DW43" s="188"/>
      <c r="DX43" s="188"/>
      <c r="DY43" s="188"/>
      <c r="DZ43" s="197"/>
      <c r="EA43" s="142" t="s">
        <v>846</v>
      </c>
      <c r="EB43" s="198" t="s">
        <v>847</v>
      </c>
      <c r="EC43" s="198" t="s">
        <v>470</v>
      </c>
      <c r="ED43" s="182" t="s">
        <v>862</v>
      </c>
      <c r="EE43" s="180" t="s">
        <v>864</v>
      </c>
      <c r="EF43" s="180" t="s">
        <v>865</v>
      </c>
      <c r="EG43" s="180" t="s">
        <v>863</v>
      </c>
      <c r="EH43" s="180" t="s">
        <v>866</v>
      </c>
      <c r="EI43" s="182" t="s">
        <v>867</v>
      </c>
      <c r="EJ43" s="182" t="s">
        <v>797</v>
      </c>
      <c r="EK43" s="182" t="s">
        <v>868</v>
      </c>
      <c r="EL43" s="182" t="s">
        <v>869</v>
      </c>
      <c r="EM43" s="183" t="s">
        <v>800</v>
      </c>
      <c r="EN43" s="184"/>
      <c r="EO43" s="180"/>
      <c r="EP43" s="180"/>
      <c r="EQ43" s="182"/>
      <c r="ER43" s="180"/>
      <c r="ES43" s="180"/>
      <c r="ET43" s="182"/>
      <c r="EU43" s="129"/>
      <c r="EV43" s="131"/>
      <c r="EW43" s="131"/>
      <c r="EX43" s="131"/>
      <c r="EY43" s="131"/>
      <c r="EZ43" s="132"/>
      <c r="FA43" s="148"/>
      <c r="FB43" s="131"/>
      <c r="FC43" s="135"/>
      <c r="FD43" s="131"/>
      <c r="FE43" s="135"/>
      <c r="FF43" s="131"/>
      <c r="FG43" s="135"/>
      <c r="FH43" s="131"/>
      <c r="FI43" s="135"/>
      <c r="FJ43" s="131"/>
      <c r="FK43" s="135"/>
      <c r="FL43" s="185"/>
      <c r="FM43" s="135"/>
      <c r="FN43" s="185"/>
      <c r="FO43" s="135"/>
      <c r="FP43" s="185"/>
      <c r="FQ43" s="135"/>
      <c r="FR43" s="185"/>
      <c r="FS43" s="135"/>
      <c r="FT43" s="131"/>
      <c r="FU43" s="135"/>
      <c r="FV43" s="131"/>
      <c r="FW43" s="135"/>
      <c r="FX43" s="132"/>
      <c r="FY43" s="103"/>
      <c r="FZ43" s="99"/>
      <c r="GA43" s="99"/>
      <c r="GB43" s="99"/>
      <c r="GC43" s="99"/>
      <c r="GD43" s="99"/>
      <c r="GE43" s="99"/>
      <c r="GF43" s="99"/>
      <c r="GG43" s="99"/>
      <c r="GH43" s="99"/>
      <c r="GI43" s="99"/>
      <c r="GJ43" s="99"/>
      <c r="GK43" s="99"/>
      <c r="GL43" s="99"/>
      <c r="GM43" s="99"/>
      <c r="GN43" s="99"/>
      <c r="GO43" s="99"/>
      <c r="GP43" s="99"/>
      <c r="GQ43" s="99"/>
      <c r="GR43" s="99"/>
      <c r="GS43" s="99"/>
      <c r="GT43" s="99"/>
      <c r="GU43" s="99"/>
      <c r="GV43" s="104"/>
      <c r="GW43" s="103"/>
      <c r="GX43" s="99"/>
      <c r="GY43" s="99"/>
      <c r="GZ43" s="99"/>
      <c r="HA43" s="99"/>
      <c r="HB43" s="99"/>
      <c r="HC43" s="99"/>
      <c r="HD43" s="99"/>
      <c r="HE43" s="99"/>
      <c r="HF43" s="99"/>
      <c r="HG43" s="99"/>
      <c r="HH43" s="99"/>
      <c r="HI43" s="99"/>
      <c r="HJ43" s="99"/>
      <c r="HK43" s="99"/>
      <c r="HL43" s="99"/>
      <c r="HM43" s="99"/>
      <c r="HN43" s="99"/>
      <c r="HO43" s="99"/>
      <c r="HP43" s="99"/>
      <c r="HQ43" s="99"/>
      <c r="HR43" s="99"/>
      <c r="HS43" s="99"/>
      <c r="HT43" s="105"/>
    </row>
    <row r="44" spans="1:276" s="590" customFormat="1">
      <c r="A44" s="52">
        <f t="shared" si="2"/>
        <v>40</v>
      </c>
      <c r="B44" s="142" t="s">
        <v>206</v>
      </c>
      <c r="C44" s="54"/>
      <c r="D44" s="55" t="s">
        <v>872</v>
      </c>
      <c r="E44" s="106" t="s">
        <v>993</v>
      </c>
      <c r="F44" s="107"/>
      <c r="G44" s="58" t="s">
        <v>873</v>
      </c>
      <c r="H44" s="56" t="str">
        <f t="shared" si="0"/>
        <v>文山區</v>
      </c>
      <c r="I44" s="56" t="s">
        <v>874</v>
      </c>
      <c r="J44" s="56" t="s">
        <v>876</v>
      </c>
      <c r="K44" s="56" t="s">
        <v>875</v>
      </c>
      <c r="L44" s="59">
        <v>71.47</v>
      </c>
      <c r="M44" s="56" t="s">
        <v>228</v>
      </c>
      <c r="N44" s="60">
        <v>45519</v>
      </c>
      <c r="O44" s="60">
        <f>N44+364</f>
        <v>45883</v>
      </c>
      <c r="P44" s="152">
        <v>25500</v>
      </c>
      <c r="Q44" s="71">
        <v>16000</v>
      </c>
      <c r="R44" s="73" t="s">
        <v>806</v>
      </c>
      <c r="S44" s="71">
        <v>2400</v>
      </c>
      <c r="T44" s="73" t="s">
        <v>806</v>
      </c>
      <c r="U44" s="71">
        <v>2400</v>
      </c>
      <c r="V44" s="73" t="s">
        <v>894</v>
      </c>
      <c r="W44" s="71">
        <v>2400</v>
      </c>
      <c r="X44" s="73">
        <v>45646</v>
      </c>
      <c r="Y44" s="71">
        <v>2400</v>
      </c>
      <c r="Z44" s="73" t="s">
        <v>979</v>
      </c>
      <c r="AA44" s="71">
        <v>2400</v>
      </c>
      <c r="AB44" s="73" t="s">
        <v>1007</v>
      </c>
      <c r="AC44" s="71">
        <v>2400</v>
      </c>
      <c r="AD44" s="73" t="s">
        <v>1012</v>
      </c>
      <c r="AE44" s="71">
        <v>2400</v>
      </c>
      <c r="AF44" s="73" t="s">
        <v>1027</v>
      </c>
      <c r="AG44" s="71">
        <f t="shared" si="12"/>
        <v>2400</v>
      </c>
      <c r="AH44" s="73">
        <v>45797</v>
      </c>
      <c r="AI44" s="71">
        <f t="shared" si="13"/>
        <v>2400</v>
      </c>
      <c r="AJ44" s="73">
        <v>45828</v>
      </c>
      <c r="AK44" s="135">
        <f t="shared" si="14"/>
        <v>2400</v>
      </c>
      <c r="AL44" s="137">
        <v>45858</v>
      </c>
      <c r="AM44" s="71">
        <f t="shared" si="16"/>
        <v>2400</v>
      </c>
      <c r="AN44" s="73">
        <v>45889</v>
      </c>
      <c r="AO44" s="113">
        <v>2400</v>
      </c>
      <c r="AP44" s="114">
        <v>45920</v>
      </c>
      <c r="AQ44" s="191"/>
      <c r="AR44" s="185"/>
      <c r="AS44" s="192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6"/>
      <c r="BO44" s="191"/>
      <c r="BP44" s="185"/>
      <c r="BQ44" s="185"/>
      <c r="BR44" s="185"/>
      <c r="BS44" s="185"/>
      <c r="BT44" s="185"/>
      <c r="BU44" s="185"/>
      <c r="BV44" s="185"/>
      <c r="BW44" s="185"/>
      <c r="BX44" s="185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93"/>
      <c r="CM44" s="159" t="s">
        <v>877</v>
      </c>
      <c r="CN44" s="160" t="s">
        <v>878</v>
      </c>
      <c r="CO44" s="161" t="s">
        <v>880</v>
      </c>
      <c r="CP44" s="162" t="s">
        <v>879</v>
      </c>
      <c r="CQ44" s="126" t="s">
        <v>881</v>
      </c>
      <c r="CR44" s="127"/>
      <c r="CS44" s="128"/>
      <c r="CT44" s="129">
        <v>4500</v>
      </c>
      <c r="CU44" s="73" t="s">
        <v>806</v>
      </c>
      <c r="CV44" s="130"/>
      <c r="CW44" s="131"/>
      <c r="CX44" s="131"/>
      <c r="CY44" s="132"/>
      <c r="CZ44" s="148">
        <v>1150</v>
      </c>
      <c r="DA44" s="134" t="s">
        <v>806</v>
      </c>
      <c r="DB44" s="135">
        <v>8850</v>
      </c>
      <c r="DC44" s="136" t="s">
        <v>978</v>
      </c>
      <c r="DD44" s="135"/>
      <c r="DE44" s="137"/>
      <c r="DF44" s="135"/>
      <c r="DG44" s="137"/>
      <c r="DH44" s="92">
        <f t="shared" ref="DH44" si="17">10000-DF44-DD44-DB44-CZ44</f>
        <v>0</v>
      </c>
      <c r="DI44" s="195"/>
      <c r="DJ44" s="188"/>
      <c r="DK44" s="188"/>
      <c r="DL44" s="188"/>
      <c r="DM44" s="188"/>
      <c r="DN44" s="188"/>
      <c r="DO44" s="188"/>
      <c r="DP44" s="188"/>
      <c r="DQ44" s="196"/>
      <c r="DR44" s="195"/>
      <c r="DS44" s="188"/>
      <c r="DT44" s="188"/>
      <c r="DU44" s="188"/>
      <c r="DV44" s="188"/>
      <c r="DW44" s="188"/>
      <c r="DX44" s="188"/>
      <c r="DY44" s="188"/>
      <c r="DZ44" s="197"/>
      <c r="EA44" s="142" t="s">
        <v>882</v>
      </c>
      <c r="EB44" s="198" t="s">
        <v>883</v>
      </c>
      <c r="EC44" s="198" t="s">
        <v>884</v>
      </c>
      <c r="ED44" s="182" t="s">
        <v>885</v>
      </c>
      <c r="EE44" s="180" t="s">
        <v>886</v>
      </c>
      <c r="EF44" s="180" t="s">
        <v>887</v>
      </c>
      <c r="EG44" s="180" t="s">
        <v>863</v>
      </c>
      <c r="EH44" s="180" t="s">
        <v>889</v>
      </c>
      <c r="EI44" s="182" t="s">
        <v>890</v>
      </c>
      <c r="EJ44" s="182" t="s">
        <v>891</v>
      </c>
      <c r="EK44" s="182"/>
      <c r="EL44" s="182"/>
      <c r="EM44" s="183"/>
      <c r="EN44" s="184"/>
      <c r="EO44" s="180"/>
      <c r="EP44" s="180"/>
      <c r="EQ44" s="182"/>
      <c r="ER44" s="180"/>
      <c r="ES44" s="180"/>
      <c r="ET44" s="182"/>
      <c r="EU44" s="129"/>
      <c r="EV44" s="131"/>
      <c r="EW44" s="131"/>
      <c r="EX44" s="131"/>
      <c r="EY44" s="131"/>
      <c r="EZ44" s="132"/>
      <c r="FA44" s="148"/>
      <c r="FB44" s="131"/>
      <c r="FC44" s="135"/>
      <c r="FD44" s="131"/>
      <c r="FE44" s="135"/>
      <c r="FF44" s="131"/>
      <c r="FG44" s="135"/>
      <c r="FH44" s="131"/>
      <c r="FI44" s="135"/>
      <c r="FJ44" s="131"/>
      <c r="FK44" s="135"/>
      <c r="FL44" s="185"/>
      <c r="FM44" s="135"/>
      <c r="FN44" s="185"/>
      <c r="FO44" s="135"/>
      <c r="FP44" s="185"/>
      <c r="FQ44" s="135"/>
      <c r="FR44" s="185"/>
      <c r="FS44" s="135"/>
      <c r="FT44" s="131"/>
      <c r="FU44" s="135"/>
      <c r="FV44" s="131"/>
      <c r="FW44" s="135"/>
      <c r="FX44" s="132"/>
      <c r="FY44" s="103"/>
      <c r="FZ44" s="99"/>
      <c r="GA44" s="99"/>
      <c r="GB44" s="99"/>
      <c r="GC44" s="99"/>
      <c r="GD44" s="99"/>
      <c r="GE44" s="99"/>
      <c r="GF44" s="99"/>
      <c r="GG44" s="99"/>
      <c r="GH44" s="99"/>
      <c r="GI44" s="99"/>
      <c r="GJ44" s="99"/>
      <c r="GK44" s="99"/>
      <c r="GL44" s="99"/>
      <c r="GM44" s="99"/>
      <c r="GN44" s="99"/>
      <c r="GO44" s="99"/>
      <c r="GP44" s="99"/>
      <c r="GQ44" s="99"/>
      <c r="GR44" s="99"/>
      <c r="GS44" s="99"/>
      <c r="GT44" s="99"/>
      <c r="GU44" s="99"/>
      <c r="GV44" s="104"/>
      <c r="GW44" s="103"/>
      <c r="GX44" s="99"/>
      <c r="GY44" s="99"/>
      <c r="GZ44" s="99"/>
      <c r="HA44" s="99"/>
      <c r="HB44" s="99"/>
      <c r="HC44" s="99"/>
      <c r="HD44" s="99"/>
      <c r="HE44" s="99"/>
      <c r="HF44" s="99"/>
      <c r="HG44" s="99"/>
      <c r="HH44" s="99"/>
      <c r="HI44" s="99"/>
      <c r="HJ44" s="99"/>
      <c r="HK44" s="99"/>
      <c r="HL44" s="99"/>
      <c r="HM44" s="99"/>
      <c r="HN44" s="99"/>
      <c r="HO44" s="99"/>
      <c r="HP44" s="99"/>
      <c r="HQ44" s="99"/>
      <c r="HR44" s="99"/>
      <c r="HS44" s="99"/>
      <c r="HT44" s="105"/>
    </row>
    <row r="45" spans="1:276" s="590" customFormat="1">
      <c r="A45" s="52">
        <f t="shared" si="2"/>
        <v>41</v>
      </c>
      <c r="B45" s="53" t="s">
        <v>206</v>
      </c>
      <c r="C45" s="54"/>
      <c r="D45" s="55" t="s">
        <v>895</v>
      </c>
      <c r="E45" s="106" t="s">
        <v>993</v>
      </c>
      <c r="F45" s="107"/>
      <c r="G45" s="58" t="s">
        <v>902</v>
      </c>
      <c r="H45" s="56" t="str">
        <f t="shared" si="0"/>
        <v>大同區</v>
      </c>
      <c r="I45" s="56" t="s">
        <v>903</v>
      </c>
      <c r="J45" s="56" t="s">
        <v>900</v>
      </c>
      <c r="K45" s="56" t="s">
        <v>901</v>
      </c>
      <c r="L45" s="59">
        <v>104.35</v>
      </c>
      <c r="M45" s="109" t="s">
        <v>228</v>
      </c>
      <c r="N45" s="60">
        <v>45540</v>
      </c>
      <c r="O45" s="60">
        <f t="shared" ref="O45:O46" si="18">N45+364</f>
        <v>45904</v>
      </c>
      <c r="P45" s="152">
        <v>30000</v>
      </c>
      <c r="Q45" s="111">
        <v>16000</v>
      </c>
      <c r="R45" s="112" t="s">
        <v>894</v>
      </c>
      <c r="S45" s="113">
        <v>2400</v>
      </c>
      <c r="T45" s="114" t="s">
        <v>894</v>
      </c>
      <c r="U45" s="71">
        <v>2400</v>
      </c>
      <c r="V45" s="73">
        <v>45646</v>
      </c>
      <c r="W45" s="71">
        <v>2400</v>
      </c>
      <c r="X45" s="73" t="s">
        <v>979</v>
      </c>
      <c r="Y45" s="71">
        <v>2400</v>
      </c>
      <c r="Z45" s="73" t="s">
        <v>1007</v>
      </c>
      <c r="AA45" s="71">
        <v>2400</v>
      </c>
      <c r="AB45" s="73" t="s">
        <v>1012</v>
      </c>
      <c r="AC45" s="71">
        <v>2400</v>
      </c>
      <c r="AD45" s="73" t="s">
        <v>1027</v>
      </c>
      <c r="AE45" s="71">
        <f t="shared" ref="AE45:AE47" si="19">AC45</f>
        <v>2400</v>
      </c>
      <c r="AF45" s="73">
        <v>45797</v>
      </c>
      <c r="AG45" s="71">
        <f t="shared" si="12"/>
        <v>2400</v>
      </c>
      <c r="AH45" s="73">
        <v>45828</v>
      </c>
      <c r="AI45" s="135">
        <f t="shared" si="13"/>
        <v>2400</v>
      </c>
      <c r="AJ45" s="137">
        <v>45858</v>
      </c>
      <c r="AK45" s="71">
        <f t="shared" si="14"/>
        <v>2400</v>
      </c>
      <c r="AL45" s="73">
        <v>45889</v>
      </c>
      <c r="AM45" s="113">
        <v>2400</v>
      </c>
      <c r="AN45" s="114">
        <v>45920</v>
      </c>
      <c r="AO45" s="113">
        <v>2400</v>
      </c>
      <c r="AP45" s="112">
        <v>45950</v>
      </c>
      <c r="AQ45" s="154"/>
      <c r="AR45" s="155"/>
      <c r="AS45" s="156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5"/>
      <c r="BI45" s="155"/>
      <c r="BJ45" s="155"/>
      <c r="BK45" s="155"/>
      <c r="BL45" s="155"/>
      <c r="BM45" s="155"/>
      <c r="BN45" s="157"/>
      <c r="BO45" s="154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5"/>
      <c r="CB45" s="155"/>
      <c r="CC45" s="155"/>
      <c r="CD45" s="155"/>
      <c r="CE45" s="155"/>
      <c r="CF45" s="155"/>
      <c r="CG45" s="155"/>
      <c r="CH45" s="155"/>
      <c r="CI45" s="155"/>
      <c r="CJ45" s="155"/>
      <c r="CK45" s="155"/>
      <c r="CL45" s="158"/>
      <c r="CM45" s="159" t="s">
        <v>896</v>
      </c>
      <c r="CN45" s="160" t="s">
        <v>897</v>
      </c>
      <c r="CO45" s="161" t="s">
        <v>905</v>
      </c>
      <c r="CP45" s="162" t="s">
        <v>906</v>
      </c>
      <c r="CQ45" s="126" t="s">
        <v>904</v>
      </c>
      <c r="CR45" s="127"/>
      <c r="CS45" s="128"/>
      <c r="CT45" s="129">
        <v>3450</v>
      </c>
      <c r="CU45" s="73" t="s">
        <v>894</v>
      </c>
      <c r="CV45" s="130"/>
      <c r="CW45" s="131"/>
      <c r="CX45" s="131"/>
      <c r="CY45" s="132"/>
      <c r="CZ45" s="148">
        <v>10000</v>
      </c>
      <c r="DA45" s="134" t="s">
        <v>894</v>
      </c>
      <c r="DB45" s="135"/>
      <c r="DC45" s="137"/>
      <c r="DD45" s="135"/>
      <c r="DE45" s="137"/>
      <c r="DF45" s="135"/>
      <c r="DG45" s="137"/>
      <c r="DH45" s="92">
        <f t="shared" si="15"/>
        <v>0</v>
      </c>
      <c r="DI45" s="138"/>
      <c r="DJ45" s="139"/>
      <c r="DK45" s="139"/>
      <c r="DL45" s="139"/>
      <c r="DM45" s="139"/>
      <c r="DN45" s="139"/>
      <c r="DO45" s="139"/>
      <c r="DP45" s="139"/>
      <c r="DQ45" s="140"/>
      <c r="DR45" s="138"/>
      <c r="DS45" s="139"/>
      <c r="DT45" s="139"/>
      <c r="DU45" s="139"/>
      <c r="DV45" s="139"/>
      <c r="DW45" s="139"/>
      <c r="DX45" s="139"/>
      <c r="DY45" s="139"/>
      <c r="DZ45" s="141"/>
      <c r="EA45" s="163" t="s">
        <v>898</v>
      </c>
      <c r="EB45" s="198" t="s">
        <v>899</v>
      </c>
      <c r="EC45" s="160" t="s">
        <v>907</v>
      </c>
      <c r="ED45" s="182" t="s">
        <v>908</v>
      </c>
      <c r="EE45" s="166"/>
      <c r="EF45" s="166"/>
      <c r="EG45" s="166"/>
      <c r="EH45" s="166"/>
      <c r="EI45" s="165"/>
      <c r="EJ45" s="165"/>
      <c r="EK45" s="165"/>
      <c r="EL45" s="165"/>
      <c r="EM45" s="167"/>
      <c r="EN45" s="168"/>
      <c r="EO45" s="166"/>
      <c r="EP45" s="166"/>
      <c r="EQ45" s="165"/>
      <c r="ER45" s="169"/>
      <c r="ES45" s="169"/>
      <c r="ET45" s="170"/>
      <c r="EU45" s="171"/>
      <c r="EV45" s="99"/>
      <c r="EW45" s="99"/>
      <c r="EX45" s="99"/>
      <c r="EY45" s="99"/>
      <c r="EZ45" s="104"/>
      <c r="FA45" s="172"/>
      <c r="FB45" s="173"/>
      <c r="FC45" s="135"/>
      <c r="FD45" s="131"/>
      <c r="FE45" s="135"/>
      <c r="FF45" s="131"/>
      <c r="FG45" s="174"/>
      <c r="FH45" s="99"/>
      <c r="FI45" s="149"/>
      <c r="FJ45" s="150"/>
      <c r="FK45" s="151"/>
      <c r="FL45" s="118"/>
      <c r="FM45" s="135"/>
      <c r="FN45" s="118"/>
      <c r="FO45" s="151"/>
      <c r="FP45" s="118"/>
      <c r="FQ45" s="151"/>
      <c r="FR45" s="118"/>
      <c r="FS45" s="135"/>
      <c r="FT45" s="131"/>
      <c r="FU45" s="174"/>
      <c r="FV45" s="99"/>
      <c r="FW45" s="135"/>
      <c r="FX45" s="104"/>
      <c r="FY45" s="103"/>
      <c r="FZ45" s="99"/>
      <c r="GA45" s="99"/>
      <c r="GB45" s="99"/>
      <c r="GC45" s="99"/>
      <c r="GD45" s="99"/>
      <c r="GE45" s="99"/>
      <c r="GF45" s="99"/>
      <c r="GG45" s="99"/>
      <c r="GH45" s="99"/>
      <c r="GI45" s="99"/>
      <c r="GJ45" s="99"/>
      <c r="GK45" s="99"/>
      <c r="GL45" s="99"/>
      <c r="GM45" s="99"/>
      <c r="GN45" s="99"/>
      <c r="GO45" s="99"/>
      <c r="GP45" s="99"/>
      <c r="GQ45" s="99"/>
      <c r="GR45" s="99"/>
      <c r="GS45" s="99"/>
      <c r="GT45" s="99"/>
      <c r="GU45" s="99"/>
      <c r="GV45" s="104"/>
      <c r="GW45" s="103"/>
      <c r="GX45" s="99"/>
      <c r="GY45" s="99"/>
      <c r="GZ45" s="99"/>
      <c r="HA45" s="99"/>
      <c r="HB45" s="99"/>
      <c r="HC45" s="99"/>
      <c r="HD45" s="99"/>
      <c r="HE45" s="99"/>
      <c r="HF45" s="99"/>
      <c r="HG45" s="99"/>
      <c r="HH45" s="99"/>
      <c r="HI45" s="99"/>
      <c r="HJ45" s="99"/>
      <c r="HK45" s="99"/>
      <c r="HL45" s="99"/>
      <c r="HM45" s="99"/>
      <c r="HN45" s="99"/>
      <c r="HO45" s="99"/>
      <c r="HP45" s="99"/>
      <c r="HQ45" s="99"/>
      <c r="HR45" s="99"/>
      <c r="HS45" s="99"/>
      <c r="HT45" s="105"/>
      <c r="IG45" s="589"/>
      <c r="IH45" s="589"/>
      <c r="II45" s="589"/>
      <c r="IJ45" s="589"/>
      <c r="IK45" s="589"/>
      <c r="IL45" s="589"/>
      <c r="IM45" s="589"/>
      <c r="IN45" s="589"/>
      <c r="IO45" s="589"/>
      <c r="IP45" s="589"/>
      <c r="IQ45" s="589"/>
      <c r="IR45" s="589"/>
      <c r="JE45" s="589"/>
      <c r="JF45" s="589"/>
      <c r="JG45" s="589"/>
      <c r="JH45" s="589"/>
      <c r="JI45" s="589"/>
      <c r="JJ45" s="589"/>
      <c r="JK45" s="589"/>
      <c r="JL45" s="589"/>
      <c r="JM45" s="589"/>
      <c r="JN45" s="589"/>
      <c r="JO45" s="589"/>
      <c r="JP45" s="589"/>
    </row>
    <row r="46" spans="1:276" s="590" customFormat="1">
      <c r="A46" s="52">
        <f t="shared" si="2"/>
        <v>42</v>
      </c>
      <c r="B46" s="53" t="s">
        <v>206</v>
      </c>
      <c r="C46" s="54"/>
      <c r="D46" s="55" t="s">
        <v>960</v>
      </c>
      <c r="E46" s="106" t="s">
        <v>993</v>
      </c>
      <c r="F46" s="107"/>
      <c r="G46" s="58" t="s">
        <v>261</v>
      </c>
      <c r="H46" s="56" t="str">
        <f t="shared" ref="H46:H52" si="20">MID(G46,4,3)</f>
        <v>士林區</v>
      </c>
      <c r="I46" s="56" t="s">
        <v>624</v>
      </c>
      <c r="J46" s="56" t="s">
        <v>934</v>
      </c>
      <c r="K46" s="56" t="s">
        <v>264</v>
      </c>
      <c r="L46" s="59">
        <v>71.81</v>
      </c>
      <c r="M46" s="109" t="s">
        <v>228</v>
      </c>
      <c r="N46" s="60">
        <v>45550</v>
      </c>
      <c r="O46" s="60">
        <f t="shared" si="18"/>
        <v>45914</v>
      </c>
      <c r="P46" s="152">
        <v>15000</v>
      </c>
      <c r="Q46" s="111">
        <v>4000</v>
      </c>
      <c r="R46" s="112" t="s">
        <v>894</v>
      </c>
      <c r="S46" s="113">
        <v>2400</v>
      </c>
      <c r="T46" s="114" t="s">
        <v>894</v>
      </c>
      <c r="U46" s="71">
        <v>2400</v>
      </c>
      <c r="V46" s="73">
        <v>45646</v>
      </c>
      <c r="W46" s="71">
        <v>2400</v>
      </c>
      <c r="X46" s="73" t="s">
        <v>979</v>
      </c>
      <c r="Y46" s="71">
        <v>2400</v>
      </c>
      <c r="Z46" s="73" t="s">
        <v>1007</v>
      </c>
      <c r="AA46" s="71">
        <v>2400</v>
      </c>
      <c r="AB46" s="73" t="s">
        <v>1012</v>
      </c>
      <c r="AC46" s="71">
        <v>2400</v>
      </c>
      <c r="AD46" s="73" t="s">
        <v>1027</v>
      </c>
      <c r="AE46" s="71">
        <f t="shared" si="19"/>
        <v>2400</v>
      </c>
      <c r="AF46" s="73">
        <v>45797</v>
      </c>
      <c r="AG46" s="71">
        <f t="shared" si="12"/>
        <v>2400</v>
      </c>
      <c r="AH46" s="73">
        <v>45828</v>
      </c>
      <c r="AI46" s="135">
        <f t="shared" si="13"/>
        <v>2400</v>
      </c>
      <c r="AJ46" s="137">
        <v>45858</v>
      </c>
      <c r="AK46" s="71">
        <f t="shared" si="14"/>
        <v>2400</v>
      </c>
      <c r="AL46" s="73">
        <v>45889</v>
      </c>
      <c r="AM46" s="113">
        <v>2400</v>
      </c>
      <c r="AN46" s="114">
        <v>45920</v>
      </c>
      <c r="AO46" s="113">
        <v>2400</v>
      </c>
      <c r="AP46" s="112">
        <v>45950</v>
      </c>
      <c r="AQ46" s="154"/>
      <c r="AR46" s="155"/>
      <c r="AS46" s="156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7"/>
      <c r="BO46" s="154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E46" s="155"/>
      <c r="CF46" s="155"/>
      <c r="CG46" s="155"/>
      <c r="CH46" s="155"/>
      <c r="CI46" s="155"/>
      <c r="CJ46" s="155"/>
      <c r="CK46" s="155"/>
      <c r="CL46" s="158"/>
      <c r="CM46" s="159" t="s">
        <v>336</v>
      </c>
      <c r="CN46" s="160" t="s">
        <v>337</v>
      </c>
      <c r="CO46" s="161">
        <v>8120171</v>
      </c>
      <c r="CP46" s="162" t="s">
        <v>338</v>
      </c>
      <c r="CQ46" s="126" t="s">
        <v>261</v>
      </c>
      <c r="CR46" s="127"/>
      <c r="CS46" s="128"/>
      <c r="CT46" s="129"/>
      <c r="CU46" s="73"/>
      <c r="CV46" s="130"/>
      <c r="CW46" s="131"/>
      <c r="CX46" s="131"/>
      <c r="CY46" s="132"/>
      <c r="CZ46" s="148">
        <v>10000</v>
      </c>
      <c r="DA46" s="134" t="s">
        <v>1006</v>
      </c>
      <c r="DB46" s="135"/>
      <c r="DC46" s="137"/>
      <c r="DD46" s="135"/>
      <c r="DE46" s="137"/>
      <c r="DF46" s="135"/>
      <c r="DG46" s="137"/>
      <c r="DH46" s="92">
        <f t="shared" si="15"/>
        <v>0</v>
      </c>
      <c r="DI46" s="138"/>
      <c r="DJ46" s="139"/>
      <c r="DK46" s="139"/>
      <c r="DL46" s="139"/>
      <c r="DM46" s="139"/>
      <c r="DN46" s="139"/>
      <c r="DO46" s="139"/>
      <c r="DP46" s="139"/>
      <c r="DQ46" s="140"/>
      <c r="DR46" s="138"/>
      <c r="DS46" s="139"/>
      <c r="DT46" s="139"/>
      <c r="DU46" s="139"/>
      <c r="DV46" s="139"/>
      <c r="DW46" s="139"/>
      <c r="DX46" s="139"/>
      <c r="DY46" s="139"/>
      <c r="DZ46" s="141"/>
      <c r="EA46" s="163" t="s">
        <v>930</v>
      </c>
      <c r="EB46" s="198" t="s">
        <v>931</v>
      </c>
      <c r="EC46" s="160" t="s">
        <v>956</v>
      </c>
      <c r="ED46" s="182" t="s">
        <v>955</v>
      </c>
      <c r="EE46" s="166"/>
      <c r="EF46" s="166"/>
      <c r="EG46" s="166"/>
      <c r="EH46" s="166"/>
      <c r="EI46" s="165"/>
      <c r="EJ46" s="165"/>
      <c r="EK46" s="165"/>
      <c r="EL46" s="165"/>
      <c r="EM46" s="167"/>
      <c r="EN46" s="168"/>
      <c r="EO46" s="166"/>
      <c r="EP46" s="166"/>
      <c r="EQ46" s="165"/>
      <c r="ER46" s="169"/>
      <c r="ES46" s="169"/>
      <c r="ET46" s="170"/>
      <c r="EU46" s="171"/>
      <c r="EV46" s="99"/>
      <c r="EW46" s="99"/>
      <c r="EX46" s="99"/>
      <c r="EY46" s="99"/>
      <c r="EZ46" s="104"/>
      <c r="FA46" s="172"/>
      <c r="FB46" s="173"/>
      <c r="FC46" s="135"/>
      <c r="FD46" s="131"/>
      <c r="FE46" s="135"/>
      <c r="FF46" s="131"/>
      <c r="FG46" s="174"/>
      <c r="FH46" s="99"/>
      <c r="FI46" s="149"/>
      <c r="FJ46" s="150"/>
      <c r="FK46" s="151"/>
      <c r="FL46" s="118"/>
      <c r="FM46" s="135"/>
      <c r="FN46" s="118"/>
      <c r="FO46" s="151"/>
      <c r="FP46" s="118"/>
      <c r="FQ46" s="151"/>
      <c r="FR46" s="118"/>
      <c r="FS46" s="135"/>
      <c r="FT46" s="131"/>
      <c r="FU46" s="174"/>
      <c r="FV46" s="99"/>
      <c r="FW46" s="135"/>
      <c r="FX46" s="104"/>
      <c r="FY46" s="103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 s="99"/>
      <c r="GL46" s="99"/>
      <c r="GM46" s="99"/>
      <c r="GN46" s="99"/>
      <c r="GO46" s="99"/>
      <c r="GP46" s="99"/>
      <c r="GQ46" s="99"/>
      <c r="GR46" s="99"/>
      <c r="GS46" s="99"/>
      <c r="GT46" s="99"/>
      <c r="GU46" s="99"/>
      <c r="GV46" s="104"/>
      <c r="GW46" s="103"/>
      <c r="GX46" s="99"/>
      <c r="GY46" s="99"/>
      <c r="GZ46" s="99"/>
      <c r="HA46" s="99"/>
      <c r="HB46" s="99"/>
      <c r="HC46" s="99"/>
      <c r="HD46" s="99"/>
      <c r="HE46" s="99"/>
      <c r="HF46" s="99"/>
      <c r="HG46" s="99"/>
      <c r="HH46" s="99"/>
      <c r="HI46" s="99"/>
      <c r="HJ46" s="99"/>
      <c r="HK46" s="99"/>
      <c r="HL46" s="99"/>
      <c r="HM46" s="99"/>
      <c r="HN46" s="99"/>
      <c r="HO46" s="99"/>
      <c r="HP46" s="99"/>
      <c r="HQ46" s="99"/>
      <c r="HR46" s="99"/>
      <c r="HS46" s="99"/>
      <c r="HT46" s="105"/>
      <c r="IG46" s="589"/>
      <c r="IH46" s="589"/>
      <c r="II46" s="589"/>
      <c r="IJ46" s="589"/>
      <c r="IK46" s="589"/>
      <c r="IL46" s="589"/>
      <c r="IM46" s="589"/>
      <c r="IN46" s="589"/>
      <c r="IO46" s="589"/>
      <c r="IP46" s="589"/>
      <c r="IQ46" s="589"/>
      <c r="IR46" s="589"/>
      <c r="JE46" s="589"/>
      <c r="JF46" s="589"/>
      <c r="JG46" s="589"/>
      <c r="JH46" s="589"/>
      <c r="JI46" s="589"/>
      <c r="JJ46" s="589"/>
      <c r="JK46" s="589"/>
      <c r="JL46" s="589"/>
      <c r="JM46" s="589"/>
      <c r="JN46" s="589"/>
      <c r="JO46" s="589"/>
      <c r="JP46" s="589"/>
    </row>
    <row r="47" spans="1:276" s="590" customFormat="1">
      <c r="A47" s="52">
        <f t="shared" si="2"/>
        <v>43</v>
      </c>
      <c r="B47" s="53" t="s">
        <v>206</v>
      </c>
      <c r="C47" s="54"/>
      <c r="D47" s="55" t="s">
        <v>961</v>
      </c>
      <c r="E47" s="106" t="s">
        <v>993</v>
      </c>
      <c r="F47" s="107"/>
      <c r="G47" s="58" t="s">
        <v>923</v>
      </c>
      <c r="H47" s="56" t="str">
        <f t="shared" si="20"/>
        <v>北投區</v>
      </c>
      <c r="I47" s="56" t="s">
        <v>922</v>
      </c>
      <c r="J47" s="56" t="s">
        <v>927</v>
      </c>
      <c r="K47" s="56" t="s">
        <v>921</v>
      </c>
      <c r="L47" s="59">
        <v>73.260000000000005</v>
      </c>
      <c r="M47" s="109" t="s">
        <v>228</v>
      </c>
      <c r="N47" s="60">
        <v>45550</v>
      </c>
      <c r="O47" s="60">
        <f t="shared" ref="O47:O52" si="21">N47+364</f>
        <v>45914</v>
      </c>
      <c r="P47" s="152">
        <v>15000</v>
      </c>
      <c r="Q47" s="111">
        <v>16000</v>
      </c>
      <c r="R47" s="112" t="s">
        <v>894</v>
      </c>
      <c r="S47" s="113">
        <v>2400</v>
      </c>
      <c r="T47" s="114" t="s">
        <v>894</v>
      </c>
      <c r="U47" s="71">
        <v>2400</v>
      </c>
      <c r="V47" s="73">
        <v>45646</v>
      </c>
      <c r="W47" s="71">
        <v>2400</v>
      </c>
      <c r="X47" s="73" t="s">
        <v>979</v>
      </c>
      <c r="Y47" s="71">
        <v>2400</v>
      </c>
      <c r="Z47" s="73" t="s">
        <v>1007</v>
      </c>
      <c r="AA47" s="71">
        <v>2400</v>
      </c>
      <c r="AB47" s="73" t="s">
        <v>1012</v>
      </c>
      <c r="AC47" s="71">
        <v>2400</v>
      </c>
      <c r="AD47" s="73" t="s">
        <v>1027</v>
      </c>
      <c r="AE47" s="71">
        <f t="shared" si="19"/>
        <v>2400</v>
      </c>
      <c r="AF47" s="73">
        <v>45797</v>
      </c>
      <c r="AG47" s="71">
        <f t="shared" si="12"/>
        <v>2400</v>
      </c>
      <c r="AH47" s="73">
        <v>45828</v>
      </c>
      <c r="AI47" s="135">
        <f>AG47</f>
        <v>2400</v>
      </c>
      <c r="AJ47" s="137">
        <v>45858</v>
      </c>
      <c r="AK47" s="71">
        <f t="shared" si="14"/>
        <v>2400</v>
      </c>
      <c r="AL47" s="73">
        <v>45889</v>
      </c>
      <c r="AM47" s="113">
        <v>2400</v>
      </c>
      <c r="AN47" s="114">
        <v>45920</v>
      </c>
      <c r="AO47" s="113">
        <v>2400</v>
      </c>
      <c r="AP47" s="112">
        <v>45950</v>
      </c>
      <c r="AQ47" s="154"/>
      <c r="AR47" s="155"/>
      <c r="AS47" s="156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7"/>
      <c r="BO47" s="154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8"/>
      <c r="CM47" s="159" t="s">
        <v>928</v>
      </c>
      <c r="CN47" s="160" t="s">
        <v>929</v>
      </c>
      <c r="CO47" s="161" t="s">
        <v>470</v>
      </c>
      <c r="CP47" s="162" t="s">
        <v>949</v>
      </c>
      <c r="CQ47" s="126" t="s">
        <v>950</v>
      </c>
      <c r="CR47" s="127"/>
      <c r="CS47" s="128"/>
      <c r="CT47" s="129"/>
      <c r="CU47" s="73"/>
      <c r="CV47" s="130"/>
      <c r="CW47" s="131"/>
      <c r="CX47" s="131"/>
      <c r="CY47" s="132"/>
      <c r="CZ47" s="148"/>
      <c r="DA47" s="134"/>
      <c r="DB47" s="135"/>
      <c r="DC47" s="137"/>
      <c r="DD47" s="135"/>
      <c r="DE47" s="137"/>
      <c r="DF47" s="135"/>
      <c r="DG47" s="137"/>
      <c r="DH47" s="92">
        <f t="shared" si="15"/>
        <v>10000</v>
      </c>
      <c r="DI47" s="138"/>
      <c r="DJ47" s="139"/>
      <c r="DK47" s="139"/>
      <c r="DL47" s="139"/>
      <c r="DM47" s="139"/>
      <c r="DN47" s="139"/>
      <c r="DO47" s="139"/>
      <c r="DP47" s="139"/>
      <c r="DQ47" s="140"/>
      <c r="DR47" s="138"/>
      <c r="DS47" s="139"/>
      <c r="DT47" s="139"/>
      <c r="DU47" s="139"/>
      <c r="DV47" s="139"/>
      <c r="DW47" s="139"/>
      <c r="DX47" s="139"/>
      <c r="DY47" s="139"/>
      <c r="DZ47" s="141"/>
      <c r="EA47" s="163" t="s">
        <v>932</v>
      </c>
      <c r="EB47" s="198" t="s">
        <v>933</v>
      </c>
      <c r="EC47" s="160" t="s">
        <v>952</v>
      </c>
      <c r="ED47" s="182" t="s">
        <v>951</v>
      </c>
      <c r="EE47" s="166" t="s">
        <v>953</v>
      </c>
      <c r="EF47" s="166" t="s">
        <v>954</v>
      </c>
      <c r="EG47" s="166" t="s">
        <v>437</v>
      </c>
      <c r="EH47" s="166"/>
      <c r="EI47" s="165"/>
      <c r="EJ47" s="165"/>
      <c r="EK47" s="165"/>
      <c r="EL47" s="165"/>
      <c r="EM47" s="167"/>
      <c r="EN47" s="168"/>
      <c r="EO47" s="166"/>
      <c r="EP47" s="166"/>
      <c r="EQ47" s="165"/>
      <c r="ER47" s="169"/>
      <c r="ES47" s="169"/>
      <c r="ET47" s="170"/>
      <c r="EU47" s="171"/>
      <c r="EV47" s="99"/>
      <c r="EW47" s="99"/>
      <c r="EX47" s="99"/>
      <c r="EY47" s="99"/>
      <c r="EZ47" s="104"/>
      <c r="FA47" s="172"/>
      <c r="FB47" s="173"/>
      <c r="FC47" s="135"/>
      <c r="FD47" s="131"/>
      <c r="FE47" s="135"/>
      <c r="FF47" s="131"/>
      <c r="FG47" s="174"/>
      <c r="FH47" s="99"/>
      <c r="FI47" s="149"/>
      <c r="FJ47" s="150"/>
      <c r="FK47" s="151"/>
      <c r="FL47" s="118"/>
      <c r="FM47" s="135"/>
      <c r="FN47" s="118"/>
      <c r="FO47" s="151"/>
      <c r="FP47" s="118"/>
      <c r="FQ47" s="151"/>
      <c r="FR47" s="118"/>
      <c r="FS47" s="135"/>
      <c r="FT47" s="131"/>
      <c r="FU47" s="174"/>
      <c r="FV47" s="99"/>
      <c r="FW47" s="135"/>
      <c r="FX47" s="104"/>
      <c r="FY47" s="103"/>
      <c r="FZ47" s="99"/>
      <c r="GA47" s="99"/>
      <c r="GB47" s="99"/>
      <c r="GC47" s="99"/>
      <c r="GD47" s="99"/>
      <c r="GE47" s="99"/>
      <c r="GF47" s="99"/>
      <c r="GG47" s="99"/>
      <c r="GH47" s="99"/>
      <c r="GI47" s="99"/>
      <c r="GJ47" s="99"/>
      <c r="GK47" s="99"/>
      <c r="GL47" s="99"/>
      <c r="GM47" s="99"/>
      <c r="GN47" s="99"/>
      <c r="GO47" s="99"/>
      <c r="GP47" s="99"/>
      <c r="GQ47" s="99"/>
      <c r="GR47" s="99"/>
      <c r="GS47" s="99"/>
      <c r="GT47" s="99"/>
      <c r="GU47" s="99"/>
      <c r="GV47" s="104"/>
      <c r="GW47" s="103"/>
      <c r="GX47" s="99"/>
      <c r="GY47" s="99"/>
      <c r="GZ47" s="99"/>
      <c r="HA47" s="99"/>
      <c r="HB47" s="99"/>
      <c r="HC47" s="99"/>
      <c r="HD47" s="99"/>
      <c r="HE47" s="99"/>
      <c r="HF47" s="99"/>
      <c r="HG47" s="99"/>
      <c r="HH47" s="99"/>
      <c r="HI47" s="99"/>
      <c r="HJ47" s="99"/>
      <c r="HK47" s="99"/>
      <c r="HL47" s="99"/>
      <c r="HM47" s="99"/>
      <c r="HN47" s="99"/>
      <c r="HO47" s="99"/>
      <c r="HP47" s="99"/>
      <c r="HQ47" s="99"/>
      <c r="HR47" s="99"/>
      <c r="HS47" s="99"/>
      <c r="HT47" s="105"/>
      <c r="IG47" s="589"/>
      <c r="IH47" s="589"/>
      <c r="II47" s="589"/>
      <c r="IJ47" s="589"/>
      <c r="IK47" s="589"/>
      <c r="IL47" s="589"/>
      <c r="IM47" s="589"/>
      <c r="IN47" s="589"/>
      <c r="IO47" s="589"/>
      <c r="IP47" s="589"/>
      <c r="IQ47" s="589"/>
      <c r="IR47" s="589"/>
      <c r="JE47" s="589"/>
      <c r="JF47" s="589"/>
      <c r="JG47" s="589"/>
      <c r="JH47" s="589"/>
      <c r="JI47" s="589"/>
      <c r="JJ47" s="589"/>
      <c r="JK47" s="589"/>
      <c r="JL47" s="589"/>
      <c r="JM47" s="589"/>
      <c r="JN47" s="589"/>
      <c r="JO47" s="589"/>
      <c r="JP47" s="589"/>
    </row>
    <row r="48" spans="1:276" s="590" customFormat="1">
      <c r="A48" s="52">
        <f t="shared" si="2"/>
        <v>44</v>
      </c>
      <c r="B48" s="53" t="s">
        <v>206</v>
      </c>
      <c r="C48" s="54"/>
      <c r="D48" s="55" t="s">
        <v>962</v>
      </c>
      <c r="E48" s="106" t="s">
        <v>916</v>
      </c>
      <c r="F48" s="107" t="s">
        <v>1250</v>
      </c>
      <c r="G48" s="58" t="s">
        <v>963</v>
      </c>
      <c r="H48" s="56" t="str">
        <f t="shared" si="20"/>
        <v>士林區</v>
      </c>
      <c r="I48" s="56" t="s">
        <v>964</v>
      </c>
      <c r="J48" s="56" t="s">
        <v>965</v>
      </c>
      <c r="K48" s="56" t="s">
        <v>966</v>
      </c>
      <c r="L48" s="59">
        <v>98.75</v>
      </c>
      <c r="M48" s="56" t="s">
        <v>228</v>
      </c>
      <c r="N48" s="60">
        <v>45570</v>
      </c>
      <c r="O48" s="60">
        <f t="shared" si="21"/>
        <v>45934</v>
      </c>
      <c r="P48" s="152">
        <v>23000</v>
      </c>
      <c r="Q48" s="111">
        <v>16000</v>
      </c>
      <c r="R48" s="112">
        <v>45646</v>
      </c>
      <c r="S48" s="113">
        <v>2400</v>
      </c>
      <c r="T48" s="114">
        <v>45646</v>
      </c>
      <c r="U48" s="71">
        <v>2400</v>
      </c>
      <c r="V48" s="73" t="s">
        <v>979</v>
      </c>
      <c r="W48" s="71">
        <v>2400</v>
      </c>
      <c r="X48" s="73" t="s">
        <v>1007</v>
      </c>
      <c r="Y48" s="71">
        <v>2400</v>
      </c>
      <c r="Z48" s="73" t="s">
        <v>1012</v>
      </c>
      <c r="AA48" s="71">
        <v>2400</v>
      </c>
      <c r="AB48" s="73" t="s">
        <v>1027</v>
      </c>
      <c r="AC48" s="71">
        <f>AA48</f>
        <v>2400</v>
      </c>
      <c r="AD48" s="73">
        <v>45797</v>
      </c>
      <c r="AE48" s="71">
        <f>AC48</f>
        <v>2400</v>
      </c>
      <c r="AF48" s="73">
        <v>45828</v>
      </c>
      <c r="AG48" s="135">
        <f>AE48</f>
        <v>2400</v>
      </c>
      <c r="AH48" s="137">
        <v>45858</v>
      </c>
      <c r="AI48" s="71">
        <f>AG48</f>
        <v>2400</v>
      </c>
      <c r="AJ48" s="73">
        <v>45889</v>
      </c>
      <c r="AK48" s="113">
        <v>2400</v>
      </c>
      <c r="AL48" s="114">
        <v>45920</v>
      </c>
      <c r="AM48" s="113">
        <v>2400</v>
      </c>
      <c r="AN48" s="112">
        <v>45950</v>
      </c>
      <c r="AO48" s="71">
        <v>2400</v>
      </c>
      <c r="AP48" s="73">
        <v>45981</v>
      </c>
      <c r="AQ48" s="117"/>
      <c r="AR48" s="118"/>
      <c r="AS48" s="119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20"/>
      <c r="BO48" s="117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21"/>
      <c r="CM48" s="159" t="s">
        <v>967</v>
      </c>
      <c r="CN48" s="160" t="s">
        <v>968</v>
      </c>
      <c r="CO48" s="161" t="s">
        <v>969</v>
      </c>
      <c r="CP48" s="162" t="s">
        <v>970</v>
      </c>
      <c r="CQ48" s="126" t="s">
        <v>975</v>
      </c>
      <c r="CR48" s="127"/>
      <c r="CS48" s="128"/>
      <c r="CT48" s="129"/>
      <c r="CU48" s="73"/>
      <c r="CV48" s="130"/>
      <c r="CW48" s="131"/>
      <c r="CX48" s="131"/>
      <c r="CY48" s="132"/>
      <c r="CZ48" s="148">
        <v>9000</v>
      </c>
      <c r="DA48" s="134" t="s">
        <v>1011</v>
      </c>
      <c r="DB48" s="135">
        <v>1000</v>
      </c>
      <c r="DC48" s="136">
        <v>45828</v>
      </c>
      <c r="DD48" s="135"/>
      <c r="DE48" s="137"/>
      <c r="DF48" s="135"/>
      <c r="DG48" s="137"/>
      <c r="DH48" s="92">
        <f t="shared" ref="DH48:DH57" si="22">10000-DF48-DD48-DB48-CZ48</f>
        <v>0</v>
      </c>
      <c r="DI48" s="138"/>
      <c r="DJ48" s="139"/>
      <c r="DK48" s="139"/>
      <c r="DL48" s="139"/>
      <c r="DM48" s="139"/>
      <c r="DN48" s="139"/>
      <c r="DO48" s="139"/>
      <c r="DP48" s="139"/>
      <c r="DQ48" s="140"/>
      <c r="DR48" s="138"/>
      <c r="DS48" s="139"/>
      <c r="DT48" s="139"/>
      <c r="DU48" s="139"/>
      <c r="DV48" s="139"/>
      <c r="DW48" s="139"/>
      <c r="DX48" s="139"/>
      <c r="DY48" s="139"/>
      <c r="DZ48" s="141"/>
      <c r="EA48" s="163" t="s">
        <v>971</v>
      </c>
      <c r="EB48" s="198" t="s">
        <v>972</v>
      </c>
      <c r="EC48" s="160" t="s">
        <v>973</v>
      </c>
      <c r="ED48" s="182" t="s">
        <v>974</v>
      </c>
      <c r="EE48" s="166"/>
      <c r="EF48" s="166"/>
      <c r="EG48" s="166"/>
      <c r="EH48" s="166"/>
      <c r="EI48" s="165"/>
      <c r="EJ48" s="165"/>
      <c r="EK48" s="165"/>
      <c r="EL48" s="165"/>
      <c r="EM48" s="167"/>
      <c r="EN48" s="168"/>
      <c r="EO48" s="166"/>
      <c r="EP48" s="166"/>
      <c r="EQ48" s="165"/>
      <c r="ER48" s="169"/>
      <c r="ES48" s="169"/>
      <c r="ET48" s="170"/>
      <c r="EU48" s="171"/>
      <c r="EV48" s="99"/>
      <c r="EW48" s="99"/>
      <c r="EX48" s="99"/>
      <c r="EY48" s="99"/>
      <c r="EZ48" s="104"/>
      <c r="FA48" s="172"/>
      <c r="FB48" s="173"/>
      <c r="FC48" s="135"/>
      <c r="FD48" s="131"/>
      <c r="FE48" s="135"/>
      <c r="FF48" s="131"/>
      <c r="FG48" s="174"/>
      <c r="FH48" s="99"/>
      <c r="FI48" s="149"/>
      <c r="FJ48" s="150"/>
      <c r="FK48" s="151"/>
      <c r="FL48" s="118"/>
      <c r="FM48" s="135"/>
      <c r="FN48" s="118"/>
      <c r="FO48" s="151"/>
      <c r="FP48" s="118"/>
      <c r="FQ48" s="151"/>
      <c r="FR48" s="118"/>
      <c r="FS48" s="135"/>
      <c r="FT48" s="131"/>
      <c r="FU48" s="174"/>
      <c r="FV48" s="99"/>
      <c r="FW48" s="135"/>
      <c r="FX48" s="104"/>
      <c r="FY48" s="103"/>
      <c r="FZ48" s="99"/>
      <c r="GA48" s="99"/>
      <c r="GB48" s="99"/>
      <c r="GC48" s="99"/>
      <c r="GD48" s="99"/>
      <c r="GE48" s="99"/>
      <c r="GF48" s="99"/>
      <c r="GG48" s="99"/>
      <c r="GH48" s="99"/>
      <c r="GI48" s="99"/>
      <c r="GJ48" s="99"/>
      <c r="GK48" s="99"/>
      <c r="GL48" s="99"/>
      <c r="GM48" s="99"/>
      <c r="GN48" s="99"/>
      <c r="GO48" s="99"/>
      <c r="GP48" s="99"/>
      <c r="GQ48" s="99"/>
      <c r="GR48" s="99"/>
      <c r="GS48" s="99"/>
      <c r="GT48" s="99"/>
      <c r="GU48" s="99"/>
      <c r="GV48" s="104"/>
      <c r="GW48" s="103"/>
      <c r="GX48" s="99"/>
      <c r="GY48" s="99"/>
      <c r="GZ48" s="99"/>
      <c r="HA48" s="99"/>
      <c r="HB48" s="99"/>
      <c r="HC48" s="99"/>
      <c r="HD48" s="99"/>
      <c r="HE48" s="99"/>
      <c r="HF48" s="99"/>
      <c r="HG48" s="99"/>
      <c r="HH48" s="99"/>
      <c r="HI48" s="99"/>
      <c r="HJ48" s="99"/>
      <c r="HK48" s="99"/>
      <c r="HL48" s="99"/>
      <c r="HM48" s="99"/>
      <c r="HN48" s="99"/>
      <c r="HO48" s="99"/>
      <c r="HP48" s="99"/>
      <c r="HQ48" s="99"/>
      <c r="HR48" s="99"/>
      <c r="HS48" s="99"/>
      <c r="HT48" s="105"/>
      <c r="IG48" s="589"/>
      <c r="IH48" s="589"/>
      <c r="II48" s="589"/>
      <c r="IJ48" s="589"/>
      <c r="IK48" s="589"/>
      <c r="IL48" s="589"/>
      <c r="IM48" s="589"/>
      <c r="IN48" s="589"/>
      <c r="IO48" s="589"/>
      <c r="IP48" s="589"/>
      <c r="IQ48" s="589"/>
      <c r="IR48" s="589"/>
      <c r="JE48" s="589"/>
      <c r="JF48" s="589"/>
      <c r="JG48" s="589"/>
      <c r="JH48" s="589"/>
      <c r="JI48" s="589"/>
      <c r="JJ48" s="589"/>
      <c r="JK48" s="589"/>
      <c r="JL48" s="589"/>
      <c r="JM48" s="589"/>
      <c r="JN48" s="589"/>
      <c r="JO48" s="589"/>
      <c r="JP48" s="589"/>
    </row>
    <row r="49" spans="1:276" s="590" customFormat="1">
      <c r="A49" s="52">
        <f t="shared" si="2"/>
        <v>45</v>
      </c>
      <c r="B49" s="53" t="s">
        <v>206</v>
      </c>
      <c r="C49" s="54"/>
      <c r="D49" s="55" t="s">
        <v>981</v>
      </c>
      <c r="E49" s="106" t="s">
        <v>993</v>
      </c>
      <c r="F49" s="107"/>
      <c r="G49" s="58" t="s">
        <v>982</v>
      </c>
      <c r="H49" s="56" t="str">
        <f t="shared" si="20"/>
        <v>中山區</v>
      </c>
      <c r="I49" s="56" t="s">
        <v>983</v>
      </c>
      <c r="J49" s="56" t="s">
        <v>984</v>
      </c>
      <c r="K49" s="56" t="s">
        <v>985</v>
      </c>
      <c r="L49" s="59">
        <v>89.99</v>
      </c>
      <c r="M49" s="56" t="s">
        <v>986</v>
      </c>
      <c r="N49" s="60">
        <v>45612</v>
      </c>
      <c r="O49" s="60">
        <f t="shared" si="21"/>
        <v>45976</v>
      </c>
      <c r="P49" s="152">
        <v>32000</v>
      </c>
      <c r="Q49" s="111">
        <v>4000</v>
      </c>
      <c r="R49" s="112" t="s">
        <v>987</v>
      </c>
      <c r="S49" s="113">
        <v>2400</v>
      </c>
      <c r="T49" s="114" t="s">
        <v>987</v>
      </c>
      <c r="U49" s="71">
        <v>2400</v>
      </c>
      <c r="V49" s="73" t="s">
        <v>1007</v>
      </c>
      <c r="W49" s="71">
        <v>2400</v>
      </c>
      <c r="X49" s="73" t="s">
        <v>1012</v>
      </c>
      <c r="Y49" s="71">
        <v>2400</v>
      </c>
      <c r="Z49" s="73" t="s">
        <v>1027</v>
      </c>
      <c r="AA49" s="71">
        <f>Y49</f>
        <v>2400</v>
      </c>
      <c r="AB49" s="73">
        <v>45797</v>
      </c>
      <c r="AC49" s="71">
        <f>AA49</f>
        <v>2400</v>
      </c>
      <c r="AD49" s="73">
        <v>45828</v>
      </c>
      <c r="AE49" s="135">
        <f>AC49</f>
        <v>2400</v>
      </c>
      <c r="AF49" s="137">
        <v>45858</v>
      </c>
      <c r="AG49" s="71">
        <f>AE49</f>
        <v>2400</v>
      </c>
      <c r="AH49" s="73">
        <v>45889</v>
      </c>
      <c r="AI49" s="113">
        <v>2400</v>
      </c>
      <c r="AJ49" s="114">
        <v>45920</v>
      </c>
      <c r="AK49" s="113">
        <v>2400</v>
      </c>
      <c r="AL49" s="112">
        <v>45950</v>
      </c>
      <c r="AM49" s="71">
        <v>2400</v>
      </c>
      <c r="AN49" s="73">
        <v>45981</v>
      </c>
      <c r="AO49" s="71">
        <v>2400</v>
      </c>
      <c r="AP49" s="73">
        <v>46011</v>
      </c>
      <c r="AQ49" s="117"/>
      <c r="AR49" s="118"/>
      <c r="AS49" s="119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20"/>
      <c r="BO49" s="117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21"/>
      <c r="CM49" s="159" t="s">
        <v>988</v>
      </c>
      <c r="CN49" s="160" t="s">
        <v>989</v>
      </c>
      <c r="CO49" s="161" t="s">
        <v>996</v>
      </c>
      <c r="CP49" s="162" t="s">
        <v>997</v>
      </c>
      <c r="CQ49" s="126" t="s">
        <v>998</v>
      </c>
      <c r="CR49" s="127" t="s">
        <v>999</v>
      </c>
      <c r="CS49" s="128" t="s">
        <v>1000</v>
      </c>
      <c r="CT49" s="129"/>
      <c r="CU49" s="73"/>
      <c r="CV49" s="130"/>
      <c r="CW49" s="131"/>
      <c r="CX49" s="131"/>
      <c r="CY49" s="132"/>
      <c r="CZ49" s="148">
        <v>3000</v>
      </c>
      <c r="DA49" s="134" t="s">
        <v>1011</v>
      </c>
      <c r="DB49" s="135">
        <v>2800</v>
      </c>
      <c r="DC49" s="136">
        <v>45767</v>
      </c>
      <c r="DD49" s="135">
        <v>4200</v>
      </c>
      <c r="DE49" s="137">
        <v>45858</v>
      </c>
      <c r="DF49" s="135"/>
      <c r="DG49" s="137"/>
      <c r="DH49" s="92">
        <f t="shared" si="22"/>
        <v>0</v>
      </c>
      <c r="DI49" s="138"/>
      <c r="DJ49" s="139"/>
      <c r="DK49" s="139"/>
      <c r="DL49" s="139"/>
      <c r="DM49" s="139"/>
      <c r="DN49" s="139"/>
      <c r="DO49" s="139"/>
      <c r="DP49" s="139"/>
      <c r="DQ49" s="140"/>
      <c r="DR49" s="138"/>
      <c r="DS49" s="139"/>
      <c r="DT49" s="139"/>
      <c r="DU49" s="139"/>
      <c r="DV49" s="139"/>
      <c r="DW49" s="139"/>
      <c r="DX49" s="139"/>
      <c r="DY49" s="139"/>
      <c r="DZ49" s="141"/>
      <c r="EA49" s="163" t="s">
        <v>990</v>
      </c>
      <c r="EB49" s="198" t="s">
        <v>991</v>
      </c>
      <c r="EC49" s="160" t="s">
        <v>1001</v>
      </c>
      <c r="ED49" s="182" t="s">
        <v>1002</v>
      </c>
      <c r="EE49" s="166"/>
      <c r="EF49" s="166"/>
      <c r="EG49" s="166"/>
      <c r="EH49" s="166"/>
      <c r="EI49" s="165"/>
      <c r="EJ49" s="165"/>
      <c r="EK49" s="165"/>
      <c r="EL49" s="165"/>
      <c r="EM49" s="167"/>
      <c r="EN49" s="168"/>
      <c r="EO49" s="166"/>
      <c r="EP49" s="166"/>
      <c r="EQ49" s="165"/>
      <c r="ER49" s="169"/>
      <c r="ES49" s="169"/>
      <c r="ET49" s="170"/>
      <c r="EU49" s="171"/>
      <c r="EV49" s="99"/>
      <c r="EW49" s="99"/>
      <c r="EX49" s="99"/>
      <c r="EY49" s="99"/>
      <c r="EZ49" s="104"/>
      <c r="FA49" s="172"/>
      <c r="FB49" s="173"/>
      <c r="FC49" s="135"/>
      <c r="FD49" s="131"/>
      <c r="FE49" s="135"/>
      <c r="FF49" s="131"/>
      <c r="FG49" s="174"/>
      <c r="FH49" s="99"/>
      <c r="FI49" s="149"/>
      <c r="FJ49" s="150"/>
      <c r="FK49" s="151"/>
      <c r="FL49" s="118"/>
      <c r="FM49" s="135"/>
      <c r="FN49" s="118"/>
      <c r="FO49" s="151"/>
      <c r="FP49" s="118"/>
      <c r="FQ49" s="151"/>
      <c r="FR49" s="118"/>
      <c r="FS49" s="135"/>
      <c r="FT49" s="131"/>
      <c r="FU49" s="174"/>
      <c r="FV49" s="99"/>
      <c r="FW49" s="135"/>
      <c r="FX49" s="104"/>
      <c r="FY49" s="103"/>
      <c r="FZ49" s="99"/>
      <c r="GA49" s="99"/>
      <c r="GB49" s="99"/>
      <c r="GC49" s="99"/>
      <c r="GD49" s="99"/>
      <c r="GE49" s="99"/>
      <c r="GF49" s="99"/>
      <c r="GG49" s="99"/>
      <c r="GH49" s="99"/>
      <c r="GI49" s="99"/>
      <c r="GJ49" s="99"/>
      <c r="GK49" s="99"/>
      <c r="GL49" s="99"/>
      <c r="GM49" s="99"/>
      <c r="GN49" s="99"/>
      <c r="GO49" s="99"/>
      <c r="GP49" s="99"/>
      <c r="GQ49" s="99"/>
      <c r="GR49" s="99"/>
      <c r="GS49" s="99"/>
      <c r="GT49" s="99"/>
      <c r="GU49" s="99"/>
      <c r="GV49" s="104"/>
      <c r="GW49" s="103"/>
      <c r="GX49" s="99"/>
      <c r="GY49" s="99"/>
      <c r="GZ49" s="99"/>
      <c r="HA49" s="99"/>
      <c r="HB49" s="99"/>
      <c r="HC49" s="99"/>
      <c r="HD49" s="99"/>
      <c r="HE49" s="99"/>
      <c r="HF49" s="99"/>
      <c r="HG49" s="99"/>
      <c r="HH49" s="99"/>
      <c r="HI49" s="99"/>
      <c r="HJ49" s="99"/>
      <c r="HK49" s="99"/>
      <c r="HL49" s="99"/>
      <c r="HM49" s="99"/>
      <c r="HN49" s="99"/>
      <c r="HO49" s="99"/>
      <c r="HP49" s="99"/>
      <c r="HQ49" s="99"/>
      <c r="HR49" s="99"/>
      <c r="HS49" s="99"/>
      <c r="HT49" s="105"/>
      <c r="IG49" s="589"/>
      <c r="IH49" s="589"/>
      <c r="II49" s="589"/>
      <c r="IJ49" s="589"/>
      <c r="IK49" s="589"/>
      <c r="IL49" s="589"/>
      <c r="IM49" s="589"/>
      <c r="IN49" s="589"/>
      <c r="IO49" s="589"/>
      <c r="IP49" s="589"/>
      <c r="IQ49" s="589"/>
      <c r="IR49" s="589"/>
      <c r="JE49" s="589"/>
      <c r="JF49" s="589"/>
      <c r="JG49" s="589"/>
      <c r="JH49" s="589"/>
      <c r="JI49" s="589"/>
      <c r="JJ49" s="589"/>
      <c r="JK49" s="589"/>
      <c r="JL49" s="589"/>
      <c r="JM49" s="589"/>
      <c r="JN49" s="589"/>
      <c r="JO49" s="589"/>
      <c r="JP49" s="589"/>
    </row>
    <row r="50" spans="1:276" s="590" customFormat="1">
      <c r="A50" s="52">
        <f t="shared" si="2"/>
        <v>46</v>
      </c>
      <c r="B50" s="53" t="s">
        <v>206</v>
      </c>
      <c r="C50" s="54"/>
      <c r="D50" s="55" t="s">
        <v>1013</v>
      </c>
      <c r="E50" s="106" t="s">
        <v>993</v>
      </c>
      <c r="F50" s="107"/>
      <c r="G50" s="58" t="s">
        <v>1014</v>
      </c>
      <c r="H50" s="56" t="str">
        <f t="shared" si="20"/>
        <v>士林區</v>
      </c>
      <c r="I50" s="56" t="s">
        <v>1015</v>
      </c>
      <c r="J50" s="56" t="s">
        <v>1016</v>
      </c>
      <c r="K50" s="56" t="s">
        <v>1017</v>
      </c>
      <c r="L50" s="59">
        <v>107.65</v>
      </c>
      <c r="M50" s="56" t="s">
        <v>1018</v>
      </c>
      <c r="N50" s="60">
        <v>45667</v>
      </c>
      <c r="O50" s="60">
        <f t="shared" si="21"/>
        <v>46031</v>
      </c>
      <c r="P50" s="152">
        <v>22000</v>
      </c>
      <c r="Q50" s="111">
        <v>4000</v>
      </c>
      <c r="R50" s="112">
        <v>45736</v>
      </c>
      <c r="S50" s="113">
        <v>2400</v>
      </c>
      <c r="T50" s="114">
        <v>45736</v>
      </c>
      <c r="U50" s="71">
        <v>2400</v>
      </c>
      <c r="V50" s="73" t="s">
        <v>1027</v>
      </c>
      <c r="W50" s="71">
        <f>U50</f>
        <v>2400</v>
      </c>
      <c r="X50" s="73">
        <v>45797</v>
      </c>
      <c r="Y50" s="71">
        <f>W50</f>
        <v>2400</v>
      </c>
      <c r="Z50" s="73">
        <v>45828</v>
      </c>
      <c r="AA50" s="135">
        <f>Y50</f>
        <v>2400</v>
      </c>
      <c r="AB50" s="137">
        <v>45858</v>
      </c>
      <c r="AC50" s="71">
        <f>AA50</f>
        <v>2400</v>
      </c>
      <c r="AD50" s="73">
        <v>45889</v>
      </c>
      <c r="AE50" s="113">
        <v>2400</v>
      </c>
      <c r="AF50" s="114">
        <v>45920</v>
      </c>
      <c r="AG50" s="113">
        <v>2400</v>
      </c>
      <c r="AH50" s="112">
        <v>45950</v>
      </c>
      <c r="AI50" s="71">
        <v>2400</v>
      </c>
      <c r="AJ50" s="73">
        <v>45981</v>
      </c>
      <c r="AK50" s="71">
        <v>2400</v>
      </c>
      <c r="AL50" s="73">
        <v>46011</v>
      </c>
      <c r="AM50" s="71">
        <f t="shared" ref="AM50" si="23">AK50</f>
        <v>2400</v>
      </c>
      <c r="AN50" s="73" t="s">
        <v>1195</v>
      </c>
      <c r="AO50" s="71">
        <v>2400</v>
      </c>
      <c r="AP50" s="73" t="s">
        <v>1204</v>
      </c>
      <c r="AQ50" s="117"/>
      <c r="AR50" s="118"/>
      <c r="AS50" s="119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20"/>
      <c r="BO50" s="117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21"/>
      <c r="CM50" s="159" t="s">
        <v>371</v>
      </c>
      <c r="CN50" s="160" t="s">
        <v>372</v>
      </c>
      <c r="CO50" s="161" t="s">
        <v>1021</v>
      </c>
      <c r="CP50" s="162" t="s">
        <v>1022</v>
      </c>
      <c r="CQ50" s="126" t="s">
        <v>374</v>
      </c>
      <c r="CR50" s="127"/>
      <c r="CS50" s="128"/>
      <c r="CT50" s="129">
        <v>3300</v>
      </c>
      <c r="CU50" s="73">
        <v>45736</v>
      </c>
      <c r="CV50" s="130"/>
      <c r="CW50" s="131"/>
      <c r="CX50" s="131"/>
      <c r="CY50" s="132"/>
      <c r="CZ50" s="148">
        <v>3493</v>
      </c>
      <c r="DA50" s="134">
        <v>45797</v>
      </c>
      <c r="DB50" s="135">
        <v>3150</v>
      </c>
      <c r="DC50" s="137">
        <v>45981</v>
      </c>
      <c r="DD50" s="135"/>
      <c r="DE50" s="137"/>
      <c r="DF50" s="135"/>
      <c r="DG50" s="137"/>
      <c r="DH50" s="92">
        <f t="shared" si="22"/>
        <v>3357</v>
      </c>
      <c r="DI50" s="138"/>
      <c r="DJ50" s="139"/>
      <c r="DK50" s="139"/>
      <c r="DL50" s="139"/>
      <c r="DM50" s="139"/>
      <c r="DN50" s="139"/>
      <c r="DO50" s="139"/>
      <c r="DP50" s="139"/>
      <c r="DQ50" s="140"/>
      <c r="DR50" s="138"/>
      <c r="DS50" s="139"/>
      <c r="DT50" s="139"/>
      <c r="DU50" s="139"/>
      <c r="DV50" s="139"/>
      <c r="DW50" s="139"/>
      <c r="DX50" s="139"/>
      <c r="DY50" s="139"/>
      <c r="DZ50" s="141"/>
      <c r="EA50" s="163" t="s">
        <v>1019</v>
      </c>
      <c r="EB50" s="198" t="s">
        <v>1020</v>
      </c>
      <c r="EC50" s="160" t="s">
        <v>1023</v>
      </c>
      <c r="ED50" s="182" t="s">
        <v>1024</v>
      </c>
      <c r="EE50" s="166"/>
      <c r="EF50" s="166"/>
      <c r="EG50" s="166"/>
      <c r="EH50" s="166"/>
      <c r="EI50" s="165"/>
      <c r="EJ50" s="165"/>
      <c r="EK50" s="165"/>
      <c r="EL50" s="165"/>
      <c r="EM50" s="167"/>
      <c r="EN50" s="168"/>
      <c r="EO50" s="166"/>
      <c r="EP50" s="166"/>
      <c r="EQ50" s="165"/>
      <c r="ER50" s="169"/>
      <c r="ES50" s="169"/>
      <c r="ET50" s="170"/>
      <c r="EU50" s="171"/>
      <c r="EV50" s="99"/>
      <c r="EW50" s="99"/>
      <c r="EX50" s="99"/>
      <c r="EY50" s="99"/>
      <c r="EZ50" s="104"/>
      <c r="FA50" s="172"/>
      <c r="FB50" s="173"/>
      <c r="FC50" s="135"/>
      <c r="FD50" s="131"/>
      <c r="FE50" s="135"/>
      <c r="FF50" s="131"/>
      <c r="FG50" s="174"/>
      <c r="FH50" s="99"/>
      <c r="FI50" s="149"/>
      <c r="FJ50" s="150"/>
      <c r="FK50" s="151"/>
      <c r="FL50" s="118"/>
      <c r="FM50" s="135"/>
      <c r="FN50" s="118"/>
      <c r="FO50" s="151"/>
      <c r="FP50" s="118"/>
      <c r="FQ50" s="151"/>
      <c r="FR50" s="118"/>
      <c r="FS50" s="135"/>
      <c r="FT50" s="131"/>
      <c r="FU50" s="174"/>
      <c r="FV50" s="99"/>
      <c r="FW50" s="135"/>
      <c r="FX50" s="104"/>
      <c r="FY50" s="103"/>
      <c r="FZ50" s="99"/>
      <c r="GA50" s="99"/>
      <c r="GB50" s="99"/>
      <c r="GC50" s="99"/>
      <c r="GD50" s="99"/>
      <c r="GE50" s="99"/>
      <c r="GF50" s="99"/>
      <c r="GG50" s="99"/>
      <c r="GH50" s="99"/>
      <c r="GI50" s="99"/>
      <c r="GJ50" s="99"/>
      <c r="GK50" s="99"/>
      <c r="GL50" s="99"/>
      <c r="GM50" s="99"/>
      <c r="GN50" s="99"/>
      <c r="GO50" s="99"/>
      <c r="GP50" s="99"/>
      <c r="GQ50" s="99"/>
      <c r="GR50" s="99"/>
      <c r="GS50" s="99"/>
      <c r="GT50" s="99"/>
      <c r="GU50" s="99"/>
      <c r="GV50" s="104"/>
      <c r="GW50" s="103"/>
      <c r="GX50" s="99"/>
      <c r="GY50" s="99"/>
      <c r="GZ50" s="99"/>
      <c r="HA50" s="99"/>
      <c r="HB50" s="99"/>
      <c r="HC50" s="99"/>
      <c r="HD50" s="99"/>
      <c r="HE50" s="99"/>
      <c r="HF50" s="99"/>
      <c r="HG50" s="99"/>
      <c r="HH50" s="99"/>
      <c r="HI50" s="99"/>
      <c r="HJ50" s="99"/>
      <c r="HK50" s="99"/>
      <c r="HL50" s="99"/>
      <c r="HM50" s="99"/>
      <c r="HN50" s="99"/>
      <c r="HO50" s="99"/>
      <c r="HP50" s="99"/>
      <c r="HQ50" s="99"/>
      <c r="HR50" s="99"/>
      <c r="HS50" s="99"/>
      <c r="HT50" s="105"/>
      <c r="IG50" s="589"/>
      <c r="IH50" s="589"/>
      <c r="II50" s="589"/>
      <c r="IJ50" s="589"/>
      <c r="IK50" s="589"/>
      <c r="IL50" s="589"/>
      <c r="IM50" s="589"/>
      <c r="IN50" s="589"/>
      <c r="IO50" s="589"/>
      <c r="IP50" s="589"/>
      <c r="IQ50" s="589"/>
      <c r="IR50" s="589"/>
      <c r="JE50" s="589"/>
      <c r="JF50" s="589"/>
      <c r="JG50" s="589"/>
      <c r="JH50" s="589"/>
      <c r="JI50" s="589"/>
      <c r="JJ50" s="589"/>
      <c r="JK50" s="589"/>
      <c r="JL50" s="589"/>
      <c r="JM50" s="589"/>
      <c r="JN50" s="589"/>
      <c r="JO50" s="589"/>
      <c r="JP50" s="589"/>
    </row>
    <row r="51" spans="1:276" s="590" customFormat="1">
      <c r="A51" s="52">
        <f t="shared" si="2"/>
        <v>47</v>
      </c>
      <c r="B51" s="53" t="s">
        <v>206</v>
      </c>
      <c r="C51" s="54"/>
      <c r="D51" s="55" t="s">
        <v>1060</v>
      </c>
      <c r="E51" s="106" t="s">
        <v>701</v>
      </c>
      <c r="F51" s="107">
        <v>45890</v>
      </c>
      <c r="G51" s="58" t="s">
        <v>269</v>
      </c>
      <c r="H51" s="56" t="str">
        <f t="shared" si="20"/>
        <v>士林區</v>
      </c>
      <c r="I51" s="56" t="s">
        <v>1061</v>
      </c>
      <c r="J51" s="56" t="s">
        <v>1062</v>
      </c>
      <c r="K51" s="56" t="s">
        <v>1063</v>
      </c>
      <c r="L51" s="59">
        <v>65.319999999999993</v>
      </c>
      <c r="M51" s="56" t="s">
        <v>1064</v>
      </c>
      <c r="N51" s="60">
        <v>45828</v>
      </c>
      <c r="O51" s="60">
        <f t="shared" si="21"/>
        <v>46192</v>
      </c>
      <c r="P51" s="152">
        <v>34000</v>
      </c>
      <c r="Q51" s="111">
        <v>4000</v>
      </c>
      <c r="R51" s="112">
        <v>45889</v>
      </c>
      <c r="S51" s="113">
        <v>2400</v>
      </c>
      <c r="T51" s="114">
        <v>45889</v>
      </c>
      <c r="U51" s="113">
        <v>2400</v>
      </c>
      <c r="V51" s="114">
        <v>45920</v>
      </c>
      <c r="W51" s="113">
        <v>2400</v>
      </c>
      <c r="X51" s="112">
        <v>45950</v>
      </c>
      <c r="Y51" s="71" t="s">
        <v>1173</v>
      </c>
      <c r="Z51" s="73" t="s">
        <v>1173</v>
      </c>
      <c r="AA51" s="71" t="s">
        <v>1173</v>
      </c>
      <c r="AB51" s="134" t="s">
        <v>1173</v>
      </c>
      <c r="AC51" s="71" t="s">
        <v>1173</v>
      </c>
      <c r="AD51" s="73" t="s">
        <v>1173</v>
      </c>
      <c r="AE51" s="71" t="s">
        <v>1173</v>
      </c>
      <c r="AF51" s="72" t="s">
        <v>1173</v>
      </c>
      <c r="AG51" s="71" t="s">
        <v>1173</v>
      </c>
      <c r="AH51" s="72" t="s">
        <v>1173</v>
      </c>
      <c r="AI51" s="71" t="s">
        <v>1173</v>
      </c>
      <c r="AJ51" s="72" t="s">
        <v>1173</v>
      </c>
      <c r="AK51" s="71" t="s">
        <v>1173</v>
      </c>
      <c r="AL51" s="72" t="s">
        <v>1173</v>
      </c>
      <c r="AM51" s="71" t="s">
        <v>1173</v>
      </c>
      <c r="AN51" s="73" t="s">
        <v>1173</v>
      </c>
      <c r="AO51" s="71" t="s">
        <v>1173</v>
      </c>
      <c r="AP51" s="73" t="s">
        <v>1173</v>
      </c>
      <c r="AQ51" s="117"/>
      <c r="AR51" s="118"/>
      <c r="AS51" s="119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20"/>
      <c r="BO51" s="117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21"/>
      <c r="CM51" s="159" t="s">
        <v>343</v>
      </c>
      <c r="CN51" s="160" t="s">
        <v>344</v>
      </c>
      <c r="CO51" s="161" t="s">
        <v>1065</v>
      </c>
      <c r="CP51" s="162" t="s">
        <v>345</v>
      </c>
      <c r="CQ51" s="126" t="s">
        <v>269</v>
      </c>
      <c r="CR51" s="127"/>
      <c r="CS51" s="128"/>
      <c r="CT51" s="129">
        <v>3300</v>
      </c>
      <c r="CU51" s="73">
        <v>45889</v>
      </c>
      <c r="CV51" s="130"/>
      <c r="CW51" s="131"/>
      <c r="CX51" s="131"/>
      <c r="CY51" s="132"/>
      <c r="CZ51" s="148"/>
      <c r="DA51" s="134"/>
      <c r="DB51" s="135"/>
      <c r="DC51" s="136"/>
      <c r="DD51" s="135"/>
      <c r="DE51" s="137"/>
      <c r="DF51" s="135"/>
      <c r="DG51" s="137"/>
      <c r="DH51" s="92">
        <f t="shared" si="22"/>
        <v>10000</v>
      </c>
      <c r="DI51" s="138"/>
      <c r="DJ51" s="139"/>
      <c r="DK51" s="139"/>
      <c r="DL51" s="139"/>
      <c r="DM51" s="139"/>
      <c r="DN51" s="139"/>
      <c r="DO51" s="139"/>
      <c r="DP51" s="139"/>
      <c r="DQ51" s="140"/>
      <c r="DR51" s="138"/>
      <c r="DS51" s="139"/>
      <c r="DT51" s="139"/>
      <c r="DU51" s="139"/>
      <c r="DV51" s="139"/>
      <c r="DW51" s="139"/>
      <c r="DX51" s="139"/>
      <c r="DY51" s="139"/>
      <c r="DZ51" s="141"/>
      <c r="EA51" s="163" t="s">
        <v>1066</v>
      </c>
      <c r="EB51" s="198" t="s">
        <v>1067</v>
      </c>
      <c r="EC51" s="160" t="s">
        <v>1068</v>
      </c>
      <c r="ED51" s="182" t="s">
        <v>1069</v>
      </c>
      <c r="EE51" s="166"/>
      <c r="EF51" s="166"/>
      <c r="EG51" s="166"/>
      <c r="EH51" s="166"/>
      <c r="EI51" s="165"/>
      <c r="EJ51" s="165"/>
      <c r="EK51" s="165"/>
      <c r="EL51" s="165"/>
      <c r="EM51" s="167"/>
      <c r="EN51" s="168" t="s">
        <v>1070</v>
      </c>
      <c r="EO51" s="166" t="s">
        <v>1071</v>
      </c>
      <c r="EP51" s="166" t="s">
        <v>1072</v>
      </c>
      <c r="EQ51" s="165" t="s">
        <v>1073</v>
      </c>
      <c r="ER51" s="169"/>
      <c r="ES51" s="169"/>
      <c r="ET51" s="170"/>
      <c r="EU51" s="171"/>
      <c r="EV51" s="99"/>
      <c r="EW51" s="99"/>
      <c r="EX51" s="99"/>
      <c r="EY51" s="99"/>
      <c r="EZ51" s="104"/>
      <c r="FA51" s="172"/>
      <c r="FB51" s="173"/>
      <c r="FC51" s="135"/>
      <c r="FD51" s="131"/>
      <c r="FE51" s="135"/>
      <c r="FF51" s="131"/>
      <c r="FG51" s="174"/>
      <c r="FH51" s="99"/>
      <c r="FI51" s="149"/>
      <c r="FJ51" s="150"/>
      <c r="FK51" s="151"/>
      <c r="FL51" s="118"/>
      <c r="FM51" s="135"/>
      <c r="FN51" s="118"/>
      <c r="FO51" s="151"/>
      <c r="FP51" s="118"/>
      <c r="FQ51" s="151"/>
      <c r="FR51" s="118"/>
      <c r="FS51" s="135"/>
      <c r="FT51" s="131"/>
      <c r="FU51" s="174"/>
      <c r="FV51" s="99"/>
      <c r="FW51" s="135"/>
      <c r="FX51" s="104"/>
      <c r="FY51" s="103"/>
      <c r="FZ51" s="99"/>
      <c r="GA51" s="99"/>
      <c r="GB51" s="99"/>
      <c r="GC51" s="99"/>
      <c r="GD51" s="99"/>
      <c r="GE51" s="99"/>
      <c r="GF51" s="99"/>
      <c r="GG51" s="99"/>
      <c r="GH51" s="99"/>
      <c r="GI51" s="99"/>
      <c r="GJ51" s="99"/>
      <c r="GK51" s="99"/>
      <c r="GL51" s="99"/>
      <c r="GM51" s="99"/>
      <c r="GN51" s="99"/>
      <c r="GO51" s="99"/>
      <c r="GP51" s="99"/>
      <c r="GQ51" s="99"/>
      <c r="GR51" s="99"/>
      <c r="GS51" s="99"/>
      <c r="GT51" s="99"/>
      <c r="GU51" s="99"/>
      <c r="GV51" s="104"/>
      <c r="GW51" s="103"/>
      <c r="GX51" s="99"/>
      <c r="GY51" s="99"/>
      <c r="GZ51" s="99"/>
      <c r="HA51" s="99"/>
      <c r="HB51" s="99"/>
      <c r="HC51" s="99"/>
      <c r="HD51" s="99"/>
      <c r="HE51" s="99"/>
      <c r="HF51" s="99"/>
      <c r="HG51" s="99"/>
      <c r="HH51" s="99"/>
      <c r="HI51" s="99"/>
      <c r="HJ51" s="99"/>
      <c r="HK51" s="99"/>
      <c r="HL51" s="99"/>
      <c r="HM51" s="99"/>
      <c r="HN51" s="99"/>
      <c r="HO51" s="99"/>
      <c r="HP51" s="99"/>
      <c r="HQ51" s="99"/>
      <c r="HR51" s="99"/>
      <c r="HS51" s="99"/>
      <c r="HT51" s="105"/>
      <c r="IG51" s="589"/>
      <c r="IH51" s="589"/>
      <c r="II51" s="589"/>
      <c r="IJ51" s="589"/>
      <c r="IK51" s="589"/>
      <c r="IL51" s="589"/>
      <c r="IM51" s="589"/>
      <c r="IN51" s="589"/>
      <c r="IO51" s="589"/>
      <c r="IP51" s="589"/>
      <c r="IQ51" s="589"/>
      <c r="IR51" s="589"/>
      <c r="JE51" s="589"/>
      <c r="JF51" s="589"/>
      <c r="JG51" s="589"/>
      <c r="JH51" s="589"/>
      <c r="JI51" s="589"/>
      <c r="JJ51" s="589"/>
      <c r="JK51" s="589"/>
      <c r="JL51" s="589"/>
      <c r="JM51" s="589"/>
      <c r="JN51" s="589"/>
      <c r="JO51" s="589"/>
      <c r="JP51" s="589"/>
    </row>
    <row r="52" spans="1:276">
      <c r="A52" s="199">
        <f t="shared" si="2"/>
        <v>48</v>
      </c>
      <c r="B52" s="200" t="s">
        <v>206</v>
      </c>
      <c r="C52" s="201" t="s">
        <v>1251</v>
      </c>
      <c r="D52" s="202" t="s">
        <v>1084</v>
      </c>
      <c r="E52" s="203"/>
      <c r="F52" s="204"/>
      <c r="G52" s="205" t="s">
        <v>1085</v>
      </c>
      <c r="H52" s="206" t="str">
        <f t="shared" si="20"/>
        <v>萬華區</v>
      </c>
      <c r="I52" s="206" t="s">
        <v>1086</v>
      </c>
      <c r="J52" s="206" t="s">
        <v>239</v>
      </c>
      <c r="K52" s="206" t="s">
        <v>651</v>
      </c>
      <c r="L52" s="207">
        <v>53.35</v>
      </c>
      <c r="M52" s="206" t="s">
        <v>228</v>
      </c>
      <c r="N52" s="208">
        <v>45839</v>
      </c>
      <c r="O52" s="208">
        <f t="shared" si="21"/>
        <v>46203</v>
      </c>
      <c r="P52" s="209">
        <v>24300</v>
      </c>
      <c r="Q52" s="210">
        <v>4000</v>
      </c>
      <c r="R52" s="211">
        <v>45920</v>
      </c>
      <c r="S52" s="212">
        <v>2400</v>
      </c>
      <c r="T52" s="213">
        <v>45920</v>
      </c>
      <c r="U52" s="212">
        <v>2400</v>
      </c>
      <c r="V52" s="211">
        <v>45950</v>
      </c>
      <c r="W52" s="214">
        <v>2400</v>
      </c>
      <c r="X52" s="215">
        <v>45981</v>
      </c>
      <c r="Y52" s="214">
        <v>2400</v>
      </c>
      <c r="Z52" s="215">
        <v>46011</v>
      </c>
      <c r="AA52" s="214">
        <f t="shared" ref="AA52" si="24">Y52</f>
        <v>2400</v>
      </c>
      <c r="AB52" s="215" t="s">
        <v>1195</v>
      </c>
      <c r="AC52" s="214">
        <v>2400</v>
      </c>
      <c r="AD52" s="215" t="s">
        <v>1200</v>
      </c>
      <c r="AE52" s="214">
        <v>2400</v>
      </c>
      <c r="AF52" s="216">
        <v>46101</v>
      </c>
      <c r="AG52" s="214">
        <v>2400</v>
      </c>
      <c r="AH52" s="216">
        <v>46132</v>
      </c>
      <c r="AI52" s="214">
        <v>2400</v>
      </c>
      <c r="AJ52" s="216">
        <v>46162</v>
      </c>
      <c r="AK52" s="214">
        <f>AI52</f>
        <v>2400</v>
      </c>
      <c r="AL52" s="215">
        <v>46195</v>
      </c>
      <c r="AM52" s="270">
        <v>2400</v>
      </c>
      <c r="AN52" s="215">
        <v>46223</v>
      </c>
      <c r="AO52" s="723">
        <v>2400</v>
      </c>
      <c r="AP52" s="726" t="s">
        <v>1274</v>
      </c>
      <c r="AQ52" s="218"/>
      <c r="AR52" s="219"/>
      <c r="AS52" s="220"/>
      <c r="AT52" s="219"/>
      <c r="AU52" s="219"/>
      <c r="AV52" s="219"/>
      <c r="AW52" s="219"/>
      <c r="AX52" s="219"/>
      <c r="AY52" s="219"/>
      <c r="AZ52" s="219"/>
      <c r="BA52" s="219"/>
      <c r="BB52" s="219"/>
      <c r="BC52" s="219"/>
      <c r="BD52" s="219"/>
      <c r="BE52" s="219"/>
      <c r="BF52" s="219"/>
      <c r="BG52" s="219"/>
      <c r="BH52" s="219"/>
      <c r="BI52" s="219"/>
      <c r="BJ52" s="219"/>
      <c r="BK52" s="219"/>
      <c r="BL52" s="219"/>
      <c r="BM52" s="219"/>
      <c r="BN52" s="221"/>
      <c r="BO52" s="218"/>
      <c r="BP52" s="219"/>
      <c r="BQ52" s="219"/>
      <c r="BR52" s="219"/>
      <c r="BS52" s="219"/>
      <c r="BT52" s="219"/>
      <c r="BU52" s="219"/>
      <c r="BV52" s="219"/>
      <c r="BW52" s="219"/>
      <c r="BX52" s="219"/>
      <c r="BY52" s="219"/>
      <c r="BZ52" s="219"/>
      <c r="CA52" s="219"/>
      <c r="CB52" s="219"/>
      <c r="CC52" s="219"/>
      <c r="CD52" s="219"/>
      <c r="CE52" s="219"/>
      <c r="CF52" s="219"/>
      <c r="CG52" s="219"/>
      <c r="CH52" s="219"/>
      <c r="CI52" s="219"/>
      <c r="CJ52" s="219"/>
      <c r="CK52" s="219"/>
      <c r="CL52" s="222"/>
      <c r="CM52" s="223" t="s">
        <v>1098</v>
      </c>
      <c r="CN52" s="224" t="s">
        <v>1099</v>
      </c>
      <c r="CO52" s="225" t="s">
        <v>674</v>
      </c>
      <c r="CP52" s="226" t="s">
        <v>1102</v>
      </c>
      <c r="CQ52" s="227" t="s">
        <v>1103</v>
      </c>
      <c r="CT52" s="230">
        <v>3300</v>
      </c>
      <c r="CU52" s="231">
        <v>45920</v>
      </c>
      <c r="CZ52" s="235">
        <v>1887</v>
      </c>
      <c r="DA52" s="236">
        <v>45920</v>
      </c>
      <c r="DB52" s="237">
        <v>4500</v>
      </c>
      <c r="DC52" s="238" t="s">
        <v>1195</v>
      </c>
      <c r="DH52" s="240">
        <f t="shared" si="22"/>
        <v>3613</v>
      </c>
      <c r="DI52" s="241"/>
      <c r="DJ52" s="242"/>
      <c r="DK52" s="242"/>
      <c r="DL52" s="242"/>
      <c r="DM52" s="242"/>
      <c r="DN52" s="242"/>
      <c r="DO52" s="242"/>
      <c r="DP52" s="242"/>
      <c r="DQ52" s="243"/>
      <c r="DR52" s="241"/>
      <c r="DS52" s="242"/>
      <c r="DT52" s="242"/>
      <c r="DU52" s="242"/>
      <c r="DV52" s="242"/>
      <c r="DW52" s="242"/>
      <c r="DX52" s="242"/>
      <c r="DY52" s="242"/>
      <c r="DZ52" s="244"/>
      <c r="EA52" s="245" t="s">
        <v>1100</v>
      </c>
      <c r="EB52" s="246" t="s">
        <v>1101</v>
      </c>
      <c r="EC52" s="247" t="s">
        <v>492</v>
      </c>
      <c r="ED52" s="248" t="s">
        <v>1104</v>
      </c>
      <c r="EE52" s="249" t="s">
        <v>1105</v>
      </c>
      <c r="EF52" s="249" t="s">
        <v>1106</v>
      </c>
      <c r="EG52" s="249" t="s">
        <v>1107</v>
      </c>
      <c r="EH52" s="249"/>
      <c r="EI52" s="250"/>
      <c r="EJ52" s="250"/>
      <c r="EK52" s="250"/>
      <c r="EL52" s="250"/>
      <c r="EM52" s="251"/>
      <c r="EN52" s="252"/>
      <c r="EO52" s="249"/>
      <c r="EP52" s="249"/>
      <c r="EQ52" s="250"/>
      <c r="ER52" s="253"/>
      <c r="ES52" s="253"/>
      <c r="ET52" s="254"/>
      <c r="EU52" s="255"/>
      <c r="EV52" s="256"/>
      <c r="EW52" s="256"/>
      <c r="EX52" s="256"/>
      <c r="EY52" s="256"/>
      <c r="EZ52" s="257"/>
      <c r="FA52" s="258"/>
      <c r="FB52" s="259"/>
      <c r="FG52" s="262"/>
      <c r="FH52" s="256"/>
      <c r="FI52" s="263"/>
      <c r="FJ52" s="264"/>
      <c r="FK52" s="265"/>
      <c r="FL52" s="266"/>
      <c r="FN52" s="266"/>
      <c r="FO52" s="265"/>
      <c r="FP52" s="266"/>
      <c r="FQ52" s="265"/>
      <c r="FR52" s="266"/>
      <c r="FU52" s="262"/>
      <c r="FV52" s="256"/>
      <c r="FX52" s="257"/>
      <c r="IG52" s="588"/>
      <c r="IH52" s="588"/>
      <c r="II52" s="588"/>
      <c r="IJ52" s="588"/>
      <c r="IK52" s="588"/>
      <c r="IL52" s="588"/>
      <c r="IM52" s="588"/>
      <c r="IN52" s="588"/>
      <c r="IO52" s="588"/>
      <c r="IP52" s="588"/>
      <c r="IQ52" s="588"/>
      <c r="IR52" s="588"/>
      <c r="JE52" s="588"/>
      <c r="JF52" s="588"/>
      <c r="JG52" s="588"/>
      <c r="JH52" s="588"/>
      <c r="JI52" s="588"/>
      <c r="JJ52" s="588"/>
      <c r="JK52" s="588"/>
      <c r="JL52" s="588"/>
      <c r="JM52" s="588"/>
      <c r="JN52" s="588"/>
      <c r="JO52" s="588"/>
      <c r="JP52" s="588"/>
    </row>
    <row r="53" spans="1:276">
      <c r="A53" s="199">
        <f t="shared" si="2"/>
        <v>49</v>
      </c>
      <c r="B53" s="200" t="s">
        <v>206</v>
      </c>
      <c r="C53" s="201" t="s">
        <v>1235</v>
      </c>
      <c r="D53" s="202" t="s">
        <v>1109</v>
      </c>
      <c r="E53" s="203"/>
      <c r="F53" s="204"/>
      <c r="G53" s="205" t="s">
        <v>241</v>
      </c>
      <c r="H53" s="206" t="s">
        <v>1110</v>
      </c>
      <c r="I53" s="206" t="s">
        <v>242</v>
      </c>
      <c r="J53" s="206" t="s">
        <v>243</v>
      </c>
      <c r="K53" s="206" t="s">
        <v>244</v>
      </c>
      <c r="L53" s="207">
        <v>108.46</v>
      </c>
      <c r="M53" s="206" t="s">
        <v>228</v>
      </c>
      <c r="N53" s="208">
        <v>45870</v>
      </c>
      <c r="O53" s="208">
        <v>46221</v>
      </c>
      <c r="P53" s="209">
        <v>23000</v>
      </c>
      <c r="Q53" s="210">
        <v>4000</v>
      </c>
      <c r="R53" s="211">
        <v>45950</v>
      </c>
      <c r="S53" s="212">
        <v>2400</v>
      </c>
      <c r="T53" s="213">
        <v>45950</v>
      </c>
      <c r="U53" s="214">
        <v>2400</v>
      </c>
      <c r="V53" s="215">
        <v>45981</v>
      </c>
      <c r="W53" s="214">
        <v>2400</v>
      </c>
      <c r="X53" s="215">
        <v>46011</v>
      </c>
      <c r="Y53" s="214">
        <f t="shared" ref="Y53" si="25">W53</f>
        <v>2400</v>
      </c>
      <c r="Z53" s="215" t="s">
        <v>1195</v>
      </c>
      <c r="AA53" s="214">
        <v>2400</v>
      </c>
      <c r="AB53" s="215" t="s">
        <v>1200</v>
      </c>
      <c r="AC53" s="214">
        <v>2400</v>
      </c>
      <c r="AD53" s="215">
        <v>46101</v>
      </c>
      <c r="AE53" s="214">
        <v>2400</v>
      </c>
      <c r="AF53" s="216">
        <v>46132</v>
      </c>
      <c r="AG53" s="214">
        <v>2400</v>
      </c>
      <c r="AH53" s="216">
        <v>46162</v>
      </c>
      <c r="AI53" s="214">
        <f>AG53</f>
        <v>2400</v>
      </c>
      <c r="AJ53" s="215">
        <v>46195</v>
      </c>
      <c r="AK53" s="270">
        <v>2400</v>
      </c>
      <c r="AL53" s="215">
        <v>46223</v>
      </c>
      <c r="AM53" s="723">
        <v>2400</v>
      </c>
      <c r="AN53" s="726" t="s">
        <v>1274</v>
      </c>
      <c r="AQ53" s="218"/>
      <c r="AR53" s="219"/>
      <c r="AS53" s="220"/>
      <c r="AT53" s="219"/>
      <c r="AU53" s="219"/>
      <c r="AV53" s="219"/>
      <c r="AW53" s="219"/>
      <c r="AX53" s="219"/>
      <c r="AY53" s="219"/>
      <c r="AZ53" s="219"/>
      <c r="BA53" s="219"/>
      <c r="BB53" s="219"/>
      <c r="BC53" s="219"/>
      <c r="BD53" s="219"/>
      <c r="BE53" s="219"/>
      <c r="BF53" s="219"/>
      <c r="BG53" s="219"/>
      <c r="BH53" s="219"/>
      <c r="BI53" s="219"/>
      <c r="BJ53" s="219"/>
      <c r="BK53" s="219"/>
      <c r="BL53" s="219"/>
      <c r="BM53" s="219"/>
      <c r="BN53" s="221"/>
      <c r="BO53" s="218"/>
      <c r="BP53" s="219"/>
      <c r="BQ53" s="219"/>
      <c r="BR53" s="219"/>
      <c r="BS53" s="219"/>
      <c r="BT53" s="219"/>
      <c r="BU53" s="219"/>
      <c r="BV53" s="219"/>
      <c r="BW53" s="219"/>
      <c r="BX53" s="219"/>
      <c r="BY53" s="219"/>
      <c r="BZ53" s="219"/>
      <c r="CA53" s="219"/>
      <c r="CB53" s="219"/>
      <c r="CC53" s="219"/>
      <c r="CD53" s="219"/>
      <c r="CE53" s="219"/>
      <c r="CF53" s="219"/>
      <c r="CG53" s="219"/>
      <c r="CH53" s="219"/>
      <c r="CI53" s="219"/>
      <c r="CJ53" s="219"/>
      <c r="CK53" s="219"/>
      <c r="CL53" s="222"/>
      <c r="CM53" s="223" t="s">
        <v>319</v>
      </c>
      <c r="CN53" s="224" t="s">
        <v>320</v>
      </c>
      <c r="CO53" s="225" t="s">
        <v>321</v>
      </c>
      <c r="CP53" s="226" t="s">
        <v>322</v>
      </c>
      <c r="CQ53" s="227" t="s">
        <v>323</v>
      </c>
      <c r="CR53" s="228" t="s">
        <v>1111</v>
      </c>
      <c r="CS53" s="229" t="s">
        <v>1112</v>
      </c>
      <c r="CZ53" s="235">
        <v>3000</v>
      </c>
      <c r="DA53" s="236">
        <v>46162</v>
      </c>
      <c r="DC53" s="238"/>
      <c r="DH53" s="240">
        <f t="shared" si="22"/>
        <v>7000</v>
      </c>
      <c r="DI53" s="241"/>
      <c r="DJ53" s="242"/>
      <c r="DK53" s="242"/>
      <c r="DL53" s="242"/>
      <c r="DM53" s="242"/>
      <c r="DN53" s="242"/>
      <c r="DO53" s="242"/>
      <c r="DP53" s="242"/>
      <c r="DQ53" s="243"/>
      <c r="DR53" s="241"/>
      <c r="DS53" s="242"/>
      <c r="DT53" s="242"/>
      <c r="DU53" s="242"/>
      <c r="DV53" s="242"/>
      <c r="DW53" s="242"/>
      <c r="DX53" s="242"/>
      <c r="DY53" s="242"/>
      <c r="DZ53" s="244"/>
      <c r="EA53" s="245" t="s">
        <v>387</v>
      </c>
      <c r="EB53" s="246" t="s">
        <v>388</v>
      </c>
      <c r="EC53" s="247">
        <v>7000021</v>
      </c>
      <c r="ED53" s="250" t="s">
        <v>389</v>
      </c>
      <c r="EE53" s="249" t="s">
        <v>390</v>
      </c>
      <c r="EF53" s="249" t="s">
        <v>391</v>
      </c>
      <c r="EG53" s="249" t="s">
        <v>392</v>
      </c>
      <c r="EH53" s="249" t="s">
        <v>393</v>
      </c>
      <c r="EI53" s="250" t="s">
        <v>394</v>
      </c>
      <c r="EJ53" s="250" t="s">
        <v>395</v>
      </c>
      <c r="EK53" s="250" t="s">
        <v>396</v>
      </c>
      <c r="EL53" s="250" t="s">
        <v>397</v>
      </c>
      <c r="EM53" s="251" t="s">
        <v>398</v>
      </c>
      <c r="EN53" s="252"/>
      <c r="EO53" s="249"/>
      <c r="EP53" s="249"/>
      <c r="EQ53" s="250"/>
      <c r="ER53" s="253"/>
      <c r="ES53" s="253"/>
      <c r="ET53" s="254"/>
      <c r="EU53" s="255"/>
      <c r="EV53" s="256"/>
      <c r="EW53" s="256"/>
      <c r="EX53" s="256"/>
      <c r="EY53" s="256"/>
      <c r="EZ53" s="257"/>
      <c r="FA53" s="258"/>
      <c r="FB53" s="259"/>
      <c r="FG53" s="262"/>
      <c r="FH53" s="256"/>
      <c r="FI53" s="263"/>
      <c r="FJ53" s="264"/>
      <c r="FK53" s="265"/>
      <c r="FL53" s="266"/>
      <c r="FN53" s="266"/>
      <c r="FO53" s="265"/>
      <c r="FP53" s="266"/>
      <c r="FQ53" s="265"/>
      <c r="FR53" s="266"/>
      <c r="FU53" s="262"/>
      <c r="FV53" s="256"/>
      <c r="FX53" s="257"/>
      <c r="IG53" s="588"/>
      <c r="IH53" s="588"/>
      <c r="II53" s="588"/>
      <c r="IJ53" s="588"/>
      <c r="IK53" s="588"/>
      <c r="IL53" s="588"/>
      <c r="IM53" s="588"/>
      <c r="IN53" s="588"/>
      <c r="IO53" s="588"/>
      <c r="IP53" s="588"/>
      <c r="IQ53" s="588"/>
      <c r="IR53" s="588"/>
      <c r="JE53" s="588"/>
      <c r="JF53" s="588"/>
      <c r="JG53" s="588"/>
      <c r="JH53" s="588"/>
      <c r="JI53" s="588"/>
      <c r="JJ53" s="588"/>
      <c r="JK53" s="588"/>
      <c r="JL53" s="588"/>
      <c r="JM53" s="588"/>
      <c r="JN53" s="588"/>
      <c r="JO53" s="588"/>
      <c r="JP53" s="588"/>
    </row>
    <row r="54" spans="1:276">
      <c r="A54" s="199">
        <f t="shared" si="2"/>
        <v>50</v>
      </c>
      <c r="B54" s="200" t="s">
        <v>206</v>
      </c>
      <c r="C54" s="201" t="s">
        <v>1236</v>
      </c>
      <c r="D54" s="202" t="s">
        <v>1183</v>
      </c>
      <c r="E54" s="203"/>
      <c r="F54" s="204"/>
      <c r="G54" s="205" t="s">
        <v>269</v>
      </c>
      <c r="H54" s="206" t="s">
        <v>1184</v>
      </c>
      <c r="I54" s="206" t="s">
        <v>270</v>
      </c>
      <c r="J54" s="206" t="s">
        <v>271</v>
      </c>
      <c r="K54" s="206" t="s">
        <v>272</v>
      </c>
      <c r="L54" s="207">
        <v>65.319999999999993</v>
      </c>
      <c r="M54" s="206" t="s">
        <v>228</v>
      </c>
      <c r="N54" s="208">
        <v>45955</v>
      </c>
      <c r="O54" s="208">
        <f>N54+337</f>
        <v>46292</v>
      </c>
      <c r="P54" s="209">
        <v>32000</v>
      </c>
      <c r="Q54" s="210">
        <v>4000</v>
      </c>
      <c r="R54" s="211">
        <v>46011</v>
      </c>
      <c r="S54" s="212">
        <v>2400</v>
      </c>
      <c r="T54" s="213">
        <v>46011</v>
      </c>
      <c r="U54" s="214">
        <f t="shared" ref="U54" si="26">S54</f>
        <v>2400</v>
      </c>
      <c r="V54" s="215" t="s">
        <v>1195</v>
      </c>
      <c r="W54" s="214">
        <v>2400</v>
      </c>
      <c r="X54" s="215" t="s">
        <v>1200</v>
      </c>
      <c r="Y54" s="214">
        <v>2400</v>
      </c>
      <c r="Z54" s="215">
        <v>46101</v>
      </c>
      <c r="AA54" s="214">
        <v>2400</v>
      </c>
      <c r="AB54" s="217">
        <v>46132</v>
      </c>
      <c r="AC54" s="214">
        <v>2400</v>
      </c>
      <c r="AD54" s="216">
        <v>46162</v>
      </c>
      <c r="AE54" s="214">
        <f>AC54</f>
        <v>2400</v>
      </c>
      <c r="AF54" s="215">
        <v>46195</v>
      </c>
      <c r="AG54" s="270">
        <v>2400</v>
      </c>
      <c r="AH54" s="271">
        <v>46223</v>
      </c>
      <c r="AI54" s="723">
        <v>2400</v>
      </c>
      <c r="AJ54" s="726" t="s">
        <v>1274</v>
      </c>
      <c r="AL54" s="216"/>
      <c r="AQ54" s="218"/>
      <c r="AR54" s="219"/>
      <c r="AS54" s="220"/>
      <c r="AT54" s="219"/>
      <c r="AU54" s="219"/>
      <c r="AV54" s="219"/>
      <c r="AW54" s="219"/>
      <c r="AX54" s="219"/>
      <c r="AY54" s="219"/>
      <c r="AZ54" s="219"/>
      <c r="BA54" s="219"/>
      <c r="BB54" s="219"/>
      <c r="BC54" s="219"/>
      <c r="BD54" s="219"/>
      <c r="BE54" s="219"/>
      <c r="BF54" s="219"/>
      <c r="BG54" s="219"/>
      <c r="BH54" s="219"/>
      <c r="BI54" s="219"/>
      <c r="BJ54" s="219"/>
      <c r="BK54" s="219"/>
      <c r="BL54" s="219"/>
      <c r="BM54" s="219"/>
      <c r="BN54" s="221"/>
      <c r="BO54" s="218"/>
      <c r="BP54" s="219"/>
      <c r="BQ54" s="219"/>
      <c r="BR54" s="219"/>
      <c r="BS54" s="219"/>
      <c r="BT54" s="219"/>
      <c r="BU54" s="219"/>
      <c r="BV54" s="219"/>
      <c r="BW54" s="219"/>
      <c r="BX54" s="219"/>
      <c r="BY54" s="219"/>
      <c r="BZ54" s="219"/>
      <c r="CA54" s="219"/>
      <c r="CB54" s="219"/>
      <c r="CC54" s="219"/>
      <c r="CD54" s="219"/>
      <c r="CE54" s="219"/>
      <c r="CF54" s="219"/>
      <c r="CG54" s="219"/>
      <c r="CH54" s="219"/>
      <c r="CI54" s="219"/>
      <c r="CJ54" s="219"/>
      <c r="CK54" s="219"/>
      <c r="CL54" s="222"/>
      <c r="CM54" s="223" t="s">
        <v>343</v>
      </c>
      <c r="CN54" s="224" t="s">
        <v>344</v>
      </c>
      <c r="CO54" s="225">
        <v>8220314</v>
      </c>
      <c r="CP54" s="226" t="s">
        <v>345</v>
      </c>
      <c r="CQ54" s="227" t="s">
        <v>346</v>
      </c>
      <c r="CZ54" s="237">
        <v>1500</v>
      </c>
      <c r="DA54" s="238" t="s">
        <v>1195</v>
      </c>
      <c r="DB54" s="237">
        <v>1800</v>
      </c>
      <c r="DC54" s="238" t="s">
        <v>1211</v>
      </c>
      <c r="DH54" s="240">
        <f t="shared" si="22"/>
        <v>6700</v>
      </c>
      <c r="DI54" s="241"/>
      <c r="DJ54" s="242"/>
      <c r="DK54" s="242"/>
      <c r="DL54" s="242"/>
      <c r="DM54" s="242"/>
      <c r="DN54" s="242"/>
      <c r="DO54" s="242"/>
      <c r="DP54" s="242"/>
      <c r="DQ54" s="243"/>
      <c r="DR54" s="241"/>
      <c r="DS54" s="242"/>
      <c r="DT54" s="242"/>
      <c r="DU54" s="242"/>
      <c r="DV54" s="242"/>
      <c r="DW54" s="242"/>
      <c r="DX54" s="242"/>
      <c r="DY54" s="242"/>
      <c r="DZ54" s="244"/>
      <c r="EA54" s="245" t="s">
        <v>1185</v>
      </c>
      <c r="EB54" s="246" t="s">
        <v>1186</v>
      </c>
      <c r="EC54" s="247" t="s">
        <v>1187</v>
      </c>
      <c r="ED54" s="250" t="s">
        <v>1188</v>
      </c>
      <c r="EE54" s="249" t="s">
        <v>1189</v>
      </c>
      <c r="EF54" s="249" t="s">
        <v>1190</v>
      </c>
      <c r="EG54" s="249" t="s">
        <v>1191</v>
      </c>
      <c r="EH54" s="249" t="s">
        <v>1192</v>
      </c>
      <c r="EI54" s="250" t="s">
        <v>1193</v>
      </c>
      <c r="EJ54" s="250" t="s">
        <v>1194</v>
      </c>
      <c r="EK54" s="250"/>
      <c r="EL54" s="250"/>
      <c r="EM54" s="251"/>
      <c r="EN54" s="252"/>
      <c r="EO54" s="249"/>
      <c r="EP54" s="249"/>
      <c r="EQ54" s="250"/>
      <c r="ER54" s="253"/>
      <c r="ES54" s="253"/>
      <c r="ET54" s="254"/>
      <c r="EU54" s="255"/>
      <c r="EV54" s="256"/>
      <c r="EW54" s="256"/>
      <c r="EX54" s="256"/>
      <c r="EY54" s="256"/>
      <c r="EZ54" s="257"/>
      <c r="FA54" s="258"/>
      <c r="FB54" s="259"/>
      <c r="FG54" s="262"/>
      <c r="FH54" s="256"/>
      <c r="FI54" s="263"/>
      <c r="FJ54" s="264"/>
      <c r="FK54" s="265"/>
      <c r="FL54" s="266"/>
      <c r="FN54" s="266"/>
      <c r="FO54" s="265"/>
      <c r="FP54" s="266"/>
      <c r="FQ54" s="265"/>
      <c r="FR54" s="266"/>
      <c r="FU54" s="262"/>
      <c r="FV54" s="256"/>
      <c r="FX54" s="257"/>
      <c r="IG54" s="588"/>
      <c r="IH54" s="588"/>
      <c r="II54" s="588"/>
      <c r="IJ54" s="588"/>
      <c r="IK54" s="588"/>
      <c r="IL54" s="588"/>
      <c r="IM54" s="588"/>
      <c r="IN54" s="588"/>
      <c r="IO54" s="588"/>
      <c r="IP54" s="588"/>
      <c r="IQ54" s="588"/>
      <c r="IR54" s="588"/>
      <c r="JE54" s="588"/>
      <c r="JF54" s="588"/>
      <c r="JG54" s="588"/>
      <c r="JH54" s="588"/>
      <c r="JI54" s="588"/>
      <c r="JJ54" s="588"/>
      <c r="JK54" s="588"/>
      <c r="JL54" s="588"/>
      <c r="JM54" s="588"/>
      <c r="JN54" s="588"/>
      <c r="JO54" s="588"/>
      <c r="JP54" s="588"/>
    </row>
    <row r="55" spans="1:276">
      <c r="A55" s="199">
        <f t="shared" si="2"/>
        <v>51</v>
      </c>
      <c r="B55" s="200" t="s">
        <v>206</v>
      </c>
      <c r="C55" s="201" t="s">
        <v>1214</v>
      </c>
      <c r="D55" s="202" t="s">
        <v>1201</v>
      </c>
      <c r="E55" s="203"/>
      <c r="F55" s="204"/>
      <c r="G55" s="205" t="s">
        <v>289</v>
      </c>
      <c r="H55" s="206" t="s">
        <v>1184</v>
      </c>
      <c r="I55" s="206" t="s">
        <v>1202</v>
      </c>
      <c r="J55" s="206" t="s">
        <v>291</v>
      </c>
      <c r="K55" s="206" t="s">
        <v>1203</v>
      </c>
      <c r="L55" s="207">
        <v>52.89</v>
      </c>
      <c r="M55" s="206" t="s">
        <v>228</v>
      </c>
      <c r="N55" s="208">
        <v>46011</v>
      </c>
      <c r="O55" s="208">
        <f>N55+364</f>
        <v>46375</v>
      </c>
      <c r="P55" s="209">
        <v>17000</v>
      </c>
      <c r="Q55" s="210">
        <v>4000</v>
      </c>
      <c r="R55" s="211" t="s">
        <v>1204</v>
      </c>
      <c r="S55" s="212">
        <v>2400</v>
      </c>
      <c r="T55" s="213" t="s">
        <v>1204</v>
      </c>
      <c r="U55" s="214">
        <v>2400</v>
      </c>
      <c r="V55" s="215">
        <v>46101</v>
      </c>
      <c r="W55" s="214">
        <v>2400</v>
      </c>
      <c r="X55" s="215">
        <v>46132</v>
      </c>
      <c r="Y55" s="214">
        <v>2400</v>
      </c>
      <c r="Z55" s="216">
        <v>46162</v>
      </c>
      <c r="AA55" s="214">
        <f>Y55</f>
        <v>2400</v>
      </c>
      <c r="AB55" s="215">
        <v>46195</v>
      </c>
      <c r="AC55" s="270">
        <v>2400</v>
      </c>
      <c r="AD55" s="271">
        <v>46223</v>
      </c>
      <c r="AE55" s="723">
        <v>2400</v>
      </c>
      <c r="AF55" s="726" t="s">
        <v>1274</v>
      </c>
      <c r="AH55" s="216"/>
      <c r="AJ55" s="216"/>
      <c r="AL55" s="216"/>
      <c r="AQ55" s="218"/>
      <c r="AR55" s="219"/>
      <c r="AS55" s="220"/>
      <c r="AT55" s="219"/>
      <c r="AU55" s="21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19"/>
      <c r="BG55" s="219"/>
      <c r="BH55" s="219"/>
      <c r="BI55" s="219"/>
      <c r="BJ55" s="219"/>
      <c r="BK55" s="219"/>
      <c r="BL55" s="219"/>
      <c r="BM55" s="219"/>
      <c r="BN55" s="221"/>
      <c r="BO55" s="218"/>
      <c r="BP55" s="219"/>
      <c r="BQ55" s="219"/>
      <c r="BR55" s="219"/>
      <c r="BS55" s="219"/>
      <c r="BT55" s="219"/>
      <c r="BU55" s="219"/>
      <c r="BV55" s="219"/>
      <c r="BW55" s="219"/>
      <c r="BX55" s="219"/>
      <c r="BY55" s="219"/>
      <c r="BZ55" s="219"/>
      <c r="CA55" s="219"/>
      <c r="CB55" s="219"/>
      <c r="CC55" s="219"/>
      <c r="CD55" s="219"/>
      <c r="CE55" s="219"/>
      <c r="CF55" s="219"/>
      <c r="CG55" s="219"/>
      <c r="CH55" s="219"/>
      <c r="CI55" s="219"/>
      <c r="CJ55" s="219"/>
      <c r="CK55" s="219"/>
      <c r="CL55" s="222"/>
      <c r="CM55" s="223" t="s">
        <v>363</v>
      </c>
      <c r="CN55" s="224" t="s">
        <v>364</v>
      </c>
      <c r="CO55" s="225" t="s">
        <v>1205</v>
      </c>
      <c r="CP55" s="226" t="s">
        <v>365</v>
      </c>
      <c r="CQ55" s="227" t="s">
        <v>366</v>
      </c>
      <c r="CZ55" s="237">
        <v>800</v>
      </c>
      <c r="DA55" s="238">
        <v>46101</v>
      </c>
      <c r="DC55" s="238"/>
      <c r="DH55" s="240">
        <f t="shared" ref="DH55:DH56" si="27">10000-DF55-DD55-DB55-CZ55</f>
        <v>9200</v>
      </c>
      <c r="DI55" s="241"/>
      <c r="DJ55" s="242"/>
      <c r="DK55" s="242"/>
      <c r="DL55" s="242"/>
      <c r="DM55" s="242"/>
      <c r="DN55" s="242"/>
      <c r="DO55" s="242"/>
      <c r="DP55" s="242"/>
      <c r="DQ55" s="243"/>
      <c r="DR55" s="241"/>
      <c r="DS55" s="242"/>
      <c r="DT55" s="242"/>
      <c r="DU55" s="242"/>
      <c r="DV55" s="242"/>
      <c r="DW55" s="242"/>
      <c r="DX55" s="242"/>
      <c r="DY55" s="242"/>
      <c r="DZ55" s="244"/>
      <c r="EA55" s="245" t="s">
        <v>1206</v>
      </c>
      <c r="EB55" s="246" t="s">
        <v>1207</v>
      </c>
      <c r="EC55" s="247" t="s">
        <v>1208</v>
      </c>
      <c r="ED55" s="250" t="s">
        <v>1209</v>
      </c>
      <c r="EE55" s="249"/>
      <c r="EF55" s="249"/>
      <c r="EG55" s="249"/>
      <c r="EH55" s="249"/>
      <c r="EI55" s="250"/>
      <c r="EJ55" s="250"/>
      <c r="EK55" s="250"/>
      <c r="EL55" s="250"/>
      <c r="EM55" s="251"/>
      <c r="EN55" s="252"/>
      <c r="EO55" s="249"/>
      <c r="EP55" s="249"/>
      <c r="EQ55" s="250"/>
      <c r="ER55" s="253"/>
      <c r="ES55" s="253"/>
      <c r="ET55" s="254"/>
      <c r="EU55" s="255"/>
      <c r="EV55" s="256"/>
      <c r="EW55" s="256"/>
      <c r="EX55" s="256"/>
      <c r="EY55" s="256"/>
      <c r="EZ55" s="257"/>
      <c r="FA55" s="258"/>
      <c r="FB55" s="259"/>
      <c r="FG55" s="262"/>
      <c r="FH55" s="256"/>
      <c r="FI55" s="263"/>
      <c r="FJ55" s="264"/>
      <c r="FK55" s="265"/>
      <c r="FL55" s="266"/>
      <c r="FN55" s="266"/>
      <c r="FO55" s="265"/>
      <c r="FP55" s="266"/>
      <c r="FQ55" s="265"/>
      <c r="FR55" s="266"/>
      <c r="FU55" s="262"/>
      <c r="FV55" s="256"/>
      <c r="FX55" s="257"/>
      <c r="IG55" s="588"/>
      <c r="IH55" s="588"/>
      <c r="II55" s="588"/>
      <c r="IJ55" s="588"/>
      <c r="IK55" s="588"/>
      <c r="IL55" s="588"/>
      <c r="IM55" s="588"/>
      <c r="IN55" s="588"/>
      <c r="IO55" s="588"/>
      <c r="IP55" s="588"/>
      <c r="IQ55" s="588"/>
      <c r="IR55" s="588"/>
      <c r="JE55" s="588"/>
      <c r="JF55" s="588"/>
      <c r="JG55" s="588"/>
      <c r="JH55" s="588"/>
      <c r="JI55" s="588"/>
      <c r="JJ55" s="588"/>
      <c r="JK55" s="588"/>
      <c r="JL55" s="588"/>
      <c r="JM55" s="588"/>
      <c r="JN55" s="588"/>
      <c r="JO55" s="588"/>
      <c r="JP55" s="588"/>
    </row>
    <row r="56" spans="1:276">
      <c r="A56" s="199">
        <f t="shared" si="2"/>
        <v>52</v>
      </c>
      <c r="B56" s="200" t="s">
        <v>206</v>
      </c>
      <c r="C56" s="201" t="s">
        <v>1237</v>
      </c>
      <c r="D56" s="202" t="s">
        <v>1234</v>
      </c>
      <c r="E56" s="203"/>
      <c r="F56" s="204"/>
      <c r="G56" s="205" t="s">
        <v>1249</v>
      </c>
      <c r="H56" s="206" t="str">
        <f t="shared" ref="H56:H88" si="28">MID(G56,4,3)</f>
        <v>士林區</v>
      </c>
      <c r="I56" s="206" t="s">
        <v>1246</v>
      </c>
      <c r="J56" s="206" t="s">
        <v>1247</v>
      </c>
      <c r="K56" s="206" t="s">
        <v>1248</v>
      </c>
      <c r="L56" s="207">
        <v>89.99</v>
      </c>
      <c r="M56" s="206" t="s">
        <v>228</v>
      </c>
      <c r="N56" s="208">
        <v>46023</v>
      </c>
      <c r="O56" s="208">
        <f>N56+364</f>
        <v>46387</v>
      </c>
      <c r="P56" s="209">
        <v>21300</v>
      </c>
      <c r="Q56" s="210">
        <v>4000</v>
      </c>
      <c r="R56" s="211">
        <v>46101</v>
      </c>
      <c r="S56" s="212">
        <v>2400</v>
      </c>
      <c r="T56" s="213">
        <v>46101</v>
      </c>
      <c r="U56" s="214">
        <v>2400</v>
      </c>
      <c r="V56" s="215">
        <v>46132</v>
      </c>
      <c r="W56" s="214">
        <v>2400</v>
      </c>
      <c r="X56" s="216">
        <v>46162</v>
      </c>
      <c r="Y56" s="214">
        <f>W56</f>
        <v>2400</v>
      </c>
      <c r="Z56" s="215">
        <v>46195</v>
      </c>
      <c r="AA56" s="270">
        <v>2400</v>
      </c>
      <c r="AB56" s="271">
        <v>46223</v>
      </c>
      <c r="AC56" s="723">
        <v>2400</v>
      </c>
      <c r="AD56" s="726" t="s">
        <v>1274</v>
      </c>
      <c r="AF56" s="216"/>
      <c r="AH56" s="216"/>
      <c r="AJ56" s="216"/>
      <c r="AL56" s="216"/>
      <c r="AQ56" s="218"/>
      <c r="AR56" s="219"/>
      <c r="AS56" s="220"/>
      <c r="AT56" s="219"/>
      <c r="AU56" s="21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19"/>
      <c r="BG56" s="219"/>
      <c r="BH56" s="219"/>
      <c r="BI56" s="219"/>
      <c r="BJ56" s="219"/>
      <c r="BK56" s="219"/>
      <c r="BL56" s="219"/>
      <c r="BM56" s="219"/>
      <c r="BN56" s="221"/>
      <c r="BO56" s="218"/>
      <c r="BP56" s="219"/>
      <c r="BQ56" s="219"/>
      <c r="BR56" s="219"/>
      <c r="BS56" s="219"/>
      <c r="BT56" s="219"/>
      <c r="BU56" s="219"/>
      <c r="BV56" s="219"/>
      <c r="BW56" s="219"/>
      <c r="BX56" s="219"/>
      <c r="BY56" s="219"/>
      <c r="BZ56" s="219"/>
      <c r="CA56" s="219"/>
      <c r="CB56" s="219"/>
      <c r="CC56" s="219"/>
      <c r="CD56" s="219"/>
      <c r="CE56" s="219"/>
      <c r="CF56" s="219"/>
      <c r="CG56" s="219"/>
      <c r="CH56" s="219"/>
      <c r="CI56" s="219"/>
      <c r="CJ56" s="219"/>
      <c r="CK56" s="219"/>
      <c r="CL56" s="222"/>
      <c r="CM56" s="223" t="s">
        <v>1252</v>
      </c>
      <c r="CN56" s="224" t="s">
        <v>1253</v>
      </c>
      <c r="CO56" s="225" t="s">
        <v>1254</v>
      </c>
      <c r="CP56" s="226" t="s">
        <v>1255</v>
      </c>
      <c r="CQ56" s="227" t="s">
        <v>1256</v>
      </c>
      <c r="CZ56" s="235"/>
      <c r="DA56" s="269"/>
      <c r="DC56" s="238"/>
      <c r="DH56" s="240">
        <f t="shared" si="27"/>
        <v>10000</v>
      </c>
      <c r="DI56" s="241"/>
      <c r="DJ56" s="242"/>
      <c r="DK56" s="242"/>
      <c r="DL56" s="242"/>
      <c r="DM56" s="242"/>
      <c r="DN56" s="242"/>
      <c r="DO56" s="242"/>
      <c r="DP56" s="242"/>
      <c r="DQ56" s="243"/>
      <c r="DR56" s="241"/>
      <c r="DS56" s="242"/>
      <c r="DT56" s="242"/>
      <c r="DU56" s="242"/>
      <c r="DV56" s="242"/>
      <c r="DW56" s="242"/>
      <c r="DX56" s="242"/>
      <c r="DY56" s="242"/>
      <c r="DZ56" s="244"/>
      <c r="EA56" s="245" t="s">
        <v>1257</v>
      </c>
      <c r="EB56" s="246" t="s">
        <v>1258</v>
      </c>
      <c r="EC56" s="247" t="s">
        <v>456</v>
      </c>
      <c r="ED56" s="250" t="s">
        <v>1259</v>
      </c>
      <c r="EE56" s="249"/>
      <c r="EF56" s="249"/>
      <c r="EG56" s="249"/>
      <c r="EH56" s="249"/>
      <c r="EI56" s="250"/>
      <c r="EJ56" s="250"/>
      <c r="EK56" s="250"/>
      <c r="EL56" s="250"/>
      <c r="EM56" s="251"/>
      <c r="EN56" s="252"/>
      <c r="EO56" s="249"/>
      <c r="EP56" s="249"/>
      <c r="EQ56" s="250"/>
      <c r="ER56" s="253"/>
      <c r="ES56" s="253"/>
      <c r="ET56" s="254"/>
      <c r="EU56" s="255"/>
      <c r="EV56" s="256"/>
      <c r="EW56" s="256"/>
      <c r="EX56" s="256"/>
      <c r="EY56" s="256"/>
      <c r="EZ56" s="257"/>
      <c r="FA56" s="258"/>
      <c r="FB56" s="259"/>
      <c r="FG56" s="262"/>
      <c r="FH56" s="256"/>
      <c r="FI56" s="263"/>
      <c r="FJ56" s="264"/>
      <c r="FK56" s="265"/>
      <c r="FL56" s="266"/>
      <c r="FN56" s="266"/>
      <c r="FO56" s="265"/>
      <c r="FP56" s="266"/>
      <c r="FQ56" s="265"/>
      <c r="FR56" s="266"/>
      <c r="FU56" s="262"/>
      <c r="FV56" s="256"/>
      <c r="FX56" s="257"/>
      <c r="IG56" s="588"/>
      <c r="IH56" s="588"/>
      <c r="II56" s="588"/>
      <c r="IJ56" s="588"/>
      <c r="IK56" s="588"/>
      <c r="IL56" s="588"/>
      <c r="IM56" s="588"/>
      <c r="IN56" s="588"/>
      <c r="IO56" s="588"/>
      <c r="IP56" s="588"/>
      <c r="IQ56" s="588"/>
      <c r="IR56" s="588"/>
      <c r="JE56" s="588"/>
      <c r="JF56" s="588"/>
      <c r="JG56" s="588"/>
      <c r="JH56" s="588"/>
      <c r="JI56" s="588"/>
      <c r="JJ56" s="588"/>
      <c r="JK56" s="588"/>
      <c r="JL56" s="588"/>
      <c r="JM56" s="588"/>
      <c r="JN56" s="588"/>
      <c r="JO56" s="588"/>
      <c r="JP56" s="588"/>
    </row>
    <row r="57" spans="1:276" s="590" customFormat="1">
      <c r="A57" s="52">
        <f t="shared" si="2"/>
        <v>53</v>
      </c>
      <c r="B57" s="53" t="s">
        <v>206</v>
      </c>
      <c r="C57" s="54"/>
      <c r="D57" s="55" t="s">
        <v>781</v>
      </c>
      <c r="E57" s="106" t="s">
        <v>993</v>
      </c>
      <c r="F57" s="107"/>
      <c r="G57" s="58" t="s">
        <v>237</v>
      </c>
      <c r="H57" s="56" t="str">
        <f t="shared" si="28"/>
        <v>信義區</v>
      </c>
      <c r="I57" s="108" t="s">
        <v>238</v>
      </c>
      <c r="J57" s="56" t="s">
        <v>239</v>
      </c>
      <c r="K57" s="56" t="s">
        <v>240</v>
      </c>
      <c r="L57" s="59">
        <v>71.819999999999993</v>
      </c>
      <c r="M57" s="109" t="s">
        <v>228</v>
      </c>
      <c r="N57" s="60">
        <v>45488</v>
      </c>
      <c r="O57" s="60">
        <f t="shared" ref="O57:O59" si="29">N57+364</f>
        <v>45852</v>
      </c>
      <c r="P57" s="110">
        <v>20000</v>
      </c>
      <c r="Q57" s="111">
        <v>4000</v>
      </c>
      <c r="R57" s="112" t="s">
        <v>783</v>
      </c>
      <c r="S57" s="113">
        <v>2400</v>
      </c>
      <c r="T57" s="114" t="s">
        <v>783</v>
      </c>
      <c r="U57" s="71">
        <v>2400</v>
      </c>
      <c r="V57" s="73" t="s">
        <v>806</v>
      </c>
      <c r="W57" s="71">
        <v>2400</v>
      </c>
      <c r="X57" s="73" t="s">
        <v>894</v>
      </c>
      <c r="Y57" s="71">
        <v>2400</v>
      </c>
      <c r="Z57" s="73">
        <v>45646</v>
      </c>
      <c r="AA57" s="71">
        <v>2400</v>
      </c>
      <c r="AB57" s="73" t="s">
        <v>979</v>
      </c>
      <c r="AC57" s="71">
        <v>2400</v>
      </c>
      <c r="AD57" s="73" t="s">
        <v>1007</v>
      </c>
      <c r="AE57" s="71">
        <v>2400</v>
      </c>
      <c r="AF57" s="73" t="s">
        <v>1012</v>
      </c>
      <c r="AG57" s="71">
        <v>2400</v>
      </c>
      <c r="AH57" s="73" t="s">
        <v>1027</v>
      </c>
      <c r="AI57" s="71">
        <f t="shared" ref="AI57:AI66" si="30">AG57</f>
        <v>2400</v>
      </c>
      <c r="AJ57" s="73">
        <v>45797</v>
      </c>
      <c r="AK57" s="71">
        <f t="shared" ref="AK57:AK63" si="31">AI57</f>
        <v>2400</v>
      </c>
      <c r="AL57" s="73">
        <v>45828</v>
      </c>
      <c r="AM57" s="135">
        <f t="shared" ref="AM57:AM60" si="32">AK57</f>
        <v>2400</v>
      </c>
      <c r="AN57" s="137">
        <v>45858</v>
      </c>
      <c r="AO57" s="71">
        <f t="shared" ref="AO57:AO58" si="33">AM57</f>
        <v>2400</v>
      </c>
      <c r="AP57" s="73">
        <v>45889</v>
      </c>
      <c r="AQ57" s="117"/>
      <c r="AR57" s="118"/>
      <c r="AS57" s="119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20"/>
      <c r="BO57" s="117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21"/>
      <c r="CM57" s="122" t="s">
        <v>314</v>
      </c>
      <c r="CN57" s="123" t="s">
        <v>315</v>
      </c>
      <c r="CO57" s="124" t="s">
        <v>316</v>
      </c>
      <c r="CP57" s="125" t="s">
        <v>317</v>
      </c>
      <c r="CQ57" s="126" t="s">
        <v>318</v>
      </c>
      <c r="CR57" s="127"/>
      <c r="CS57" s="128"/>
      <c r="CT57" s="129"/>
      <c r="CU57" s="73"/>
      <c r="CV57" s="130"/>
      <c r="CW57" s="131"/>
      <c r="CX57" s="131"/>
      <c r="CY57" s="132"/>
      <c r="CZ57" s="133"/>
      <c r="DA57" s="134"/>
      <c r="DB57" s="135"/>
      <c r="DC57" s="136"/>
      <c r="DD57" s="135"/>
      <c r="DE57" s="137"/>
      <c r="DF57" s="135"/>
      <c r="DG57" s="137"/>
      <c r="DH57" s="92">
        <f t="shared" si="22"/>
        <v>10000</v>
      </c>
      <c r="DI57" s="138"/>
      <c r="DJ57" s="139"/>
      <c r="DK57" s="139"/>
      <c r="DL57" s="139"/>
      <c r="DM57" s="139"/>
      <c r="DN57" s="139"/>
      <c r="DO57" s="139"/>
      <c r="DP57" s="139"/>
      <c r="DQ57" s="140"/>
      <c r="DR57" s="138"/>
      <c r="DS57" s="139"/>
      <c r="DT57" s="139"/>
      <c r="DU57" s="139"/>
      <c r="DV57" s="139"/>
      <c r="DW57" s="139"/>
      <c r="DX57" s="139"/>
      <c r="DY57" s="139"/>
      <c r="DZ57" s="141"/>
      <c r="EA57" s="142" t="s">
        <v>888</v>
      </c>
      <c r="EB57" s="143" t="s">
        <v>385</v>
      </c>
      <c r="EC57" s="123">
        <v>7000021</v>
      </c>
      <c r="ED57" s="144" t="s">
        <v>386</v>
      </c>
      <c r="EE57" s="145" t="s">
        <v>784</v>
      </c>
      <c r="EF57" s="145" t="s">
        <v>785</v>
      </c>
      <c r="EG57" s="145" t="s">
        <v>599</v>
      </c>
      <c r="EH57" s="145"/>
      <c r="EI57" s="144"/>
      <c r="EJ57" s="144"/>
      <c r="EK57" s="144"/>
      <c r="EL57" s="144"/>
      <c r="EM57" s="146"/>
      <c r="EN57" s="147"/>
      <c r="EO57" s="145"/>
      <c r="EP57" s="145"/>
      <c r="EQ57" s="144"/>
      <c r="ER57" s="145"/>
      <c r="ES57" s="145"/>
      <c r="ET57" s="144"/>
      <c r="EU57" s="129"/>
      <c r="EV57" s="131"/>
      <c r="EW57" s="131"/>
      <c r="EX57" s="131"/>
      <c r="EY57" s="131"/>
      <c r="EZ57" s="132"/>
      <c r="FA57" s="148"/>
      <c r="FB57" s="131"/>
      <c r="FC57" s="135"/>
      <c r="FD57" s="131"/>
      <c r="FE57" s="135"/>
      <c r="FF57" s="131"/>
      <c r="FG57" s="135"/>
      <c r="FH57" s="131"/>
      <c r="FI57" s="149"/>
      <c r="FJ57" s="150"/>
      <c r="FK57" s="151"/>
      <c r="FL57" s="118"/>
      <c r="FM57" s="135"/>
      <c r="FN57" s="118"/>
      <c r="FO57" s="151"/>
      <c r="FP57" s="118"/>
      <c r="FQ57" s="151"/>
      <c r="FR57" s="118"/>
      <c r="FS57" s="135"/>
      <c r="FT57" s="131"/>
      <c r="FU57" s="135"/>
      <c r="FV57" s="131"/>
      <c r="FW57" s="135"/>
      <c r="FX57" s="132"/>
      <c r="FY57" s="103"/>
      <c r="FZ57" s="99"/>
      <c r="GA57" s="99"/>
      <c r="GB57" s="99"/>
      <c r="GC57" s="99"/>
      <c r="GD57" s="99"/>
      <c r="GE57" s="99"/>
      <c r="GF57" s="99"/>
      <c r="GG57" s="99"/>
      <c r="GH57" s="99"/>
      <c r="GI57" s="99"/>
      <c r="GJ57" s="99"/>
      <c r="GK57" s="99"/>
      <c r="GL57" s="99"/>
      <c r="GM57" s="99"/>
      <c r="GN57" s="99"/>
      <c r="GO57" s="99"/>
      <c r="GP57" s="99"/>
      <c r="GQ57" s="99"/>
      <c r="GR57" s="99"/>
      <c r="GS57" s="99"/>
      <c r="GT57" s="99"/>
      <c r="GU57" s="99"/>
      <c r="GV57" s="104"/>
      <c r="GW57" s="103"/>
      <c r="GX57" s="99"/>
      <c r="GY57" s="99"/>
      <c r="GZ57" s="99"/>
      <c r="HA57" s="99"/>
      <c r="HB57" s="99"/>
      <c r="HC57" s="99"/>
      <c r="HD57" s="99"/>
      <c r="HE57" s="99"/>
      <c r="HF57" s="99"/>
      <c r="HG57" s="99"/>
      <c r="HH57" s="99"/>
      <c r="HI57" s="99"/>
      <c r="HJ57" s="99"/>
      <c r="HK57" s="99"/>
      <c r="HL57" s="99"/>
      <c r="HM57" s="99"/>
      <c r="HN57" s="99"/>
      <c r="HO57" s="99"/>
      <c r="HP57" s="99"/>
      <c r="HQ57" s="99"/>
      <c r="HR57" s="99"/>
      <c r="HS57" s="99"/>
      <c r="HT57" s="105"/>
      <c r="IG57" s="589"/>
      <c r="IH57" s="589"/>
      <c r="II57" s="589"/>
      <c r="IJ57" s="589"/>
      <c r="IK57" s="589"/>
      <c r="IL57" s="589"/>
      <c r="IM57" s="589"/>
      <c r="IN57" s="589"/>
      <c r="IO57" s="589"/>
      <c r="IP57" s="589"/>
      <c r="IQ57" s="589"/>
      <c r="IR57" s="589"/>
      <c r="JE57" s="589"/>
      <c r="JF57" s="589"/>
      <c r="JG57" s="589"/>
      <c r="JH57" s="589"/>
      <c r="JI57" s="589"/>
      <c r="JJ57" s="589"/>
      <c r="JK57" s="589"/>
      <c r="JL57" s="589"/>
      <c r="JM57" s="589"/>
      <c r="JN57" s="589"/>
      <c r="JO57" s="589"/>
      <c r="JP57" s="589"/>
    </row>
    <row r="58" spans="1:276" s="590" customFormat="1">
      <c r="A58" s="52">
        <f t="shared" si="2"/>
        <v>54</v>
      </c>
      <c r="B58" s="53" t="s">
        <v>206</v>
      </c>
      <c r="C58" s="54"/>
      <c r="D58" s="55" t="s">
        <v>804</v>
      </c>
      <c r="E58" s="106" t="s">
        <v>916</v>
      </c>
      <c r="F58" s="107">
        <v>45856</v>
      </c>
      <c r="G58" s="58" t="s">
        <v>241</v>
      </c>
      <c r="H58" s="56" t="str">
        <f t="shared" si="28"/>
        <v>內湖區</v>
      </c>
      <c r="I58" s="56" t="s">
        <v>242</v>
      </c>
      <c r="J58" s="56" t="s">
        <v>243</v>
      </c>
      <c r="K58" s="56" t="s">
        <v>244</v>
      </c>
      <c r="L58" s="59">
        <v>108.46</v>
      </c>
      <c r="M58" s="109" t="s">
        <v>228</v>
      </c>
      <c r="N58" s="60">
        <v>45492</v>
      </c>
      <c r="O58" s="60">
        <f t="shared" si="29"/>
        <v>45856</v>
      </c>
      <c r="P58" s="152">
        <v>23000</v>
      </c>
      <c r="Q58" s="111">
        <v>4000</v>
      </c>
      <c r="R58" s="112" t="s">
        <v>783</v>
      </c>
      <c r="S58" s="113">
        <v>2400</v>
      </c>
      <c r="T58" s="114" t="s">
        <v>783</v>
      </c>
      <c r="U58" s="71">
        <v>2400</v>
      </c>
      <c r="V58" s="73" t="s">
        <v>806</v>
      </c>
      <c r="W58" s="71">
        <v>2400</v>
      </c>
      <c r="X58" s="73" t="s">
        <v>894</v>
      </c>
      <c r="Y58" s="71">
        <v>2400</v>
      </c>
      <c r="Z58" s="73">
        <v>45646</v>
      </c>
      <c r="AA58" s="71">
        <v>2400</v>
      </c>
      <c r="AB58" s="73" t="s">
        <v>979</v>
      </c>
      <c r="AC58" s="71">
        <v>2400</v>
      </c>
      <c r="AD58" s="73" t="s">
        <v>1007</v>
      </c>
      <c r="AE58" s="71">
        <v>2400</v>
      </c>
      <c r="AF58" s="73" t="s">
        <v>1012</v>
      </c>
      <c r="AG58" s="71">
        <v>2400</v>
      </c>
      <c r="AH58" s="73" t="s">
        <v>1027</v>
      </c>
      <c r="AI58" s="71">
        <f t="shared" si="30"/>
        <v>2400</v>
      </c>
      <c r="AJ58" s="73">
        <v>45797</v>
      </c>
      <c r="AK58" s="71">
        <f t="shared" si="31"/>
        <v>2400</v>
      </c>
      <c r="AL58" s="73">
        <v>45828</v>
      </c>
      <c r="AM58" s="135">
        <f t="shared" si="32"/>
        <v>2400</v>
      </c>
      <c r="AN58" s="137">
        <v>45858</v>
      </c>
      <c r="AO58" s="71">
        <f t="shared" si="33"/>
        <v>2400</v>
      </c>
      <c r="AP58" s="73">
        <v>45889</v>
      </c>
      <c r="AQ58" s="154"/>
      <c r="AR58" s="155"/>
      <c r="AS58" s="156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7"/>
      <c r="BO58" s="154"/>
      <c r="BP58" s="155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  <c r="CJ58" s="155"/>
      <c r="CK58" s="155"/>
      <c r="CL58" s="158"/>
      <c r="CM58" s="159" t="s">
        <v>319</v>
      </c>
      <c r="CN58" s="160" t="s">
        <v>320</v>
      </c>
      <c r="CO58" s="161" t="s">
        <v>321</v>
      </c>
      <c r="CP58" s="162" t="s">
        <v>322</v>
      </c>
      <c r="CQ58" s="126" t="s">
        <v>323</v>
      </c>
      <c r="CR58" s="127"/>
      <c r="CS58" s="128"/>
      <c r="CT58" s="129"/>
      <c r="CU58" s="73"/>
      <c r="CV58" s="130"/>
      <c r="CW58" s="131"/>
      <c r="CX58" s="131"/>
      <c r="CY58" s="132"/>
      <c r="CZ58" s="148"/>
      <c r="DA58" s="134"/>
      <c r="DB58" s="135"/>
      <c r="DC58" s="137"/>
      <c r="DD58" s="135"/>
      <c r="DE58" s="137"/>
      <c r="DF58" s="135"/>
      <c r="DG58" s="137"/>
      <c r="DH58" s="92">
        <f t="shared" ref="DH58:DH62" si="34">10000-DF58-DD58-DB58-CZ58</f>
        <v>10000</v>
      </c>
      <c r="DI58" s="138"/>
      <c r="DJ58" s="139"/>
      <c r="DK58" s="139"/>
      <c r="DL58" s="139"/>
      <c r="DM58" s="139"/>
      <c r="DN58" s="139"/>
      <c r="DO58" s="139"/>
      <c r="DP58" s="139"/>
      <c r="DQ58" s="140"/>
      <c r="DR58" s="138"/>
      <c r="DS58" s="139"/>
      <c r="DT58" s="139"/>
      <c r="DU58" s="139"/>
      <c r="DV58" s="139"/>
      <c r="DW58" s="139"/>
      <c r="DX58" s="139"/>
      <c r="DY58" s="139"/>
      <c r="DZ58" s="141"/>
      <c r="EA58" s="163" t="s">
        <v>387</v>
      </c>
      <c r="EB58" s="198" t="s">
        <v>388</v>
      </c>
      <c r="EC58" s="160">
        <v>7000021</v>
      </c>
      <c r="ED58" s="165" t="s">
        <v>389</v>
      </c>
      <c r="EE58" s="166" t="s">
        <v>390</v>
      </c>
      <c r="EF58" s="166" t="s">
        <v>391</v>
      </c>
      <c r="EG58" s="166" t="s">
        <v>392</v>
      </c>
      <c r="EH58" s="166" t="s">
        <v>393</v>
      </c>
      <c r="EI58" s="165" t="s">
        <v>394</v>
      </c>
      <c r="EJ58" s="165" t="s">
        <v>395</v>
      </c>
      <c r="EK58" s="165" t="s">
        <v>396</v>
      </c>
      <c r="EL58" s="165" t="s">
        <v>397</v>
      </c>
      <c r="EM58" s="167" t="s">
        <v>398</v>
      </c>
      <c r="EN58" s="168"/>
      <c r="EO58" s="166"/>
      <c r="EP58" s="166"/>
      <c r="EQ58" s="165"/>
      <c r="ER58" s="169"/>
      <c r="ES58" s="169"/>
      <c r="ET58" s="170"/>
      <c r="EU58" s="171"/>
      <c r="EV58" s="99"/>
      <c r="EW58" s="99"/>
      <c r="EX58" s="99"/>
      <c r="EY58" s="99"/>
      <c r="EZ58" s="104"/>
      <c r="FA58" s="172"/>
      <c r="FB58" s="173"/>
      <c r="FC58" s="135"/>
      <c r="FD58" s="131"/>
      <c r="FE58" s="135"/>
      <c r="FF58" s="131"/>
      <c r="FG58" s="174"/>
      <c r="FH58" s="99"/>
      <c r="FI58" s="149"/>
      <c r="FJ58" s="150"/>
      <c r="FK58" s="151"/>
      <c r="FL58" s="118"/>
      <c r="FM58" s="135"/>
      <c r="FN58" s="118"/>
      <c r="FO58" s="151"/>
      <c r="FP58" s="118"/>
      <c r="FQ58" s="151"/>
      <c r="FR58" s="118"/>
      <c r="FS58" s="135"/>
      <c r="FT58" s="131"/>
      <c r="FU58" s="174"/>
      <c r="FV58" s="99"/>
      <c r="FW58" s="135"/>
      <c r="FX58" s="104"/>
      <c r="FY58" s="103"/>
      <c r="FZ58" s="99"/>
      <c r="GA58" s="99"/>
      <c r="GB58" s="99"/>
      <c r="GC58" s="99"/>
      <c r="GD58" s="99"/>
      <c r="GE58" s="99"/>
      <c r="GF58" s="99"/>
      <c r="GG58" s="99"/>
      <c r="GH58" s="99"/>
      <c r="GI58" s="99"/>
      <c r="GJ58" s="99"/>
      <c r="GK58" s="99"/>
      <c r="GL58" s="99"/>
      <c r="GM58" s="99"/>
      <c r="GN58" s="99"/>
      <c r="GO58" s="99"/>
      <c r="GP58" s="99"/>
      <c r="GQ58" s="99"/>
      <c r="GR58" s="99"/>
      <c r="GS58" s="99"/>
      <c r="GT58" s="99"/>
      <c r="GU58" s="99"/>
      <c r="GV58" s="104"/>
      <c r="GW58" s="103"/>
      <c r="GX58" s="99"/>
      <c r="GY58" s="99"/>
      <c r="GZ58" s="99"/>
      <c r="HA58" s="99"/>
      <c r="HB58" s="99"/>
      <c r="HC58" s="99"/>
      <c r="HD58" s="99"/>
      <c r="HE58" s="99"/>
      <c r="HF58" s="99"/>
      <c r="HG58" s="99"/>
      <c r="HH58" s="99"/>
      <c r="HI58" s="99"/>
      <c r="HJ58" s="99"/>
      <c r="HK58" s="99"/>
      <c r="HL58" s="99"/>
      <c r="HM58" s="99"/>
      <c r="HN58" s="99"/>
      <c r="HO58" s="99"/>
      <c r="HP58" s="99"/>
      <c r="HQ58" s="99"/>
      <c r="HR58" s="99"/>
      <c r="HS58" s="99"/>
      <c r="HT58" s="105"/>
      <c r="IG58" s="589"/>
      <c r="IH58" s="589"/>
      <c r="II58" s="589"/>
      <c r="IJ58" s="589"/>
      <c r="IK58" s="589"/>
      <c r="IL58" s="589"/>
      <c r="IM58" s="589"/>
      <c r="IN58" s="589"/>
      <c r="IO58" s="589"/>
      <c r="IP58" s="589"/>
      <c r="IQ58" s="589"/>
      <c r="IR58" s="589"/>
      <c r="JE58" s="589"/>
      <c r="JF58" s="589"/>
      <c r="JG58" s="589"/>
      <c r="JH58" s="589"/>
      <c r="JI58" s="589"/>
      <c r="JJ58" s="589"/>
      <c r="JK58" s="589"/>
      <c r="JL58" s="589"/>
      <c r="JM58" s="589"/>
      <c r="JN58" s="589"/>
      <c r="JO58" s="589"/>
      <c r="JP58" s="589"/>
    </row>
    <row r="59" spans="1:276" s="590" customFormat="1">
      <c r="A59" s="52">
        <f t="shared" si="2"/>
        <v>55</v>
      </c>
      <c r="B59" s="142" t="s">
        <v>206</v>
      </c>
      <c r="C59" s="54"/>
      <c r="D59" s="128" t="s">
        <v>848</v>
      </c>
      <c r="E59" s="56" t="s">
        <v>993</v>
      </c>
      <c r="F59" s="57"/>
      <c r="G59" s="58" t="s">
        <v>249</v>
      </c>
      <c r="H59" s="56" t="str">
        <f t="shared" si="28"/>
        <v>內湖區</v>
      </c>
      <c r="I59" s="56" t="s">
        <v>250</v>
      </c>
      <c r="J59" s="56" t="s">
        <v>251</v>
      </c>
      <c r="K59" s="56" t="s">
        <v>252</v>
      </c>
      <c r="L59" s="59">
        <v>85.32</v>
      </c>
      <c r="M59" s="56" t="s">
        <v>228</v>
      </c>
      <c r="N59" s="60">
        <v>45505</v>
      </c>
      <c r="O59" s="60">
        <f t="shared" si="29"/>
        <v>45869</v>
      </c>
      <c r="P59" s="175">
        <v>20000</v>
      </c>
      <c r="Q59" s="111">
        <v>4000</v>
      </c>
      <c r="R59" s="73" t="s">
        <v>806</v>
      </c>
      <c r="S59" s="71">
        <v>2400</v>
      </c>
      <c r="T59" s="73" t="s">
        <v>806</v>
      </c>
      <c r="U59" s="71">
        <v>2400</v>
      </c>
      <c r="V59" s="73" t="s">
        <v>894</v>
      </c>
      <c r="W59" s="71">
        <v>2400</v>
      </c>
      <c r="X59" s="73">
        <v>45646</v>
      </c>
      <c r="Y59" s="71">
        <v>2400</v>
      </c>
      <c r="Z59" s="73" t="s">
        <v>979</v>
      </c>
      <c r="AA59" s="71">
        <v>2400</v>
      </c>
      <c r="AB59" s="73" t="s">
        <v>1007</v>
      </c>
      <c r="AC59" s="71">
        <v>2400</v>
      </c>
      <c r="AD59" s="73" t="s">
        <v>1012</v>
      </c>
      <c r="AE59" s="71">
        <v>2400</v>
      </c>
      <c r="AF59" s="73" t="s">
        <v>1027</v>
      </c>
      <c r="AG59" s="71">
        <f t="shared" ref="AG59:AG62" si="35">AE59</f>
        <v>2400</v>
      </c>
      <c r="AH59" s="73">
        <v>45797</v>
      </c>
      <c r="AI59" s="71">
        <f t="shared" si="30"/>
        <v>2400</v>
      </c>
      <c r="AJ59" s="73">
        <v>45828</v>
      </c>
      <c r="AK59" s="135">
        <f t="shared" si="31"/>
        <v>2400</v>
      </c>
      <c r="AL59" s="137">
        <v>45858</v>
      </c>
      <c r="AM59" s="71">
        <f t="shared" si="32"/>
        <v>2400</v>
      </c>
      <c r="AN59" s="73">
        <v>45889</v>
      </c>
      <c r="AO59" s="113">
        <v>2400</v>
      </c>
      <c r="AP59" s="114">
        <v>45920</v>
      </c>
      <c r="AQ59" s="177"/>
      <c r="AR59" s="131"/>
      <c r="AS59" s="130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2"/>
      <c r="BO59" s="177"/>
      <c r="BP59" s="131"/>
      <c r="BQ59" s="131"/>
      <c r="BR59" s="131"/>
      <c r="BS59" s="131"/>
      <c r="BT59" s="131"/>
      <c r="BU59" s="131"/>
      <c r="BV59" s="131"/>
      <c r="BW59" s="131"/>
      <c r="BX59" s="131"/>
      <c r="BY59" s="131"/>
      <c r="BZ59" s="131"/>
      <c r="CA59" s="131"/>
      <c r="CB59" s="131"/>
      <c r="CC59" s="131"/>
      <c r="CD59" s="131"/>
      <c r="CE59" s="131"/>
      <c r="CF59" s="131"/>
      <c r="CG59" s="131"/>
      <c r="CH59" s="131"/>
      <c r="CI59" s="131"/>
      <c r="CJ59" s="131"/>
      <c r="CK59" s="131"/>
      <c r="CL59" s="178"/>
      <c r="CM59" s="179" t="s">
        <v>324</v>
      </c>
      <c r="CN59" s="180" t="s">
        <v>325</v>
      </c>
      <c r="CO59" s="180">
        <v>8220141</v>
      </c>
      <c r="CP59" s="181" t="s">
        <v>326</v>
      </c>
      <c r="CQ59" s="126" t="s">
        <v>327</v>
      </c>
      <c r="CR59" s="127"/>
      <c r="CS59" s="128"/>
      <c r="CT59" s="129"/>
      <c r="CU59" s="73"/>
      <c r="CV59" s="85"/>
      <c r="CW59" s="86"/>
      <c r="CX59" s="86"/>
      <c r="CY59" s="87"/>
      <c r="CZ59" s="88">
        <v>9500</v>
      </c>
      <c r="DA59" s="134">
        <v>45858</v>
      </c>
      <c r="DB59" s="135"/>
      <c r="DC59" s="137"/>
      <c r="DD59" s="135"/>
      <c r="DE59" s="91"/>
      <c r="DF59" s="90"/>
      <c r="DG59" s="91"/>
      <c r="DH59" s="92">
        <f t="shared" si="34"/>
        <v>500</v>
      </c>
      <c r="DI59" s="93"/>
      <c r="DJ59" s="94"/>
      <c r="DK59" s="94"/>
      <c r="DL59" s="94"/>
      <c r="DM59" s="94"/>
      <c r="DN59" s="94"/>
      <c r="DO59" s="94"/>
      <c r="DP59" s="94"/>
      <c r="DQ59" s="95"/>
      <c r="DR59" s="93"/>
      <c r="DS59" s="94"/>
      <c r="DT59" s="94"/>
      <c r="DU59" s="94"/>
      <c r="DV59" s="94"/>
      <c r="DW59" s="94"/>
      <c r="DX59" s="94"/>
      <c r="DY59" s="94"/>
      <c r="DZ59" s="96"/>
      <c r="EA59" s="142" t="s">
        <v>399</v>
      </c>
      <c r="EB59" s="180" t="s">
        <v>400</v>
      </c>
      <c r="EC59" s="180">
        <v>8080129</v>
      </c>
      <c r="ED59" s="182" t="s">
        <v>401</v>
      </c>
      <c r="EE59" s="180"/>
      <c r="EF59" s="180"/>
      <c r="EG59" s="180"/>
      <c r="EH59" s="180"/>
      <c r="EI59" s="182"/>
      <c r="EJ59" s="182"/>
      <c r="EK59" s="182"/>
      <c r="EL59" s="182"/>
      <c r="EM59" s="183"/>
      <c r="EN59" s="184"/>
      <c r="EO59" s="180"/>
      <c r="EP59" s="180"/>
      <c r="EQ59" s="182"/>
      <c r="ER59" s="180"/>
      <c r="ES59" s="180"/>
      <c r="ET59" s="182"/>
      <c r="EU59" s="129"/>
      <c r="EV59" s="131"/>
      <c r="EW59" s="185"/>
      <c r="EX59" s="185"/>
      <c r="EY59" s="185"/>
      <c r="EZ59" s="186"/>
      <c r="FA59" s="187"/>
      <c r="FB59" s="131"/>
      <c r="FC59" s="188"/>
      <c r="FD59" s="185"/>
      <c r="FE59" s="188"/>
      <c r="FF59" s="131"/>
      <c r="FG59" s="188"/>
      <c r="FH59" s="185"/>
      <c r="FI59" s="149"/>
      <c r="FJ59" s="149"/>
      <c r="FK59" s="135"/>
      <c r="FL59" s="131"/>
      <c r="FM59" s="135"/>
      <c r="FN59" s="99"/>
      <c r="FO59" s="151"/>
      <c r="FP59" s="99"/>
      <c r="FQ59" s="151"/>
      <c r="FR59" s="131"/>
      <c r="FS59" s="90"/>
      <c r="FT59" s="99"/>
      <c r="FU59" s="135"/>
      <c r="FV59" s="185"/>
      <c r="FW59" s="174"/>
      <c r="FX59" s="186"/>
      <c r="FY59" s="103"/>
      <c r="FZ59" s="99"/>
      <c r="GA59" s="99"/>
      <c r="GB59" s="99"/>
      <c r="GC59" s="99"/>
      <c r="GD59" s="99"/>
      <c r="GE59" s="99"/>
      <c r="GF59" s="99"/>
      <c r="GG59" s="99"/>
      <c r="GH59" s="99"/>
      <c r="GI59" s="99"/>
      <c r="GJ59" s="99"/>
      <c r="GK59" s="99"/>
      <c r="GL59" s="99"/>
      <c r="GM59" s="99"/>
      <c r="GN59" s="99"/>
      <c r="GO59" s="99"/>
      <c r="GP59" s="99"/>
      <c r="GQ59" s="99"/>
      <c r="GR59" s="99"/>
      <c r="GS59" s="99"/>
      <c r="GT59" s="99"/>
      <c r="GU59" s="99"/>
      <c r="GV59" s="104"/>
      <c r="GW59" s="103"/>
      <c r="GX59" s="99"/>
      <c r="GY59" s="99"/>
      <c r="GZ59" s="99"/>
      <c r="HA59" s="99"/>
      <c r="HB59" s="99"/>
      <c r="HC59" s="99"/>
      <c r="HD59" s="99"/>
      <c r="HE59" s="99"/>
      <c r="HF59" s="99"/>
      <c r="HG59" s="99"/>
      <c r="HH59" s="99"/>
      <c r="HI59" s="99"/>
      <c r="HJ59" s="99"/>
      <c r="HK59" s="99"/>
      <c r="HL59" s="99"/>
      <c r="HM59" s="99"/>
      <c r="HN59" s="99"/>
      <c r="HO59" s="99"/>
      <c r="HP59" s="99"/>
      <c r="HQ59" s="99"/>
      <c r="HR59" s="99"/>
      <c r="HS59" s="99"/>
      <c r="HT59" s="105"/>
      <c r="IG59" s="589"/>
      <c r="IH59" s="589"/>
      <c r="II59" s="589"/>
      <c r="IJ59" s="589"/>
      <c r="IK59" s="589"/>
      <c r="IL59" s="589"/>
      <c r="IM59" s="589"/>
      <c r="IN59" s="589"/>
      <c r="IO59" s="589"/>
      <c r="IP59" s="589"/>
      <c r="IQ59" s="589"/>
      <c r="IR59" s="589"/>
      <c r="JD59" s="589"/>
      <c r="JE59" s="589"/>
      <c r="JF59" s="589"/>
      <c r="JG59" s="589"/>
      <c r="JH59" s="589"/>
      <c r="JI59" s="589"/>
      <c r="JJ59" s="589"/>
      <c r="JK59" s="589"/>
      <c r="JL59" s="589"/>
      <c r="JM59" s="589"/>
      <c r="JN59" s="589"/>
      <c r="JO59" s="589"/>
      <c r="JP59" s="589"/>
    </row>
    <row r="60" spans="1:276" s="590" customFormat="1">
      <c r="A60" s="52">
        <f t="shared" si="2"/>
        <v>56</v>
      </c>
      <c r="B60" s="142" t="s">
        <v>206</v>
      </c>
      <c r="C60" s="54"/>
      <c r="D60" s="128" t="s">
        <v>805</v>
      </c>
      <c r="E60" s="56" t="s">
        <v>993</v>
      </c>
      <c r="F60" s="57"/>
      <c r="G60" s="58" t="s">
        <v>253</v>
      </c>
      <c r="H60" s="56" t="str">
        <f t="shared" si="28"/>
        <v>中山區</v>
      </c>
      <c r="I60" s="56" t="s">
        <v>254</v>
      </c>
      <c r="J60" s="56" t="s">
        <v>255</v>
      </c>
      <c r="K60" s="56" t="s">
        <v>256</v>
      </c>
      <c r="L60" s="59">
        <v>46.27</v>
      </c>
      <c r="M60" s="56" t="s">
        <v>228</v>
      </c>
      <c r="N60" s="60">
        <v>45505</v>
      </c>
      <c r="O60" s="60">
        <f>N60+364</f>
        <v>45869</v>
      </c>
      <c r="P60" s="61">
        <v>15000</v>
      </c>
      <c r="Q60" s="111">
        <v>4000</v>
      </c>
      <c r="R60" s="73" t="s">
        <v>806</v>
      </c>
      <c r="S60" s="71">
        <v>2400</v>
      </c>
      <c r="T60" s="73" t="s">
        <v>806</v>
      </c>
      <c r="U60" s="71">
        <v>2400</v>
      </c>
      <c r="V60" s="73" t="s">
        <v>894</v>
      </c>
      <c r="W60" s="71">
        <v>2400</v>
      </c>
      <c r="X60" s="73">
        <v>45646</v>
      </c>
      <c r="Y60" s="71">
        <v>2400</v>
      </c>
      <c r="Z60" s="73" t="s">
        <v>979</v>
      </c>
      <c r="AA60" s="71">
        <v>2400</v>
      </c>
      <c r="AB60" s="73" t="s">
        <v>1007</v>
      </c>
      <c r="AC60" s="71">
        <v>2400</v>
      </c>
      <c r="AD60" s="73" t="s">
        <v>1012</v>
      </c>
      <c r="AE60" s="71">
        <v>2400</v>
      </c>
      <c r="AF60" s="73" t="s">
        <v>1027</v>
      </c>
      <c r="AG60" s="71">
        <f t="shared" si="35"/>
        <v>2400</v>
      </c>
      <c r="AH60" s="73">
        <v>45797</v>
      </c>
      <c r="AI60" s="71">
        <f t="shared" si="30"/>
        <v>2400</v>
      </c>
      <c r="AJ60" s="73">
        <v>45828</v>
      </c>
      <c r="AK60" s="135">
        <f t="shared" si="31"/>
        <v>2400</v>
      </c>
      <c r="AL60" s="137">
        <v>45858</v>
      </c>
      <c r="AM60" s="71">
        <f t="shared" si="32"/>
        <v>2400</v>
      </c>
      <c r="AN60" s="73">
        <v>45889</v>
      </c>
      <c r="AO60" s="113">
        <v>2400</v>
      </c>
      <c r="AP60" s="114">
        <v>45920</v>
      </c>
      <c r="AQ60" s="74"/>
      <c r="AR60" s="75"/>
      <c r="AS60" s="76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7"/>
      <c r="BO60" s="74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8"/>
      <c r="CM60" s="54" t="s">
        <v>328</v>
      </c>
      <c r="CN60" s="79" t="s">
        <v>329</v>
      </c>
      <c r="CO60" s="80">
        <v>8080211</v>
      </c>
      <c r="CP60" s="81" t="s">
        <v>330</v>
      </c>
      <c r="CQ60" s="126" t="s">
        <v>331</v>
      </c>
      <c r="CR60" s="83"/>
      <c r="CS60" s="55"/>
      <c r="CT60" s="84"/>
      <c r="CU60" s="68"/>
      <c r="CV60" s="85"/>
      <c r="CW60" s="86"/>
      <c r="CX60" s="86"/>
      <c r="CY60" s="87"/>
      <c r="CZ60" s="88"/>
      <c r="DA60" s="134"/>
      <c r="DB60" s="135"/>
      <c r="DC60" s="137"/>
      <c r="DD60" s="135"/>
      <c r="DE60" s="91"/>
      <c r="DF60" s="90"/>
      <c r="DG60" s="91"/>
      <c r="DH60" s="92">
        <f t="shared" si="34"/>
        <v>10000</v>
      </c>
      <c r="DI60" s="93"/>
      <c r="DJ60" s="94"/>
      <c r="DK60" s="94"/>
      <c r="DL60" s="94"/>
      <c r="DM60" s="94"/>
      <c r="DN60" s="94"/>
      <c r="DO60" s="94"/>
      <c r="DP60" s="94"/>
      <c r="DQ60" s="95"/>
      <c r="DR60" s="93"/>
      <c r="DS60" s="94"/>
      <c r="DT60" s="94"/>
      <c r="DU60" s="94"/>
      <c r="DV60" s="94"/>
      <c r="DW60" s="94"/>
      <c r="DX60" s="94"/>
      <c r="DY60" s="94"/>
      <c r="DZ60" s="96"/>
      <c r="EA60" s="142" t="s">
        <v>402</v>
      </c>
      <c r="EB60" s="97" t="s">
        <v>403</v>
      </c>
      <c r="EC60" s="97">
        <v>8220060</v>
      </c>
      <c r="ED60" s="182" t="s">
        <v>404</v>
      </c>
      <c r="EE60" s="180"/>
      <c r="EF60" s="180"/>
      <c r="EG60" s="180"/>
      <c r="EH60" s="180"/>
      <c r="EI60" s="182"/>
      <c r="EJ60" s="182"/>
      <c r="EK60" s="182"/>
      <c r="EL60" s="182"/>
      <c r="EM60" s="183"/>
      <c r="EN60" s="184"/>
      <c r="EO60" s="180"/>
      <c r="EP60" s="180"/>
      <c r="EQ60" s="182"/>
      <c r="ER60" s="79"/>
      <c r="ES60" s="79"/>
      <c r="ET60" s="97"/>
      <c r="EU60" s="84"/>
      <c r="EV60" s="86"/>
      <c r="EW60" s="86"/>
      <c r="EX60" s="86"/>
      <c r="EY60" s="86"/>
      <c r="EZ60" s="87"/>
      <c r="FA60" s="148"/>
      <c r="FB60" s="131"/>
      <c r="FC60" s="135"/>
      <c r="FD60" s="131"/>
      <c r="FE60" s="135"/>
      <c r="FF60" s="86"/>
      <c r="FG60" s="135"/>
      <c r="FH60" s="131"/>
      <c r="FI60" s="149"/>
      <c r="FJ60" s="150"/>
      <c r="FK60" s="151"/>
      <c r="FL60" s="118"/>
      <c r="FM60" s="135"/>
      <c r="FN60" s="118"/>
      <c r="FO60" s="151"/>
      <c r="FP60" s="118"/>
      <c r="FQ60" s="151"/>
      <c r="FR60" s="118"/>
      <c r="FS60" s="90"/>
      <c r="FT60" s="131"/>
      <c r="FU60" s="135"/>
      <c r="FV60" s="131"/>
      <c r="FW60" s="135"/>
      <c r="FX60" s="132"/>
      <c r="FY60" s="103"/>
      <c r="FZ60" s="99"/>
      <c r="GA60" s="99"/>
      <c r="GB60" s="99"/>
      <c r="GC60" s="99"/>
      <c r="GD60" s="99"/>
      <c r="GE60" s="99"/>
      <c r="GF60" s="99"/>
      <c r="GG60" s="99"/>
      <c r="GH60" s="99"/>
      <c r="GI60" s="99"/>
      <c r="GJ60" s="99"/>
      <c r="GK60" s="99"/>
      <c r="GL60" s="99"/>
      <c r="GM60" s="99"/>
      <c r="GN60" s="99"/>
      <c r="GO60" s="99"/>
      <c r="GP60" s="99"/>
      <c r="GQ60" s="99"/>
      <c r="GR60" s="99"/>
      <c r="GS60" s="99"/>
      <c r="GT60" s="99"/>
      <c r="GU60" s="99"/>
      <c r="GV60" s="104"/>
      <c r="GW60" s="103"/>
      <c r="GX60" s="99"/>
      <c r="GY60" s="99"/>
      <c r="GZ60" s="99"/>
      <c r="HA60" s="99"/>
      <c r="HB60" s="99"/>
      <c r="HC60" s="99"/>
      <c r="HD60" s="99"/>
      <c r="HE60" s="99"/>
      <c r="HF60" s="99"/>
      <c r="HG60" s="99"/>
      <c r="HH60" s="99"/>
      <c r="HI60" s="99"/>
      <c r="HJ60" s="99"/>
      <c r="HK60" s="99"/>
      <c r="HL60" s="99"/>
      <c r="HM60" s="99"/>
      <c r="HN60" s="99"/>
      <c r="HO60" s="99"/>
      <c r="HP60" s="99"/>
      <c r="HQ60" s="99"/>
      <c r="HR60" s="99"/>
      <c r="HS60" s="99"/>
      <c r="HT60" s="105"/>
      <c r="IG60" s="589"/>
      <c r="IH60" s="589"/>
      <c r="II60" s="589"/>
      <c r="IJ60" s="589"/>
      <c r="IK60" s="589"/>
      <c r="IL60" s="589"/>
      <c r="IM60" s="589"/>
      <c r="IN60" s="589"/>
      <c r="IO60" s="589"/>
      <c r="IP60" s="589"/>
      <c r="IQ60" s="589"/>
      <c r="IR60" s="589"/>
      <c r="JD60" s="589"/>
      <c r="JE60" s="589"/>
      <c r="JF60" s="589"/>
      <c r="JG60" s="589"/>
      <c r="JH60" s="589"/>
      <c r="JI60" s="589"/>
      <c r="JJ60" s="589"/>
      <c r="JK60" s="589"/>
      <c r="JL60" s="589"/>
      <c r="JM60" s="589"/>
      <c r="JN60" s="589"/>
      <c r="JO60" s="589"/>
      <c r="JP60" s="589"/>
    </row>
    <row r="61" spans="1:276" s="590" customFormat="1">
      <c r="A61" s="52">
        <f t="shared" si="2"/>
        <v>57</v>
      </c>
      <c r="B61" s="142" t="s">
        <v>206</v>
      </c>
      <c r="C61" s="54"/>
      <c r="D61" s="128" t="s">
        <v>915</v>
      </c>
      <c r="E61" s="56" t="s">
        <v>1082</v>
      </c>
      <c r="F61" s="57">
        <v>45796</v>
      </c>
      <c r="G61" s="58" t="s">
        <v>257</v>
      </c>
      <c r="H61" s="56" t="str">
        <f t="shared" si="28"/>
        <v>大安區</v>
      </c>
      <c r="I61" s="56" t="s">
        <v>909</v>
      </c>
      <c r="J61" s="56" t="s">
        <v>910</v>
      </c>
      <c r="K61" s="56" t="s">
        <v>911</v>
      </c>
      <c r="L61" s="59">
        <v>99.64</v>
      </c>
      <c r="M61" s="56" t="s">
        <v>228</v>
      </c>
      <c r="N61" s="60">
        <v>45536</v>
      </c>
      <c r="O61" s="60">
        <f t="shared" ref="O61:O63" si="36">N61+364</f>
        <v>45900</v>
      </c>
      <c r="P61" s="175">
        <v>35000</v>
      </c>
      <c r="Q61" s="111">
        <v>4000</v>
      </c>
      <c r="R61" s="73" t="s">
        <v>894</v>
      </c>
      <c r="S61" s="71">
        <v>2400</v>
      </c>
      <c r="T61" s="73" t="s">
        <v>894</v>
      </c>
      <c r="U61" s="71">
        <v>2400</v>
      </c>
      <c r="V61" s="73">
        <v>45646</v>
      </c>
      <c r="W61" s="71">
        <v>2400</v>
      </c>
      <c r="X61" s="73" t="s">
        <v>979</v>
      </c>
      <c r="Y61" s="71">
        <v>2400</v>
      </c>
      <c r="Z61" s="73" t="s">
        <v>1007</v>
      </c>
      <c r="AA61" s="71">
        <v>2400</v>
      </c>
      <c r="AB61" s="73" t="s">
        <v>1012</v>
      </c>
      <c r="AC61" s="71">
        <v>2400</v>
      </c>
      <c r="AD61" s="73" t="s">
        <v>1027</v>
      </c>
      <c r="AE61" s="71">
        <f t="shared" ref="AE61:AE66" si="37">AC61</f>
        <v>2400</v>
      </c>
      <c r="AF61" s="73">
        <v>45797</v>
      </c>
      <c r="AG61" s="71">
        <f t="shared" si="35"/>
        <v>2400</v>
      </c>
      <c r="AH61" s="73">
        <v>45828</v>
      </c>
      <c r="AI61" s="135">
        <f t="shared" si="30"/>
        <v>2400</v>
      </c>
      <c r="AJ61" s="137">
        <v>45858</v>
      </c>
      <c r="AK61" s="71" t="s">
        <v>1083</v>
      </c>
      <c r="AL61" s="73" t="s">
        <v>1083</v>
      </c>
      <c r="AM61" s="71" t="s">
        <v>1083</v>
      </c>
      <c r="AN61" s="73" t="s">
        <v>1083</v>
      </c>
      <c r="AO61" s="71" t="s">
        <v>1083</v>
      </c>
      <c r="AP61" s="73" t="s">
        <v>1083</v>
      </c>
      <c r="AQ61" s="177"/>
      <c r="AR61" s="131"/>
      <c r="AS61" s="130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2"/>
      <c r="BO61" s="177"/>
      <c r="BP61" s="131"/>
      <c r="BQ61" s="131"/>
      <c r="BR61" s="131"/>
      <c r="BS61" s="131"/>
      <c r="BT61" s="131"/>
      <c r="BU61" s="131"/>
      <c r="BV61" s="131"/>
      <c r="BW61" s="131"/>
      <c r="BX61" s="131"/>
      <c r="BY61" s="131"/>
      <c r="BZ61" s="131"/>
      <c r="CA61" s="131"/>
      <c r="CB61" s="131"/>
      <c r="CC61" s="131"/>
      <c r="CD61" s="131"/>
      <c r="CE61" s="131"/>
      <c r="CF61" s="131"/>
      <c r="CG61" s="131"/>
      <c r="CH61" s="131"/>
      <c r="CI61" s="131"/>
      <c r="CJ61" s="131"/>
      <c r="CK61" s="131"/>
      <c r="CL61" s="178"/>
      <c r="CM61" s="179" t="s">
        <v>332</v>
      </c>
      <c r="CN61" s="180" t="s">
        <v>333</v>
      </c>
      <c r="CO61" s="180">
        <v>8080532</v>
      </c>
      <c r="CP61" s="181" t="s">
        <v>912</v>
      </c>
      <c r="CQ61" s="126" t="s">
        <v>913</v>
      </c>
      <c r="CR61" s="127"/>
      <c r="CS61" s="128"/>
      <c r="CT61" s="129">
        <v>3300</v>
      </c>
      <c r="CU61" s="73" t="s">
        <v>894</v>
      </c>
      <c r="CV61" s="85"/>
      <c r="CW61" s="86"/>
      <c r="CX61" s="86"/>
      <c r="CY61" s="87"/>
      <c r="CZ61" s="88"/>
      <c r="DA61" s="134"/>
      <c r="DB61" s="135"/>
      <c r="DC61" s="137"/>
      <c r="DD61" s="135"/>
      <c r="DE61" s="91"/>
      <c r="DF61" s="90"/>
      <c r="DG61" s="91"/>
      <c r="DH61" s="92">
        <f t="shared" si="34"/>
        <v>10000</v>
      </c>
      <c r="DI61" s="93"/>
      <c r="DJ61" s="94"/>
      <c r="DK61" s="94"/>
      <c r="DL61" s="94"/>
      <c r="DM61" s="94"/>
      <c r="DN61" s="94"/>
      <c r="DO61" s="94"/>
      <c r="DP61" s="94"/>
      <c r="DQ61" s="95"/>
      <c r="DR61" s="93"/>
      <c r="DS61" s="94"/>
      <c r="DT61" s="94"/>
      <c r="DU61" s="94"/>
      <c r="DV61" s="94"/>
      <c r="DW61" s="94"/>
      <c r="DX61" s="94"/>
      <c r="DY61" s="94"/>
      <c r="DZ61" s="96"/>
      <c r="EA61" s="142" t="s">
        <v>405</v>
      </c>
      <c r="EB61" s="180" t="s">
        <v>406</v>
      </c>
      <c r="EC61" s="180">
        <v>7000021</v>
      </c>
      <c r="ED61" s="182" t="s">
        <v>914</v>
      </c>
      <c r="EE61" s="180" t="s">
        <v>408</v>
      </c>
      <c r="EF61" s="180" t="s">
        <v>409</v>
      </c>
      <c r="EG61" s="180" t="s">
        <v>410</v>
      </c>
      <c r="EH61" s="180" t="s">
        <v>411</v>
      </c>
      <c r="EI61" s="182" t="s">
        <v>412</v>
      </c>
      <c r="EJ61" s="182" t="s">
        <v>413</v>
      </c>
      <c r="EK61" s="182" t="s">
        <v>414</v>
      </c>
      <c r="EL61" s="182" t="s">
        <v>415</v>
      </c>
      <c r="EM61" s="183" t="s">
        <v>398</v>
      </c>
      <c r="EN61" s="184"/>
      <c r="EO61" s="180"/>
      <c r="EP61" s="180"/>
      <c r="EQ61" s="182"/>
      <c r="ER61" s="180"/>
      <c r="ES61" s="180"/>
      <c r="ET61" s="182"/>
      <c r="EU61" s="129"/>
      <c r="EV61" s="131"/>
      <c r="EW61" s="185"/>
      <c r="EX61" s="185"/>
      <c r="EY61" s="185"/>
      <c r="EZ61" s="186"/>
      <c r="FA61" s="187"/>
      <c r="FB61" s="131"/>
      <c r="FC61" s="188"/>
      <c r="FD61" s="185"/>
      <c r="FE61" s="188"/>
      <c r="FF61" s="131"/>
      <c r="FG61" s="188"/>
      <c r="FH61" s="185"/>
      <c r="FI61" s="149"/>
      <c r="FJ61" s="149"/>
      <c r="FK61" s="135"/>
      <c r="FL61" s="131"/>
      <c r="FM61" s="135"/>
      <c r="FN61" s="99"/>
      <c r="FO61" s="151"/>
      <c r="FP61" s="99"/>
      <c r="FQ61" s="151"/>
      <c r="FR61" s="131"/>
      <c r="FS61" s="90"/>
      <c r="FT61" s="99"/>
      <c r="FU61" s="135"/>
      <c r="FV61" s="185"/>
      <c r="FW61" s="174"/>
      <c r="FX61" s="186"/>
      <c r="FY61" s="103"/>
      <c r="FZ61" s="99"/>
      <c r="GA61" s="99"/>
      <c r="GB61" s="99"/>
      <c r="GC61" s="99"/>
      <c r="GD61" s="99"/>
      <c r="GE61" s="99"/>
      <c r="GF61" s="99"/>
      <c r="GG61" s="99"/>
      <c r="GH61" s="99"/>
      <c r="GI61" s="99"/>
      <c r="GJ61" s="99"/>
      <c r="GK61" s="99"/>
      <c r="GL61" s="99"/>
      <c r="GM61" s="99"/>
      <c r="GN61" s="99"/>
      <c r="GO61" s="99"/>
      <c r="GP61" s="99"/>
      <c r="GQ61" s="99"/>
      <c r="GR61" s="99"/>
      <c r="GS61" s="99"/>
      <c r="GT61" s="99"/>
      <c r="GU61" s="99"/>
      <c r="GV61" s="104"/>
      <c r="GW61" s="103"/>
      <c r="GX61" s="99"/>
      <c r="GY61" s="99"/>
      <c r="GZ61" s="99"/>
      <c r="HA61" s="99"/>
      <c r="HB61" s="99"/>
      <c r="HC61" s="99"/>
      <c r="HD61" s="99"/>
      <c r="HE61" s="99"/>
      <c r="HF61" s="99"/>
      <c r="HG61" s="99"/>
      <c r="HH61" s="99"/>
      <c r="HI61" s="99"/>
      <c r="HJ61" s="99"/>
      <c r="HK61" s="99"/>
      <c r="HL61" s="99"/>
      <c r="HM61" s="99"/>
      <c r="HN61" s="99"/>
      <c r="HO61" s="99"/>
      <c r="HP61" s="99"/>
      <c r="HQ61" s="99"/>
      <c r="HR61" s="99"/>
      <c r="HS61" s="99"/>
      <c r="HT61" s="105"/>
      <c r="IG61" s="589"/>
      <c r="IH61" s="589"/>
      <c r="II61" s="589"/>
      <c r="IJ61" s="589"/>
      <c r="IK61" s="589"/>
      <c r="IL61" s="589"/>
      <c r="IM61" s="589"/>
      <c r="IN61" s="589"/>
      <c r="IO61" s="589"/>
      <c r="IP61" s="589"/>
      <c r="IQ61" s="589"/>
      <c r="IR61" s="589"/>
      <c r="JD61" s="589"/>
      <c r="JE61" s="589"/>
      <c r="JF61" s="589"/>
      <c r="JG61" s="589"/>
      <c r="JH61" s="589"/>
      <c r="JI61" s="589"/>
      <c r="JJ61" s="589"/>
      <c r="JK61" s="589"/>
      <c r="JL61" s="589"/>
      <c r="JM61" s="589"/>
      <c r="JN61" s="589"/>
      <c r="JO61" s="589"/>
      <c r="JP61" s="589"/>
    </row>
    <row r="62" spans="1:276" s="590" customFormat="1">
      <c r="A62" s="52">
        <f t="shared" si="2"/>
        <v>58</v>
      </c>
      <c r="B62" s="142" t="s">
        <v>206</v>
      </c>
      <c r="C62" s="54"/>
      <c r="D62" s="128" t="s">
        <v>941</v>
      </c>
      <c r="E62" s="56"/>
      <c r="F62" s="57"/>
      <c r="G62" s="58" t="s">
        <v>269</v>
      </c>
      <c r="H62" s="56" t="str">
        <f t="shared" si="28"/>
        <v>士林區</v>
      </c>
      <c r="I62" s="56" t="s">
        <v>935</v>
      </c>
      <c r="J62" s="56" t="s">
        <v>936</v>
      </c>
      <c r="K62" s="56" t="s">
        <v>937</v>
      </c>
      <c r="L62" s="59">
        <v>65.319999999999993</v>
      </c>
      <c r="M62" s="56" t="s">
        <v>228</v>
      </c>
      <c r="N62" s="60">
        <v>45563</v>
      </c>
      <c r="O62" s="60">
        <f t="shared" si="36"/>
        <v>45927</v>
      </c>
      <c r="P62" s="175">
        <v>30000</v>
      </c>
      <c r="Q62" s="111">
        <v>4000</v>
      </c>
      <c r="R62" s="73" t="s">
        <v>894</v>
      </c>
      <c r="S62" s="71">
        <v>2400</v>
      </c>
      <c r="T62" s="73" t="s">
        <v>894</v>
      </c>
      <c r="U62" s="71">
        <v>2400</v>
      </c>
      <c r="V62" s="73">
        <v>45646</v>
      </c>
      <c r="W62" s="71">
        <v>2400</v>
      </c>
      <c r="X62" s="73" t="s">
        <v>979</v>
      </c>
      <c r="Y62" s="71">
        <v>2400</v>
      </c>
      <c r="Z62" s="73" t="s">
        <v>1007</v>
      </c>
      <c r="AA62" s="71">
        <v>2400</v>
      </c>
      <c r="AB62" s="73" t="s">
        <v>1012</v>
      </c>
      <c r="AC62" s="71">
        <v>2400</v>
      </c>
      <c r="AD62" s="73" t="s">
        <v>1027</v>
      </c>
      <c r="AE62" s="71">
        <f t="shared" si="37"/>
        <v>2400</v>
      </c>
      <c r="AF62" s="73">
        <v>45797</v>
      </c>
      <c r="AG62" s="71">
        <f t="shared" si="35"/>
        <v>2400</v>
      </c>
      <c r="AH62" s="73">
        <v>45828</v>
      </c>
      <c r="AI62" s="135">
        <f t="shared" si="30"/>
        <v>2400</v>
      </c>
      <c r="AJ62" s="137">
        <v>45858</v>
      </c>
      <c r="AK62" s="71">
        <f t="shared" si="31"/>
        <v>2400</v>
      </c>
      <c r="AL62" s="73">
        <v>45889</v>
      </c>
      <c r="AM62" s="113">
        <v>2400</v>
      </c>
      <c r="AN62" s="114">
        <v>45920</v>
      </c>
      <c r="AO62" s="113">
        <v>2400</v>
      </c>
      <c r="AP62" s="112">
        <v>45950</v>
      </c>
      <c r="AQ62" s="177"/>
      <c r="AR62" s="131"/>
      <c r="AS62" s="130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2"/>
      <c r="BO62" s="177"/>
      <c r="BP62" s="131"/>
      <c r="BQ62" s="131"/>
      <c r="BR62" s="131"/>
      <c r="BS62" s="131"/>
      <c r="BT62" s="131"/>
      <c r="BU62" s="131"/>
      <c r="BV62" s="131"/>
      <c r="BW62" s="131"/>
      <c r="BX62" s="131"/>
      <c r="BY62" s="131"/>
      <c r="BZ62" s="131"/>
      <c r="CA62" s="131"/>
      <c r="CB62" s="131"/>
      <c r="CC62" s="131"/>
      <c r="CD62" s="131"/>
      <c r="CE62" s="131"/>
      <c r="CF62" s="131"/>
      <c r="CG62" s="131"/>
      <c r="CH62" s="131"/>
      <c r="CI62" s="131"/>
      <c r="CJ62" s="131"/>
      <c r="CK62" s="131"/>
      <c r="CL62" s="178"/>
      <c r="CM62" s="179" t="s">
        <v>343</v>
      </c>
      <c r="CN62" s="180" t="s">
        <v>344</v>
      </c>
      <c r="CO62" s="180">
        <v>8220314</v>
      </c>
      <c r="CP62" s="181" t="s">
        <v>938</v>
      </c>
      <c r="CQ62" s="126" t="s">
        <v>939</v>
      </c>
      <c r="CR62" s="127"/>
      <c r="CS62" s="128"/>
      <c r="CT62" s="129">
        <v>3300</v>
      </c>
      <c r="CU62" s="73" t="s">
        <v>894</v>
      </c>
      <c r="CV62" s="85"/>
      <c r="CW62" s="86"/>
      <c r="CX62" s="86"/>
      <c r="CY62" s="87"/>
      <c r="CZ62" s="88"/>
      <c r="DA62" s="134"/>
      <c r="DB62" s="135"/>
      <c r="DC62" s="137"/>
      <c r="DD62" s="135"/>
      <c r="DE62" s="91"/>
      <c r="DF62" s="90"/>
      <c r="DG62" s="91"/>
      <c r="DH62" s="92">
        <f t="shared" si="34"/>
        <v>10000</v>
      </c>
      <c r="DI62" s="93"/>
      <c r="DJ62" s="94"/>
      <c r="DK62" s="94"/>
      <c r="DL62" s="94"/>
      <c r="DM62" s="94"/>
      <c r="DN62" s="94"/>
      <c r="DO62" s="94"/>
      <c r="DP62" s="94"/>
      <c r="DQ62" s="95"/>
      <c r="DR62" s="93"/>
      <c r="DS62" s="94"/>
      <c r="DT62" s="94"/>
      <c r="DU62" s="94"/>
      <c r="DV62" s="94"/>
      <c r="DW62" s="94"/>
      <c r="DX62" s="94"/>
      <c r="DY62" s="94"/>
      <c r="DZ62" s="96"/>
      <c r="EA62" s="142" t="s">
        <v>428</v>
      </c>
      <c r="EB62" s="180" t="s">
        <v>429</v>
      </c>
      <c r="EC62" s="180">
        <v>8080163</v>
      </c>
      <c r="ED62" s="182" t="s">
        <v>940</v>
      </c>
      <c r="EE62" s="180"/>
      <c r="EF62" s="180"/>
      <c r="EG62" s="180"/>
      <c r="EH62" s="180"/>
      <c r="EI62" s="182"/>
      <c r="EJ62" s="182"/>
      <c r="EK62" s="182"/>
      <c r="EL62" s="182"/>
      <c r="EM62" s="183"/>
      <c r="EN62" s="184"/>
      <c r="EO62" s="180"/>
      <c r="EP62" s="180"/>
      <c r="EQ62" s="182"/>
      <c r="ER62" s="180"/>
      <c r="ES62" s="180"/>
      <c r="ET62" s="182"/>
      <c r="EU62" s="129"/>
      <c r="EV62" s="131"/>
      <c r="EW62" s="185"/>
      <c r="EX62" s="185"/>
      <c r="EY62" s="185"/>
      <c r="EZ62" s="186"/>
      <c r="FA62" s="187"/>
      <c r="FB62" s="131"/>
      <c r="FC62" s="188"/>
      <c r="FD62" s="185"/>
      <c r="FE62" s="188"/>
      <c r="FF62" s="131"/>
      <c r="FG62" s="188"/>
      <c r="FH62" s="185"/>
      <c r="FI62" s="149"/>
      <c r="FJ62" s="149"/>
      <c r="FK62" s="135"/>
      <c r="FL62" s="131"/>
      <c r="FM62" s="135"/>
      <c r="FN62" s="99"/>
      <c r="FO62" s="151"/>
      <c r="FP62" s="99"/>
      <c r="FQ62" s="151"/>
      <c r="FR62" s="131"/>
      <c r="FS62" s="90"/>
      <c r="FT62" s="99"/>
      <c r="FU62" s="135"/>
      <c r="FV62" s="185"/>
      <c r="FW62" s="174"/>
      <c r="FX62" s="186"/>
      <c r="FY62" s="103"/>
      <c r="FZ62" s="99"/>
      <c r="GA62" s="99"/>
      <c r="GB62" s="99"/>
      <c r="GC62" s="99"/>
      <c r="GD62" s="99"/>
      <c r="GE62" s="99"/>
      <c r="GF62" s="99"/>
      <c r="GG62" s="99"/>
      <c r="GH62" s="99"/>
      <c r="GI62" s="99"/>
      <c r="GJ62" s="99"/>
      <c r="GK62" s="99"/>
      <c r="GL62" s="99"/>
      <c r="GM62" s="99"/>
      <c r="GN62" s="99"/>
      <c r="GO62" s="99"/>
      <c r="GP62" s="99"/>
      <c r="GQ62" s="99"/>
      <c r="GR62" s="99"/>
      <c r="GS62" s="99"/>
      <c r="GT62" s="99"/>
      <c r="GU62" s="99"/>
      <c r="GV62" s="104"/>
      <c r="GW62" s="103"/>
      <c r="GX62" s="99"/>
      <c r="GY62" s="99"/>
      <c r="GZ62" s="99"/>
      <c r="HA62" s="99"/>
      <c r="HB62" s="99"/>
      <c r="HC62" s="99"/>
      <c r="HD62" s="99"/>
      <c r="HE62" s="99"/>
      <c r="HF62" s="99"/>
      <c r="HG62" s="99"/>
      <c r="HH62" s="99"/>
      <c r="HI62" s="99"/>
      <c r="HJ62" s="99"/>
      <c r="HK62" s="99"/>
      <c r="HL62" s="99"/>
      <c r="HM62" s="99"/>
      <c r="HN62" s="99"/>
      <c r="HO62" s="99"/>
      <c r="HP62" s="99"/>
      <c r="HQ62" s="99"/>
      <c r="HR62" s="99"/>
      <c r="HS62" s="99"/>
      <c r="HT62" s="105"/>
      <c r="IG62" s="589"/>
      <c r="IH62" s="589"/>
      <c r="II62" s="589"/>
      <c r="IJ62" s="589"/>
      <c r="IK62" s="589"/>
      <c r="IL62" s="589"/>
      <c r="IM62" s="589"/>
      <c r="IN62" s="589"/>
      <c r="IO62" s="589"/>
      <c r="IP62" s="589"/>
      <c r="IQ62" s="589"/>
      <c r="IR62" s="589"/>
      <c r="JD62" s="589"/>
      <c r="JE62" s="589"/>
      <c r="JF62" s="589"/>
      <c r="JG62" s="589"/>
      <c r="JH62" s="589"/>
      <c r="JI62" s="589"/>
      <c r="JJ62" s="589"/>
      <c r="JK62" s="589"/>
      <c r="JL62" s="589"/>
      <c r="JM62" s="589"/>
      <c r="JN62" s="589"/>
      <c r="JO62" s="589"/>
      <c r="JP62" s="589"/>
    </row>
    <row r="63" spans="1:276" s="590" customFormat="1">
      <c r="A63" s="52">
        <f t="shared" si="2"/>
        <v>59</v>
      </c>
      <c r="B63" s="142" t="s">
        <v>206</v>
      </c>
      <c r="C63" s="54"/>
      <c r="D63" s="128" t="s">
        <v>948</v>
      </c>
      <c r="E63" s="106" t="s">
        <v>993</v>
      </c>
      <c r="F63" s="57"/>
      <c r="G63" s="58" t="s">
        <v>273</v>
      </c>
      <c r="H63" s="56" t="str">
        <f t="shared" si="28"/>
        <v>北投區</v>
      </c>
      <c r="I63" s="56" t="s">
        <v>942</v>
      </c>
      <c r="J63" s="56" t="s">
        <v>943</v>
      </c>
      <c r="K63" s="56" t="s">
        <v>944</v>
      </c>
      <c r="L63" s="59">
        <v>78.09</v>
      </c>
      <c r="M63" s="56" t="s">
        <v>228</v>
      </c>
      <c r="N63" s="60">
        <v>45565</v>
      </c>
      <c r="O63" s="60">
        <f t="shared" si="36"/>
        <v>45929</v>
      </c>
      <c r="P63" s="175">
        <v>20000</v>
      </c>
      <c r="Q63" s="111">
        <v>4000</v>
      </c>
      <c r="R63" s="73" t="s">
        <v>894</v>
      </c>
      <c r="S63" s="71">
        <v>2400</v>
      </c>
      <c r="T63" s="73" t="s">
        <v>894</v>
      </c>
      <c r="U63" s="71">
        <v>2400</v>
      </c>
      <c r="V63" s="73">
        <v>45646</v>
      </c>
      <c r="W63" s="71">
        <v>2400</v>
      </c>
      <c r="X63" s="73" t="s">
        <v>979</v>
      </c>
      <c r="Y63" s="71">
        <v>2400</v>
      </c>
      <c r="Z63" s="73" t="s">
        <v>1007</v>
      </c>
      <c r="AA63" s="71">
        <v>2400</v>
      </c>
      <c r="AB63" s="73" t="s">
        <v>1012</v>
      </c>
      <c r="AC63" s="71">
        <v>2400</v>
      </c>
      <c r="AD63" s="73" t="s">
        <v>1027</v>
      </c>
      <c r="AE63" s="71">
        <f t="shared" si="37"/>
        <v>2400</v>
      </c>
      <c r="AF63" s="73">
        <v>45797</v>
      </c>
      <c r="AG63" s="135">
        <f>AE63</f>
        <v>2400</v>
      </c>
      <c r="AH63" s="137">
        <v>45828</v>
      </c>
      <c r="AI63" s="135">
        <f t="shared" si="30"/>
        <v>2400</v>
      </c>
      <c r="AJ63" s="137">
        <v>45858</v>
      </c>
      <c r="AK63" s="71">
        <f t="shared" si="31"/>
        <v>2400</v>
      </c>
      <c r="AL63" s="73">
        <v>45889</v>
      </c>
      <c r="AM63" s="113">
        <v>2400</v>
      </c>
      <c r="AN63" s="114">
        <v>45920</v>
      </c>
      <c r="AO63" s="113">
        <v>2400</v>
      </c>
      <c r="AP63" s="112">
        <v>45950</v>
      </c>
      <c r="AQ63" s="177"/>
      <c r="AR63" s="131"/>
      <c r="AS63" s="130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  <c r="BN63" s="132"/>
      <c r="BO63" s="177"/>
      <c r="BP63" s="131"/>
      <c r="BQ63" s="131"/>
      <c r="BR63" s="131"/>
      <c r="BS63" s="131"/>
      <c r="BT63" s="131"/>
      <c r="BU63" s="131"/>
      <c r="BV63" s="131"/>
      <c r="BW63" s="131"/>
      <c r="BX63" s="131"/>
      <c r="BY63" s="131"/>
      <c r="BZ63" s="131"/>
      <c r="CA63" s="131"/>
      <c r="CB63" s="131"/>
      <c r="CC63" s="131"/>
      <c r="CD63" s="131"/>
      <c r="CE63" s="131"/>
      <c r="CF63" s="131"/>
      <c r="CG63" s="131"/>
      <c r="CH63" s="131"/>
      <c r="CI63" s="131"/>
      <c r="CJ63" s="131"/>
      <c r="CK63" s="131"/>
      <c r="CL63" s="178"/>
      <c r="CM63" s="179" t="s">
        <v>347</v>
      </c>
      <c r="CN63" s="180" t="s">
        <v>348</v>
      </c>
      <c r="CO63" s="180">
        <v>7000021</v>
      </c>
      <c r="CP63" s="181" t="s">
        <v>945</v>
      </c>
      <c r="CQ63" s="126" t="s">
        <v>946</v>
      </c>
      <c r="CR63" s="127"/>
      <c r="CS63" s="128"/>
      <c r="CT63" s="129"/>
      <c r="CU63" s="73"/>
      <c r="CV63" s="85"/>
      <c r="CW63" s="86"/>
      <c r="CX63" s="86"/>
      <c r="CY63" s="87"/>
      <c r="CZ63" s="88">
        <v>10000</v>
      </c>
      <c r="DA63" s="134">
        <v>45950</v>
      </c>
      <c r="DB63" s="135"/>
      <c r="DC63" s="137"/>
      <c r="DD63" s="135"/>
      <c r="DE63" s="91"/>
      <c r="DF63" s="90"/>
      <c r="DG63" s="91"/>
      <c r="DH63" s="92">
        <f>10000-DF63-DD63-DB63-CZ63</f>
        <v>0</v>
      </c>
      <c r="DI63" s="93"/>
      <c r="DJ63" s="94"/>
      <c r="DK63" s="94"/>
      <c r="DL63" s="94"/>
      <c r="DM63" s="94"/>
      <c r="DN63" s="94"/>
      <c r="DO63" s="94"/>
      <c r="DP63" s="94"/>
      <c r="DQ63" s="95"/>
      <c r="DR63" s="93"/>
      <c r="DS63" s="94"/>
      <c r="DT63" s="94"/>
      <c r="DU63" s="94"/>
      <c r="DV63" s="94"/>
      <c r="DW63" s="94"/>
      <c r="DX63" s="94"/>
      <c r="DY63" s="94"/>
      <c r="DZ63" s="96"/>
      <c r="EA63" s="142" t="s">
        <v>431</v>
      </c>
      <c r="EB63" s="180" t="s">
        <v>432</v>
      </c>
      <c r="EC63" s="180" t="s">
        <v>433</v>
      </c>
      <c r="ED63" s="182" t="s">
        <v>947</v>
      </c>
      <c r="EE63" s="180" t="s">
        <v>435</v>
      </c>
      <c r="EF63" s="180" t="s">
        <v>436</v>
      </c>
      <c r="EG63" s="180" t="s">
        <v>437</v>
      </c>
      <c r="EH63" s="180" t="s">
        <v>438</v>
      </c>
      <c r="EI63" s="182" t="s">
        <v>439</v>
      </c>
      <c r="EJ63" s="182" t="s">
        <v>410</v>
      </c>
      <c r="EK63" s="182" t="s">
        <v>440</v>
      </c>
      <c r="EL63" s="182" t="s">
        <v>441</v>
      </c>
      <c r="EM63" s="183" t="s">
        <v>442</v>
      </c>
      <c r="EN63" s="184"/>
      <c r="EO63" s="180"/>
      <c r="EP63" s="180"/>
      <c r="EQ63" s="182"/>
      <c r="ER63" s="180"/>
      <c r="ES63" s="180"/>
      <c r="ET63" s="182"/>
      <c r="EU63" s="129"/>
      <c r="EV63" s="131"/>
      <c r="EW63" s="185"/>
      <c r="EX63" s="185"/>
      <c r="EY63" s="185"/>
      <c r="EZ63" s="186"/>
      <c r="FA63" s="187"/>
      <c r="FB63" s="131"/>
      <c r="FC63" s="188"/>
      <c r="FD63" s="185"/>
      <c r="FE63" s="188"/>
      <c r="FF63" s="131"/>
      <c r="FG63" s="188"/>
      <c r="FH63" s="185"/>
      <c r="FI63" s="149"/>
      <c r="FJ63" s="149"/>
      <c r="FK63" s="135"/>
      <c r="FL63" s="131"/>
      <c r="FM63" s="135"/>
      <c r="FN63" s="99"/>
      <c r="FO63" s="151"/>
      <c r="FP63" s="99"/>
      <c r="FQ63" s="151"/>
      <c r="FR63" s="131"/>
      <c r="FS63" s="90"/>
      <c r="FT63" s="99"/>
      <c r="FU63" s="135"/>
      <c r="FV63" s="185"/>
      <c r="FW63" s="174"/>
      <c r="FX63" s="186"/>
      <c r="FY63" s="103"/>
      <c r="FZ63" s="99"/>
      <c r="GA63" s="99"/>
      <c r="GB63" s="99"/>
      <c r="GC63" s="99"/>
      <c r="GD63" s="99"/>
      <c r="GE63" s="99"/>
      <c r="GF63" s="99"/>
      <c r="GG63" s="99"/>
      <c r="GH63" s="99"/>
      <c r="GI63" s="99"/>
      <c r="GJ63" s="99"/>
      <c r="GK63" s="99"/>
      <c r="GL63" s="99"/>
      <c r="GM63" s="99"/>
      <c r="GN63" s="99"/>
      <c r="GO63" s="99"/>
      <c r="GP63" s="99"/>
      <c r="GQ63" s="99"/>
      <c r="GR63" s="99"/>
      <c r="GS63" s="99"/>
      <c r="GT63" s="99"/>
      <c r="GU63" s="99"/>
      <c r="GV63" s="104"/>
      <c r="GW63" s="103"/>
      <c r="GX63" s="99"/>
      <c r="GY63" s="99"/>
      <c r="GZ63" s="99"/>
      <c r="HA63" s="99"/>
      <c r="HB63" s="99"/>
      <c r="HC63" s="99"/>
      <c r="HD63" s="99"/>
      <c r="HE63" s="99"/>
      <c r="HF63" s="99"/>
      <c r="HG63" s="99"/>
      <c r="HH63" s="99"/>
      <c r="HI63" s="99"/>
      <c r="HJ63" s="99"/>
      <c r="HK63" s="99"/>
      <c r="HL63" s="99"/>
      <c r="HM63" s="99"/>
      <c r="HN63" s="99"/>
      <c r="HO63" s="99"/>
      <c r="HP63" s="99"/>
      <c r="HQ63" s="99"/>
      <c r="HR63" s="99"/>
      <c r="HS63" s="99"/>
      <c r="HT63" s="105"/>
      <c r="IG63" s="589"/>
      <c r="IH63" s="589"/>
      <c r="II63" s="589"/>
      <c r="IJ63" s="589"/>
      <c r="IK63" s="589"/>
      <c r="IL63" s="589"/>
      <c r="IM63" s="589"/>
      <c r="IN63" s="589"/>
      <c r="IO63" s="589"/>
      <c r="IP63" s="589"/>
      <c r="IQ63" s="589"/>
      <c r="IR63" s="589"/>
      <c r="JD63" s="589"/>
      <c r="JE63" s="589"/>
      <c r="JF63" s="589"/>
      <c r="JG63" s="589"/>
      <c r="JH63" s="589"/>
      <c r="JI63" s="589"/>
      <c r="JJ63" s="589"/>
      <c r="JK63" s="589"/>
      <c r="JL63" s="589"/>
      <c r="JM63" s="589"/>
      <c r="JN63" s="589"/>
      <c r="JO63" s="589"/>
      <c r="JP63" s="589"/>
    </row>
    <row r="64" spans="1:276" s="590" customFormat="1">
      <c r="A64" s="52">
        <f t="shared" si="2"/>
        <v>60</v>
      </c>
      <c r="B64" s="142" t="s">
        <v>206</v>
      </c>
      <c r="C64" s="54"/>
      <c r="D64" s="128" t="s">
        <v>958</v>
      </c>
      <c r="E64" s="106" t="s">
        <v>993</v>
      </c>
      <c r="F64" s="57"/>
      <c r="G64" s="58" t="s">
        <v>277</v>
      </c>
      <c r="H64" s="56" t="str">
        <f t="shared" si="28"/>
        <v>萬華區</v>
      </c>
      <c r="I64" s="56" t="s">
        <v>279</v>
      </c>
      <c r="J64" s="56" t="s">
        <v>280</v>
      </c>
      <c r="K64" s="56" t="s">
        <v>281</v>
      </c>
      <c r="L64" s="59">
        <v>65.010000000000005</v>
      </c>
      <c r="M64" s="56" t="s">
        <v>228</v>
      </c>
      <c r="N64" s="60">
        <v>45575</v>
      </c>
      <c r="O64" s="60">
        <f>N64+364</f>
        <v>45939</v>
      </c>
      <c r="P64" s="175">
        <v>15000</v>
      </c>
      <c r="Q64" s="111">
        <v>4000</v>
      </c>
      <c r="R64" s="73">
        <v>45646</v>
      </c>
      <c r="S64" s="71">
        <v>2400</v>
      </c>
      <c r="T64" s="73">
        <v>45646</v>
      </c>
      <c r="U64" s="71">
        <v>2400</v>
      </c>
      <c r="V64" s="73" t="s">
        <v>979</v>
      </c>
      <c r="W64" s="71">
        <v>2400</v>
      </c>
      <c r="X64" s="73" t="s">
        <v>1007</v>
      </c>
      <c r="Y64" s="71">
        <v>2400</v>
      </c>
      <c r="Z64" s="73" t="s">
        <v>1012</v>
      </c>
      <c r="AA64" s="71">
        <v>2400</v>
      </c>
      <c r="AB64" s="73" t="s">
        <v>1027</v>
      </c>
      <c r="AC64" s="71">
        <f t="shared" ref="AC64:AC66" si="38">AA64</f>
        <v>2400</v>
      </c>
      <c r="AD64" s="73">
        <v>45797</v>
      </c>
      <c r="AE64" s="71">
        <f t="shared" si="37"/>
        <v>2400</v>
      </c>
      <c r="AF64" s="73">
        <v>45828</v>
      </c>
      <c r="AG64" s="135">
        <f>AE64</f>
        <v>2400</v>
      </c>
      <c r="AH64" s="137">
        <v>45858</v>
      </c>
      <c r="AI64" s="71">
        <f t="shared" si="30"/>
        <v>2400</v>
      </c>
      <c r="AJ64" s="73">
        <v>45889</v>
      </c>
      <c r="AK64" s="113">
        <v>2400</v>
      </c>
      <c r="AL64" s="114">
        <v>45920</v>
      </c>
      <c r="AM64" s="113">
        <v>2400</v>
      </c>
      <c r="AN64" s="112">
        <v>45950</v>
      </c>
      <c r="AO64" s="71">
        <v>2400</v>
      </c>
      <c r="AP64" s="73">
        <v>45981</v>
      </c>
      <c r="AQ64" s="177"/>
      <c r="AR64" s="131"/>
      <c r="AS64" s="130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2"/>
      <c r="BO64" s="177"/>
      <c r="BP64" s="131"/>
      <c r="BQ64" s="131"/>
      <c r="BR64" s="131"/>
      <c r="BS64" s="131"/>
      <c r="BT64" s="131"/>
      <c r="BU64" s="131"/>
      <c r="BV64" s="131"/>
      <c r="BW64" s="131"/>
      <c r="BX64" s="131"/>
      <c r="BY64" s="131"/>
      <c r="BZ64" s="131"/>
      <c r="CA64" s="131"/>
      <c r="CB64" s="131"/>
      <c r="CC64" s="131"/>
      <c r="CD64" s="131"/>
      <c r="CE64" s="131"/>
      <c r="CF64" s="131"/>
      <c r="CG64" s="131"/>
      <c r="CH64" s="131"/>
      <c r="CI64" s="131"/>
      <c r="CJ64" s="131"/>
      <c r="CK64" s="131"/>
      <c r="CL64" s="178"/>
      <c r="CM64" s="179" t="s">
        <v>351</v>
      </c>
      <c r="CN64" s="180" t="s">
        <v>352</v>
      </c>
      <c r="CO64" s="184">
        <v>7000021</v>
      </c>
      <c r="CP64" s="181" t="s">
        <v>353</v>
      </c>
      <c r="CQ64" s="126" t="s">
        <v>277</v>
      </c>
      <c r="CR64" s="127"/>
      <c r="CS64" s="128"/>
      <c r="CT64" s="129"/>
      <c r="CU64" s="73"/>
      <c r="CV64" s="130"/>
      <c r="CW64" s="131"/>
      <c r="CX64" s="131"/>
      <c r="CY64" s="132"/>
      <c r="CZ64" s="71"/>
      <c r="DA64" s="134"/>
      <c r="DB64" s="135"/>
      <c r="DC64" s="137"/>
      <c r="DD64" s="135"/>
      <c r="DE64" s="137"/>
      <c r="DF64" s="135"/>
      <c r="DG64" s="137"/>
      <c r="DH64" s="92">
        <f>10000-DF64-DD64-DB64-CZ64</f>
        <v>10000</v>
      </c>
      <c r="DI64" s="129"/>
      <c r="DJ64" s="135"/>
      <c r="DK64" s="135"/>
      <c r="DL64" s="135"/>
      <c r="DM64" s="135"/>
      <c r="DN64" s="135"/>
      <c r="DO64" s="135"/>
      <c r="DP64" s="135"/>
      <c r="DQ64" s="189"/>
      <c r="DR64" s="129"/>
      <c r="DS64" s="135"/>
      <c r="DT64" s="135"/>
      <c r="DU64" s="135"/>
      <c r="DV64" s="135"/>
      <c r="DW64" s="135"/>
      <c r="DX64" s="135"/>
      <c r="DY64" s="135"/>
      <c r="DZ64" s="190"/>
      <c r="EA64" s="142" t="s">
        <v>443</v>
      </c>
      <c r="EB64" s="182" t="s">
        <v>444</v>
      </c>
      <c r="EC64" s="182">
        <v>8080417</v>
      </c>
      <c r="ED64" s="182" t="s">
        <v>445</v>
      </c>
      <c r="EE64" s="180"/>
      <c r="EF64" s="180"/>
      <c r="EG64" s="180"/>
      <c r="EH64" s="180"/>
      <c r="EI64" s="182"/>
      <c r="EJ64" s="182"/>
      <c r="EK64" s="182"/>
      <c r="EL64" s="182"/>
      <c r="EM64" s="183"/>
      <c r="EN64" s="184"/>
      <c r="EO64" s="180"/>
      <c r="EP64" s="180"/>
      <c r="EQ64" s="182"/>
      <c r="ER64" s="180"/>
      <c r="ES64" s="180"/>
      <c r="ET64" s="182"/>
      <c r="EU64" s="129"/>
      <c r="EV64" s="131"/>
      <c r="EW64" s="131"/>
      <c r="EX64" s="131"/>
      <c r="EY64" s="131"/>
      <c r="EZ64" s="132"/>
      <c r="FA64" s="148"/>
      <c r="FB64" s="131"/>
      <c r="FC64" s="135"/>
      <c r="FD64" s="131"/>
      <c r="FE64" s="135"/>
      <c r="FF64" s="131"/>
      <c r="FG64" s="135"/>
      <c r="FH64" s="131"/>
      <c r="FI64" s="135"/>
      <c r="FJ64" s="131"/>
      <c r="FK64" s="135"/>
      <c r="FL64" s="131"/>
      <c r="FM64" s="135"/>
      <c r="FN64" s="131"/>
      <c r="FO64" s="135"/>
      <c r="FP64" s="131"/>
      <c r="FQ64" s="135"/>
      <c r="FR64" s="131"/>
      <c r="FS64" s="135"/>
      <c r="FT64" s="131"/>
      <c r="FU64" s="135"/>
      <c r="FV64" s="131"/>
      <c r="FW64" s="135"/>
      <c r="FX64" s="132"/>
      <c r="FY64" s="103"/>
      <c r="FZ64" s="99"/>
      <c r="GA64" s="99"/>
      <c r="GB64" s="99"/>
      <c r="GC64" s="99"/>
      <c r="GD64" s="99"/>
      <c r="GE64" s="99"/>
      <c r="GF64" s="99"/>
      <c r="GG64" s="99"/>
      <c r="GH64" s="99"/>
      <c r="GI64" s="99"/>
      <c r="GJ64" s="99"/>
      <c r="GK64" s="99"/>
      <c r="GL64" s="99"/>
      <c r="GM64" s="99"/>
      <c r="GN64" s="99"/>
      <c r="GO64" s="99"/>
      <c r="GP64" s="99"/>
      <c r="GQ64" s="99"/>
      <c r="GR64" s="99"/>
      <c r="GS64" s="99"/>
      <c r="GT64" s="99"/>
      <c r="GU64" s="99"/>
      <c r="GV64" s="104"/>
      <c r="GW64" s="103"/>
      <c r="GX64" s="99"/>
      <c r="GY64" s="99"/>
      <c r="GZ64" s="99"/>
      <c r="HA64" s="99"/>
      <c r="HB64" s="99"/>
      <c r="HC64" s="99"/>
      <c r="HD64" s="99"/>
      <c r="HE64" s="99"/>
      <c r="HF64" s="99"/>
      <c r="HG64" s="99"/>
      <c r="HH64" s="99"/>
      <c r="HI64" s="99"/>
      <c r="HJ64" s="99"/>
      <c r="HK64" s="99"/>
      <c r="HL64" s="99"/>
      <c r="HM64" s="99"/>
      <c r="HN64" s="99"/>
      <c r="HO64" s="99"/>
      <c r="HP64" s="99"/>
      <c r="HQ64" s="99"/>
      <c r="HR64" s="99"/>
      <c r="HS64" s="99"/>
      <c r="HT64" s="105"/>
      <c r="JD64" s="589"/>
      <c r="JE64" s="589"/>
      <c r="JF64" s="589"/>
      <c r="JG64" s="589"/>
      <c r="JH64" s="589"/>
      <c r="JI64" s="589"/>
      <c r="JJ64" s="589"/>
      <c r="JK64" s="589"/>
      <c r="JL64" s="589"/>
      <c r="JM64" s="589"/>
      <c r="JN64" s="589"/>
      <c r="JO64" s="589"/>
    </row>
    <row r="65" spans="1:276" s="590" customFormat="1">
      <c r="A65" s="52">
        <f t="shared" si="2"/>
        <v>61</v>
      </c>
      <c r="B65" s="142" t="s">
        <v>206</v>
      </c>
      <c r="C65" s="54"/>
      <c r="D65" s="128" t="s">
        <v>976</v>
      </c>
      <c r="E65" s="106" t="s">
        <v>993</v>
      </c>
      <c r="F65" s="57"/>
      <c r="G65" s="58" t="s">
        <v>282</v>
      </c>
      <c r="H65" s="56" t="str">
        <f t="shared" si="28"/>
        <v>內湖區</v>
      </c>
      <c r="I65" s="56" t="s">
        <v>250</v>
      </c>
      <c r="J65" s="56" t="s">
        <v>283</v>
      </c>
      <c r="K65" s="56" t="s">
        <v>284</v>
      </c>
      <c r="L65" s="59">
        <v>79.7</v>
      </c>
      <c r="M65" s="56" t="s">
        <v>228</v>
      </c>
      <c r="N65" s="60">
        <v>45589</v>
      </c>
      <c r="O65" s="60">
        <f>N65+364</f>
        <v>45953</v>
      </c>
      <c r="P65" s="175">
        <v>17000</v>
      </c>
      <c r="Q65" s="111">
        <v>4000</v>
      </c>
      <c r="R65" s="73">
        <v>45646</v>
      </c>
      <c r="S65" s="71">
        <v>2400</v>
      </c>
      <c r="T65" s="73">
        <v>45646</v>
      </c>
      <c r="U65" s="71">
        <v>2400</v>
      </c>
      <c r="V65" s="73" t="s">
        <v>979</v>
      </c>
      <c r="W65" s="71">
        <v>2400</v>
      </c>
      <c r="X65" s="73" t="s">
        <v>1007</v>
      </c>
      <c r="Y65" s="71">
        <v>2400</v>
      </c>
      <c r="Z65" s="73" t="s">
        <v>1012</v>
      </c>
      <c r="AA65" s="71">
        <v>2400</v>
      </c>
      <c r="AB65" s="73" t="s">
        <v>1027</v>
      </c>
      <c r="AC65" s="71">
        <f t="shared" si="38"/>
        <v>2400</v>
      </c>
      <c r="AD65" s="73">
        <v>45797</v>
      </c>
      <c r="AE65" s="71">
        <f t="shared" si="37"/>
        <v>2400</v>
      </c>
      <c r="AF65" s="73">
        <v>45828</v>
      </c>
      <c r="AG65" s="135">
        <f>AE65</f>
        <v>2400</v>
      </c>
      <c r="AH65" s="137">
        <v>45858</v>
      </c>
      <c r="AI65" s="71">
        <f t="shared" si="30"/>
        <v>2400</v>
      </c>
      <c r="AJ65" s="73">
        <v>45889</v>
      </c>
      <c r="AK65" s="113">
        <v>2400</v>
      </c>
      <c r="AL65" s="114">
        <v>45920</v>
      </c>
      <c r="AM65" s="113">
        <v>2400</v>
      </c>
      <c r="AN65" s="112">
        <v>45950</v>
      </c>
      <c r="AO65" s="71">
        <v>2400</v>
      </c>
      <c r="AP65" s="73">
        <v>45981</v>
      </c>
      <c r="AQ65" s="177"/>
      <c r="AR65" s="131"/>
      <c r="AS65" s="130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2"/>
      <c r="BO65" s="177"/>
      <c r="BP65" s="131"/>
      <c r="BQ65" s="131"/>
      <c r="BR65" s="131"/>
      <c r="BS65" s="131"/>
      <c r="BT65" s="131"/>
      <c r="BU65" s="131"/>
      <c r="BV65" s="131"/>
      <c r="BW65" s="131"/>
      <c r="BX65" s="131"/>
      <c r="BY65" s="131"/>
      <c r="BZ65" s="131"/>
      <c r="CA65" s="131"/>
      <c r="CB65" s="131"/>
      <c r="CC65" s="131"/>
      <c r="CD65" s="131"/>
      <c r="CE65" s="131"/>
      <c r="CF65" s="131"/>
      <c r="CG65" s="131"/>
      <c r="CH65" s="131"/>
      <c r="CI65" s="131"/>
      <c r="CJ65" s="131"/>
      <c r="CK65" s="131"/>
      <c r="CL65" s="178"/>
      <c r="CM65" s="179" t="s">
        <v>354</v>
      </c>
      <c r="CN65" s="180" t="s">
        <v>355</v>
      </c>
      <c r="CO65" s="184">
        <v>8220266</v>
      </c>
      <c r="CP65" s="181" t="s">
        <v>356</v>
      </c>
      <c r="CQ65" s="126" t="s">
        <v>357</v>
      </c>
      <c r="CR65" s="127"/>
      <c r="CS65" s="128"/>
      <c r="CT65" s="129"/>
      <c r="CU65" s="73"/>
      <c r="CV65" s="130"/>
      <c r="CW65" s="131"/>
      <c r="CX65" s="131"/>
      <c r="CY65" s="132"/>
      <c r="CZ65" s="71">
        <v>10000</v>
      </c>
      <c r="DA65" s="134">
        <v>45920</v>
      </c>
      <c r="DB65" s="135"/>
      <c r="DC65" s="137"/>
      <c r="DD65" s="135"/>
      <c r="DE65" s="137"/>
      <c r="DF65" s="135"/>
      <c r="DG65" s="137"/>
      <c r="DH65" s="92">
        <f t="shared" ref="DH65" si="39">10000-DF65-DD65-DB65-CZ65</f>
        <v>0</v>
      </c>
      <c r="DI65" s="129"/>
      <c r="DJ65" s="135"/>
      <c r="DK65" s="135"/>
      <c r="DL65" s="135"/>
      <c r="DM65" s="135"/>
      <c r="DN65" s="135"/>
      <c r="DO65" s="135"/>
      <c r="DP65" s="135"/>
      <c r="DQ65" s="189"/>
      <c r="DR65" s="129"/>
      <c r="DS65" s="135"/>
      <c r="DT65" s="135"/>
      <c r="DU65" s="135"/>
      <c r="DV65" s="135"/>
      <c r="DW65" s="135"/>
      <c r="DX65" s="135"/>
      <c r="DY65" s="135"/>
      <c r="DZ65" s="190"/>
      <c r="EA65" s="142" t="s">
        <v>446</v>
      </c>
      <c r="EB65" s="182" t="s">
        <v>447</v>
      </c>
      <c r="EC65" s="182">
        <v>7000021</v>
      </c>
      <c r="ED65" s="182" t="s">
        <v>448</v>
      </c>
      <c r="EE65" s="180"/>
      <c r="EF65" s="180"/>
      <c r="EG65" s="180"/>
      <c r="EH65" s="180"/>
      <c r="EI65" s="182"/>
      <c r="EJ65" s="182"/>
      <c r="EK65" s="182"/>
      <c r="EL65" s="182"/>
      <c r="EM65" s="183"/>
      <c r="EN65" s="184"/>
      <c r="EO65" s="180"/>
      <c r="EP65" s="180"/>
      <c r="EQ65" s="182"/>
      <c r="ER65" s="180"/>
      <c r="ES65" s="180"/>
      <c r="ET65" s="182"/>
      <c r="EU65" s="129"/>
      <c r="EV65" s="131"/>
      <c r="EW65" s="131"/>
      <c r="EX65" s="131"/>
      <c r="EY65" s="131"/>
      <c r="EZ65" s="132"/>
      <c r="FA65" s="148"/>
      <c r="FB65" s="131"/>
      <c r="FC65" s="135"/>
      <c r="FD65" s="131"/>
      <c r="FE65" s="135"/>
      <c r="FF65" s="131"/>
      <c r="FG65" s="135"/>
      <c r="FH65" s="131"/>
      <c r="FI65" s="135"/>
      <c r="FJ65" s="131"/>
      <c r="FK65" s="135"/>
      <c r="FL65" s="131"/>
      <c r="FM65" s="135"/>
      <c r="FN65" s="131"/>
      <c r="FO65" s="135"/>
      <c r="FP65" s="131"/>
      <c r="FQ65" s="135"/>
      <c r="FR65" s="131"/>
      <c r="FS65" s="135"/>
      <c r="FT65" s="131"/>
      <c r="FU65" s="135"/>
      <c r="FV65" s="131"/>
      <c r="FW65" s="135"/>
      <c r="FX65" s="132"/>
      <c r="FY65" s="103"/>
      <c r="FZ65" s="99"/>
      <c r="GA65" s="99"/>
      <c r="GB65" s="99"/>
      <c r="GC65" s="99"/>
      <c r="GD65" s="99"/>
      <c r="GE65" s="99"/>
      <c r="GF65" s="99"/>
      <c r="GG65" s="99"/>
      <c r="GH65" s="99"/>
      <c r="GI65" s="99"/>
      <c r="GJ65" s="99"/>
      <c r="GK65" s="99"/>
      <c r="GL65" s="99"/>
      <c r="GM65" s="99"/>
      <c r="GN65" s="99"/>
      <c r="GO65" s="99"/>
      <c r="GP65" s="99"/>
      <c r="GQ65" s="99"/>
      <c r="GR65" s="99"/>
      <c r="GS65" s="99"/>
      <c r="GT65" s="99"/>
      <c r="GU65" s="99"/>
      <c r="GV65" s="104"/>
      <c r="GW65" s="103"/>
      <c r="GX65" s="99"/>
      <c r="GY65" s="99"/>
      <c r="GZ65" s="99"/>
      <c r="HA65" s="99"/>
      <c r="HB65" s="99"/>
      <c r="HC65" s="99"/>
      <c r="HD65" s="99"/>
      <c r="HE65" s="99"/>
      <c r="HF65" s="99"/>
      <c r="HG65" s="99"/>
      <c r="HH65" s="99"/>
      <c r="HI65" s="99"/>
      <c r="HJ65" s="99"/>
      <c r="HK65" s="99"/>
      <c r="HL65" s="99"/>
      <c r="HM65" s="99"/>
      <c r="HN65" s="99"/>
      <c r="HO65" s="99"/>
      <c r="HP65" s="99"/>
      <c r="HQ65" s="99"/>
      <c r="HR65" s="99"/>
      <c r="HS65" s="99"/>
      <c r="HT65" s="105"/>
      <c r="JD65" s="589"/>
      <c r="JE65" s="589"/>
      <c r="JF65" s="589"/>
      <c r="JG65" s="589"/>
      <c r="JH65" s="589"/>
      <c r="JI65" s="589"/>
      <c r="JJ65" s="589"/>
      <c r="JK65" s="589"/>
      <c r="JL65" s="589"/>
      <c r="JM65" s="589"/>
      <c r="JN65" s="589"/>
      <c r="JO65" s="589"/>
    </row>
    <row r="66" spans="1:276" s="590" customFormat="1">
      <c r="A66" s="52">
        <f t="shared" si="2"/>
        <v>62</v>
      </c>
      <c r="B66" s="142" t="s">
        <v>206</v>
      </c>
      <c r="C66" s="54"/>
      <c r="D66" s="128" t="s">
        <v>959</v>
      </c>
      <c r="E66" s="106" t="s">
        <v>993</v>
      </c>
      <c r="F66" s="57"/>
      <c r="G66" s="58" t="s">
        <v>285</v>
      </c>
      <c r="H66" s="56" t="str">
        <f t="shared" si="28"/>
        <v>中山區</v>
      </c>
      <c r="I66" s="56" t="s">
        <v>286</v>
      </c>
      <c r="J66" s="56" t="s">
        <v>287</v>
      </c>
      <c r="K66" s="56" t="s">
        <v>288</v>
      </c>
      <c r="L66" s="59">
        <v>37.340000000000003</v>
      </c>
      <c r="M66" s="56" t="s">
        <v>228</v>
      </c>
      <c r="N66" s="60">
        <v>45580</v>
      </c>
      <c r="O66" s="60">
        <f>N66+364</f>
        <v>45944</v>
      </c>
      <c r="P66" s="175">
        <v>23500</v>
      </c>
      <c r="Q66" s="111">
        <v>4000</v>
      </c>
      <c r="R66" s="73">
        <v>45646</v>
      </c>
      <c r="S66" s="71">
        <v>2400</v>
      </c>
      <c r="T66" s="73">
        <v>45646</v>
      </c>
      <c r="U66" s="71">
        <v>2400</v>
      </c>
      <c r="V66" s="73" t="s">
        <v>979</v>
      </c>
      <c r="W66" s="71">
        <v>2400</v>
      </c>
      <c r="X66" s="73" t="s">
        <v>1007</v>
      </c>
      <c r="Y66" s="71">
        <v>2400</v>
      </c>
      <c r="Z66" s="73" t="s">
        <v>1012</v>
      </c>
      <c r="AA66" s="71">
        <v>2400</v>
      </c>
      <c r="AB66" s="73" t="s">
        <v>1027</v>
      </c>
      <c r="AC66" s="71">
        <f t="shared" si="38"/>
        <v>2400</v>
      </c>
      <c r="AD66" s="73">
        <v>45797</v>
      </c>
      <c r="AE66" s="71">
        <f t="shared" si="37"/>
        <v>2400</v>
      </c>
      <c r="AF66" s="73">
        <v>45828</v>
      </c>
      <c r="AG66" s="135">
        <f>AE66</f>
        <v>2400</v>
      </c>
      <c r="AH66" s="137">
        <v>45858</v>
      </c>
      <c r="AI66" s="71">
        <f t="shared" si="30"/>
        <v>2400</v>
      </c>
      <c r="AJ66" s="73">
        <v>45889</v>
      </c>
      <c r="AK66" s="113">
        <v>2400</v>
      </c>
      <c r="AL66" s="114">
        <v>45920</v>
      </c>
      <c r="AM66" s="113">
        <v>2400</v>
      </c>
      <c r="AN66" s="112">
        <v>45950</v>
      </c>
      <c r="AO66" s="71">
        <v>2400</v>
      </c>
      <c r="AP66" s="73">
        <v>45981</v>
      </c>
      <c r="AQ66" s="177"/>
      <c r="AR66" s="131"/>
      <c r="AS66" s="130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1"/>
      <c r="BN66" s="132"/>
      <c r="BO66" s="177"/>
      <c r="BP66" s="131"/>
      <c r="BQ66" s="131"/>
      <c r="BR66" s="131"/>
      <c r="BS66" s="131"/>
      <c r="BT66" s="131"/>
      <c r="BU66" s="131"/>
      <c r="BV66" s="131"/>
      <c r="BW66" s="131"/>
      <c r="BX66" s="131"/>
      <c r="BY66" s="131"/>
      <c r="BZ66" s="131"/>
      <c r="CA66" s="131"/>
      <c r="CB66" s="131"/>
      <c r="CC66" s="131"/>
      <c r="CD66" s="131"/>
      <c r="CE66" s="131"/>
      <c r="CF66" s="131"/>
      <c r="CG66" s="131"/>
      <c r="CH66" s="131"/>
      <c r="CI66" s="131"/>
      <c r="CJ66" s="131"/>
      <c r="CK66" s="131"/>
      <c r="CL66" s="178"/>
      <c r="CM66" s="179" t="s">
        <v>358</v>
      </c>
      <c r="CN66" s="180" t="s">
        <v>359</v>
      </c>
      <c r="CO66" s="184" t="s">
        <v>360</v>
      </c>
      <c r="CP66" s="181" t="s">
        <v>361</v>
      </c>
      <c r="CQ66" s="126" t="s">
        <v>362</v>
      </c>
      <c r="CR66" s="127"/>
      <c r="CS66" s="128"/>
      <c r="CT66" s="129"/>
      <c r="CU66" s="73"/>
      <c r="CV66" s="130"/>
      <c r="CW66" s="131"/>
      <c r="CX66" s="131"/>
      <c r="CY66" s="132"/>
      <c r="CZ66" s="71">
        <v>3990</v>
      </c>
      <c r="DA66" s="134" t="s">
        <v>1006</v>
      </c>
      <c r="DB66" s="135">
        <v>4511</v>
      </c>
      <c r="DC66" s="137">
        <v>45950</v>
      </c>
      <c r="DD66" s="135">
        <v>1499</v>
      </c>
      <c r="DE66" s="137">
        <v>45981</v>
      </c>
      <c r="DF66" s="135"/>
      <c r="DG66" s="137"/>
      <c r="DH66" s="92">
        <f t="shared" ref="DH66:DH88" si="40">10000-DF66-DD66-DB66-CZ66</f>
        <v>0</v>
      </c>
      <c r="DI66" s="129"/>
      <c r="DJ66" s="135"/>
      <c r="DK66" s="135"/>
      <c r="DL66" s="135"/>
      <c r="DM66" s="135"/>
      <c r="DN66" s="135"/>
      <c r="DO66" s="135"/>
      <c r="DP66" s="135"/>
      <c r="DQ66" s="189"/>
      <c r="DR66" s="129"/>
      <c r="DS66" s="135"/>
      <c r="DT66" s="135"/>
      <c r="DU66" s="135"/>
      <c r="DV66" s="135"/>
      <c r="DW66" s="135"/>
      <c r="DX66" s="135"/>
      <c r="DY66" s="135"/>
      <c r="DZ66" s="190"/>
      <c r="EA66" s="142" t="s">
        <v>449</v>
      </c>
      <c r="EB66" s="182" t="s">
        <v>450</v>
      </c>
      <c r="EC66" s="182">
        <v>7000021</v>
      </c>
      <c r="ED66" s="182" t="s">
        <v>451</v>
      </c>
      <c r="EE66" s="180" t="s">
        <v>452</v>
      </c>
      <c r="EF66" s="180" t="s">
        <v>453</v>
      </c>
      <c r="EG66" s="180" t="s">
        <v>392</v>
      </c>
      <c r="EH66" s="180"/>
      <c r="EI66" s="182"/>
      <c r="EJ66" s="182"/>
      <c r="EK66" s="182"/>
      <c r="EL66" s="182"/>
      <c r="EM66" s="183"/>
      <c r="EN66" s="184"/>
      <c r="EO66" s="180"/>
      <c r="EP66" s="180"/>
      <c r="EQ66" s="182"/>
      <c r="ER66" s="180"/>
      <c r="ES66" s="180"/>
      <c r="ET66" s="182"/>
      <c r="EU66" s="129"/>
      <c r="EV66" s="131"/>
      <c r="EW66" s="131"/>
      <c r="EX66" s="131"/>
      <c r="EY66" s="131"/>
      <c r="EZ66" s="132"/>
      <c r="FA66" s="148"/>
      <c r="FB66" s="131"/>
      <c r="FC66" s="135"/>
      <c r="FD66" s="131"/>
      <c r="FE66" s="135"/>
      <c r="FF66" s="131"/>
      <c r="FG66" s="135"/>
      <c r="FH66" s="131"/>
      <c r="FI66" s="135"/>
      <c r="FJ66" s="131"/>
      <c r="FK66" s="135"/>
      <c r="FL66" s="131"/>
      <c r="FM66" s="135"/>
      <c r="FN66" s="131"/>
      <c r="FO66" s="135"/>
      <c r="FP66" s="131"/>
      <c r="FQ66" s="135"/>
      <c r="FR66" s="131"/>
      <c r="FS66" s="135"/>
      <c r="FT66" s="131"/>
      <c r="FU66" s="135"/>
      <c r="FV66" s="131"/>
      <c r="FW66" s="135"/>
      <c r="FX66" s="132"/>
      <c r="FY66" s="103"/>
      <c r="FZ66" s="99"/>
      <c r="GA66" s="99"/>
      <c r="GB66" s="99"/>
      <c r="GC66" s="99"/>
      <c r="GD66" s="99"/>
      <c r="GE66" s="99"/>
      <c r="GF66" s="99"/>
      <c r="GG66" s="99"/>
      <c r="GH66" s="99"/>
      <c r="GI66" s="99"/>
      <c r="GJ66" s="99"/>
      <c r="GK66" s="99"/>
      <c r="GL66" s="99"/>
      <c r="GM66" s="99"/>
      <c r="GN66" s="99"/>
      <c r="GO66" s="99"/>
      <c r="GP66" s="99"/>
      <c r="GQ66" s="99"/>
      <c r="GR66" s="99"/>
      <c r="GS66" s="99"/>
      <c r="GT66" s="99"/>
      <c r="GU66" s="99"/>
      <c r="GV66" s="104"/>
      <c r="GW66" s="103"/>
      <c r="GX66" s="99"/>
      <c r="GY66" s="99"/>
      <c r="GZ66" s="99"/>
      <c r="HA66" s="99"/>
      <c r="HB66" s="99"/>
      <c r="HC66" s="99"/>
      <c r="HD66" s="99"/>
      <c r="HE66" s="99"/>
      <c r="HF66" s="99"/>
      <c r="HG66" s="99"/>
      <c r="HH66" s="99"/>
      <c r="HI66" s="99"/>
      <c r="HJ66" s="99"/>
      <c r="HK66" s="99"/>
      <c r="HL66" s="99"/>
      <c r="HM66" s="99"/>
      <c r="HN66" s="99"/>
      <c r="HO66" s="99"/>
      <c r="HP66" s="99"/>
      <c r="HQ66" s="99"/>
      <c r="HR66" s="99"/>
      <c r="HS66" s="99"/>
      <c r="HT66" s="105"/>
      <c r="JD66" s="589"/>
      <c r="JE66" s="589"/>
      <c r="JF66" s="589"/>
      <c r="JG66" s="589"/>
      <c r="JH66" s="589"/>
      <c r="JI66" s="589"/>
      <c r="JJ66" s="589"/>
      <c r="JK66" s="589"/>
      <c r="JL66" s="589"/>
      <c r="JM66" s="589"/>
      <c r="JN66" s="589"/>
      <c r="JO66" s="589"/>
    </row>
    <row r="67" spans="1:276" s="590" customFormat="1">
      <c r="A67" s="52">
        <f t="shared" si="2"/>
        <v>63</v>
      </c>
      <c r="B67" s="53" t="s">
        <v>206</v>
      </c>
      <c r="C67" s="54"/>
      <c r="D67" s="55" t="s">
        <v>995</v>
      </c>
      <c r="E67" s="106" t="s">
        <v>993</v>
      </c>
      <c r="F67" s="107"/>
      <c r="G67" s="58" t="s">
        <v>289</v>
      </c>
      <c r="H67" s="56" t="str">
        <f t="shared" si="28"/>
        <v>士林區</v>
      </c>
      <c r="I67" s="56" t="s">
        <v>555</v>
      </c>
      <c r="J67" s="56" t="s">
        <v>542</v>
      </c>
      <c r="K67" s="56" t="s">
        <v>994</v>
      </c>
      <c r="L67" s="59">
        <v>47.21</v>
      </c>
      <c r="M67" s="56" t="s">
        <v>482</v>
      </c>
      <c r="N67" s="60">
        <v>45626</v>
      </c>
      <c r="O67" s="60">
        <f>N67+364</f>
        <v>45990</v>
      </c>
      <c r="P67" s="152">
        <v>17000</v>
      </c>
      <c r="Q67" s="111">
        <v>4000</v>
      </c>
      <c r="R67" s="112" t="s">
        <v>979</v>
      </c>
      <c r="S67" s="113">
        <v>2400</v>
      </c>
      <c r="T67" s="112" t="s">
        <v>979</v>
      </c>
      <c r="U67" s="71">
        <v>2400</v>
      </c>
      <c r="V67" s="73" t="s">
        <v>1007</v>
      </c>
      <c r="W67" s="71">
        <v>2400</v>
      </c>
      <c r="X67" s="73" t="s">
        <v>1012</v>
      </c>
      <c r="Y67" s="71">
        <v>2400</v>
      </c>
      <c r="Z67" s="73" t="s">
        <v>1027</v>
      </c>
      <c r="AA67" s="71">
        <f t="shared" ref="AA67" si="41">Y67</f>
        <v>2400</v>
      </c>
      <c r="AB67" s="73">
        <v>45797</v>
      </c>
      <c r="AC67" s="71">
        <f>AA67</f>
        <v>2400</v>
      </c>
      <c r="AD67" s="73">
        <v>45828</v>
      </c>
      <c r="AE67" s="135">
        <f>AC67</f>
        <v>2400</v>
      </c>
      <c r="AF67" s="137">
        <v>45858</v>
      </c>
      <c r="AG67" s="71">
        <f>AE67</f>
        <v>2400</v>
      </c>
      <c r="AH67" s="73">
        <v>45889</v>
      </c>
      <c r="AI67" s="113">
        <v>2400</v>
      </c>
      <c r="AJ67" s="114">
        <v>45920</v>
      </c>
      <c r="AK67" s="113">
        <v>2400</v>
      </c>
      <c r="AL67" s="112">
        <v>45950</v>
      </c>
      <c r="AM67" s="71">
        <v>2400</v>
      </c>
      <c r="AN67" s="73">
        <v>45981</v>
      </c>
      <c r="AO67" s="71">
        <v>2400</v>
      </c>
      <c r="AP67" s="73">
        <v>46011</v>
      </c>
      <c r="AQ67" s="117"/>
      <c r="AR67" s="118"/>
      <c r="AS67" s="119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20"/>
      <c r="BO67" s="117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21"/>
      <c r="CM67" s="159" t="s">
        <v>363</v>
      </c>
      <c r="CN67" s="160" t="s">
        <v>364</v>
      </c>
      <c r="CO67" s="161">
        <v>1080014</v>
      </c>
      <c r="CP67" s="162" t="s">
        <v>365</v>
      </c>
      <c r="CQ67" s="126" t="s">
        <v>366</v>
      </c>
      <c r="CR67" s="127"/>
      <c r="CS67" s="128"/>
      <c r="CT67" s="129"/>
      <c r="CU67" s="73"/>
      <c r="CV67" s="130"/>
      <c r="CW67" s="131"/>
      <c r="CX67" s="131"/>
      <c r="CY67" s="132"/>
      <c r="CZ67" s="148">
        <v>1250</v>
      </c>
      <c r="DA67" s="134">
        <v>46011</v>
      </c>
      <c r="DB67" s="135">
        <v>8750</v>
      </c>
      <c r="DC67" s="136" t="s">
        <v>1195</v>
      </c>
      <c r="DD67" s="135"/>
      <c r="DE67" s="137"/>
      <c r="DF67" s="135"/>
      <c r="DG67" s="137"/>
      <c r="DH67" s="92">
        <f t="shared" si="40"/>
        <v>0</v>
      </c>
      <c r="DI67" s="138"/>
      <c r="DJ67" s="139"/>
      <c r="DK67" s="139"/>
      <c r="DL67" s="139"/>
      <c r="DM67" s="139"/>
      <c r="DN67" s="139"/>
      <c r="DO67" s="139"/>
      <c r="DP67" s="139"/>
      <c r="DQ67" s="140"/>
      <c r="DR67" s="138"/>
      <c r="DS67" s="139"/>
      <c r="DT67" s="139"/>
      <c r="DU67" s="139"/>
      <c r="DV67" s="139"/>
      <c r="DW67" s="139"/>
      <c r="DX67" s="139"/>
      <c r="DY67" s="139"/>
      <c r="DZ67" s="141"/>
      <c r="EA67" s="163" t="s">
        <v>454</v>
      </c>
      <c r="EB67" s="198" t="s">
        <v>455</v>
      </c>
      <c r="EC67" s="160" t="s">
        <v>456</v>
      </c>
      <c r="ED67" s="182" t="s">
        <v>469</v>
      </c>
      <c r="EE67" s="166" t="s">
        <v>457</v>
      </c>
      <c r="EF67" s="166" t="s">
        <v>458</v>
      </c>
      <c r="EG67" s="166" t="s">
        <v>437</v>
      </c>
      <c r="EH67" s="166"/>
      <c r="EI67" s="165"/>
      <c r="EJ67" s="165"/>
      <c r="EK67" s="165"/>
      <c r="EL67" s="165"/>
      <c r="EM67" s="167"/>
      <c r="EN67" s="168"/>
      <c r="EO67" s="166"/>
      <c r="EP67" s="166"/>
      <c r="EQ67" s="165"/>
      <c r="ER67" s="169"/>
      <c r="ES67" s="169"/>
      <c r="ET67" s="170"/>
      <c r="EU67" s="171"/>
      <c r="EV67" s="99"/>
      <c r="EW67" s="99"/>
      <c r="EX67" s="99"/>
      <c r="EY67" s="99"/>
      <c r="EZ67" s="104"/>
      <c r="FA67" s="172"/>
      <c r="FB67" s="173"/>
      <c r="FC67" s="135"/>
      <c r="FD67" s="131"/>
      <c r="FE67" s="135"/>
      <c r="FF67" s="131"/>
      <c r="FG67" s="174"/>
      <c r="FH67" s="99"/>
      <c r="FI67" s="149"/>
      <c r="FJ67" s="150"/>
      <c r="FK67" s="151"/>
      <c r="FL67" s="118"/>
      <c r="FM67" s="135"/>
      <c r="FN67" s="118"/>
      <c r="FO67" s="151"/>
      <c r="FP67" s="118"/>
      <c r="FQ67" s="151"/>
      <c r="FR67" s="118"/>
      <c r="FS67" s="135"/>
      <c r="FT67" s="131"/>
      <c r="FU67" s="174"/>
      <c r="FV67" s="99"/>
      <c r="FW67" s="135"/>
      <c r="FX67" s="104"/>
      <c r="FY67" s="103"/>
      <c r="FZ67" s="99"/>
      <c r="GA67" s="99"/>
      <c r="GB67" s="99"/>
      <c r="GC67" s="99"/>
      <c r="GD67" s="99"/>
      <c r="GE67" s="99"/>
      <c r="GF67" s="99"/>
      <c r="GG67" s="99"/>
      <c r="GH67" s="99"/>
      <c r="GI67" s="99"/>
      <c r="GJ67" s="99"/>
      <c r="GK67" s="99"/>
      <c r="GL67" s="99"/>
      <c r="GM67" s="99"/>
      <c r="GN67" s="99"/>
      <c r="GO67" s="99"/>
      <c r="GP67" s="99"/>
      <c r="GQ67" s="99"/>
      <c r="GR67" s="99"/>
      <c r="GS67" s="99"/>
      <c r="GT67" s="99"/>
      <c r="GU67" s="99"/>
      <c r="GV67" s="104"/>
      <c r="GW67" s="103"/>
      <c r="GX67" s="99"/>
      <c r="GY67" s="99"/>
      <c r="GZ67" s="99"/>
      <c r="HA67" s="99"/>
      <c r="HB67" s="99"/>
      <c r="HC67" s="99"/>
      <c r="HD67" s="99"/>
      <c r="HE67" s="99"/>
      <c r="HF67" s="99"/>
      <c r="HG67" s="99"/>
      <c r="HH67" s="99"/>
      <c r="HI67" s="99"/>
      <c r="HJ67" s="99"/>
      <c r="HK67" s="99"/>
      <c r="HL67" s="99"/>
      <c r="HM67" s="99"/>
      <c r="HN67" s="99"/>
      <c r="HO67" s="99"/>
      <c r="HP67" s="99"/>
      <c r="HQ67" s="99"/>
      <c r="HR67" s="99"/>
      <c r="HS67" s="99"/>
      <c r="HT67" s="105"/>
      <c r="IG67" s="589"/>
      <c r="IH67" s="589"/>
      <c r="II67" s="589"/>
      <c r="IJ67" s="589"/>
      <c r="IK67" s="589"/>
      <c r="IL67" s="589"/>
      <c r="IM67" s="589"/>
      <c r="IN67" s="589"/>
      <c r="IO67" s="589"/>
      <c r="IP67" s="589"/>
      <c r="IQ67" s="589"/>
      <c r="IR67" s="589"/>
      <c r="JE67" s="589"/>
      <c r="JF67" s="589"/>
      <c r="JG67" s="589"/>
      <c r="JH67" s="589"/>
      <c r="JI67" s="589"/>
      <c r="JJ67" s="589"/>
      <c r="JK67" s="589"/>
      <c r="JL67" s="589"/>
      <c r="JM67" s="589"/>
      <c r="JN67" s="589"/>
      <c r="JO67" s="589"/>
      <c r="JP67" s="589"/>
    </row>
    <row r="68" spans="1:276" s="590" customFormat="1">
      <c r="A68" s="52">
        <f t="shared" si="2"/>
        <v>64</v>
      </c>
      <c r="B68" s="142" t="s">
        <v>206</v>
      </c>
      <c r="C68" s="54"/>
      <c r="D68" s="128" t="s">
        <v>1008</v>
      </c>
      <c r="E68" s="106" t="s">
        <v>993</v>
      </c>
      <c r="F68" s="57"/>
      <c r="G68" s="58" t="s">
        <v>294</v>
      </c>
      <c r="H68" s="56" t="str">
        <f t="shared" si="28"/>
        <v>中正區</v>
      </c>
      <c r="I68" s="56" t="s">
        <v>295</v>
      </c>
      <c r="J68" s="56" t="s">
        <v>296</v>
      </c>
      <c r="K68" s="56" t="s">
        <v>297</v>
      </c>
      <c r="L68" s="59">
        <v>93.31</v>
      </c>
      <c r="M68" s="56" t="s">
        <v>228</v>
      </c>
      <c r="N68" s="60">
        <v>45657</v>
      </c>
      <c r="O68" s="60">
        <f>N68+364</f>
        <v>46021</v>
      </c>
      <c r="P68" s="175">
        <v>29000</v>
      </c>
      <c r="Q68" s="111">
        <v>4000</v>
      </c>
      <c r="R68" s="73" t="s">
        <v>1007</v>
      </c>
      <c r="S68" s="71">
        <v>2400</v>
      </c>
      <c r="T68" s="73" t="s">
        <v>1007</v>
      </c>
      <c r="U68" s="71">
        <v>2400</v>
      </c>
      <c r="V68" s="73" t="s">
        <v>1012</v>
      </c>
      <c r="W68" s="71">
        <v>2400</v>
      </c>
      <c r="X68" s="73" t="s">
        <v>1027</v>
      </c>
      <c r="Y68" s="71">
        <f t="shared" ref="Y68" si="42">W68</f>
        <v>2400</v>
      </c>
      <c r="Z68" s="73">
        <v>45797</v>
      </c>
      <c r="AA68" s="71">
        <f>Y68</f>
        <v>2400</v>
      </c>
      <c r="AB68" s="73">
        <v>45828</v>
      </c>
      <c r="AC68" s="135">
        <f>AA68</f>
        <v>2400</v>
      </c>
      <c r="AD68" s="137">
        <v>45858</v>
      </c>
      <c r="AE68" s="71">
        <f>AC68</f>
        <v>2400</v>
      </c>
      <c r="AF68" s="73">
        <v>45889</v>
      </c>
      <c r="AG68" s="113">
        <v>2400</v>
      </c>
      <c r="AH68" s="114">
        <v>45920</v>
      </c>
      <c r="AI68" s="113">
        <v>2400</v>
      </c>
      <c r="AJ68" s="112">
        <v>45950</v>
      </c>
      <c r="AK68" s="71">
        <v>2400</v>
      </c>
      <c r="AL68" s="73">
        <v>45981</v>
      </c>
      <c r="AM68" s="71">
        <v>2400</v>
      </c>
      <c r="AN68" s="73">
        <v>46011</v>
      </c>
      <c r="AO68" s="71">
        <f t="shared" ref="AO68" si="43">AM68</f>
        <v>2400</v>
      </c>
      <c r="AP68" s="73" t="s">
        <v>1195</v>
      </c>
      <c r="AQ68" s="177"/>
      <c r="AR68" s="131"/>
      <c r="AS68" s="130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31"/>
      <c r="BL68" s="131"/>
      <c r="BM68" s="131"/>
      <c r="BN68" s="132"/>
      <c r="BO68" s="177"/>
      <c r="BP68" s="131"/>
      <c r="BQ68" s="131"/>
      <c r="BR68" s="131"/>
      <c r="BS68" s="131"/>
      <c r="BT68" s="131"/>
      <c r="BU68" s="131"/>
      <c r="BV68" s="131"/>
      <c r="BW68" s="131"/>
      <c r="BX68" s="131"/>
      <c r="BY68" s="131"/>
      <c r="BZ68" s="131"/>
      <c r="CA68" s="131"/>
      <c r="CB68" s="131"/>
      <c r="CC68" s="131"/>
      <c r="CD68" s="131"/>
      <c r="CE68" s="131"/>
      <c r="CF68" s="131"/>
      <c r="CG68" s="131"/>
      <c r="CH68" s="131"/>
      <c r="CI68" s="131"/>
      <c r="CJ68" s="131"/>
      <c r="CK68" s="131"/>
      <c r="CL68" s="178"/>
      <c r="CM68" s="179" t="s">
        <v>367</v>
      </c>
      <c r="CN68" s="180" t="s">
        <v>368</v>
      </c>
      <c r="CO68" s="184" t="s">
        <v>369</v>
      </c>
      <c r="CP68" s="181" t="s">
        <v>370</v>
      </c>
      <c r="CQ68" s="126" t="s">
        <v>294</v>
      </c>
      <c r="CR68" s="127"/>
      <c r="CS68" s="128"/>
      <c r="CT68" s="129"/>
      <c r="CU68" s="73"/>
      <c r="CV68" s="130"/>
      <c r="CW68" s="131"/>
      <c r="CX68" s="131"/>
      <c r="CY68" s="132"/>
      <c r="CZ68" s="71"/>
      <c r="DA68" s="134"/>
      <c r="DB68" s="135"/>
      <c r="DC68" s="137"/>
      <c r="DD68" s="135"/>
      <c r="DE68" s="137"/>
      <c r="DF68" s="135"/>
      <c r="DG68" s="137"/>
      <c r="DH68" s="92">
        <f t="shared" si="40"/>
        <v>10000</v>
      </c>
      <c r="DI68" s="129"/>
      <c r="DJ68" s="135"/>
      <c r="DK68" s="135"/>
      <c r="DL68" s="135"/>
      <c r="DM68" s="135"/>
      <c r="DN68" s="135"/>
      <c r="DO68" s="135"/>
      <c r="DP68" s="135"/>
      <c r="DQ68" s="189"/>
      <c r="DR68" s="129"/>
      <c r="DS68" s="135"/>
      <c r="DT68" s="135"/>
      <c r="DU68" s="135"/>
      <c r="DV68" s="135"/>
      <c r="DW68" s="135"/>
      <c r="DX68" s="135"/>
      <c r="DY68" s="135"/>
      <c r="DZ68" s="190"/>
      <c r="EA68" s="142" t="s">
        <v>459</v>
      </c>
      <c r="EB68" s="182" t="s">
        <v>460</v>
      </c>
      <c r="EC68" s="182" t="s">
        <v>456</v>
      </c>
      <c r="ED68" s="182" t="s">
        <v>461</v>
      </c>
      <c r="EE68" s="180" t="s">
        <v>462</v>
      </c>
      <c r="EF68" s="180" t="s">
        <v>463</v>
      </c>
      <c r="EG68" s="180" t="s">
        <v>437</v>
      </c>
      <c r="EH68" s="180"/>
      <c r="EI68" s="182"/>
      <c r="EJ68" s="182"/>
      <c r="EK68" s="182"/>
      <c r="EL68" s="182"/>
      <c r="EM68" s="183"/>
      <c r="EN68" s="184"/>
      <c r="EO68" s="180"/>
      <c r="EP68" s="180"/>
      <c r="EQ68" s="182"/>
      <c r="ER68" s="180"/>
      <c r="ES68" s="180"/>
      <c r="ET68" s="182"/>
      <c r="EU68" s="129"/>
      <c r="EV68" s="131"/>
      <c r="EW68" s="131"/>
      <c r="EX68" s="131"/>
      <c r="EY68" s="131"/>
      <c r="EZ68" s="132"/>
      <c r="FA68" s="148"/>
      <c r="FB68" s="131"/>
      <c r="FC68" s="135"/>
      <c r="FD68" s="131"/>
      <c r="FE68" s="135"/>
      <c r="FF68" s="131"/>
      <c r="FG68" s="135"/>
      <c r="FH68" s="131"/>
      <c r="FI68" s="135"/>
      <c r="FJ68" s="131"/>
      <c r="FK68" s="135"/>
      <c r="FL68" s="131"/>
      <c r="FM68" s="135"/>
      <c r="FN68" s="131"/>
      <c r="FO68" s="135"/>
      <c r="FP68" s="131"/>
      <c r="FQ68" s="135"/>
      <c r="FR68" s="131"/>
      <c r="FS68" s="135"/>
      <c r="FT68" s="131"/>
      <c r="FU68" s="135"/>
      <c r="FV68" s="131"/>
      <c r="FW68" s="135"/>
      <c r="FX68" s="132"/>
      <c r="FY68" s="103"/>
      <c r="FZ68" s="99"/>
      <c r="GA68" s="99"/>
      <c r="GB68" s="99"/>
      <c r="GC68" s="99"/>
      <c r="GD68" s="99"/>
      <c r="GE68" s="99"/>
      <c r="GF68" s="99"/>
      <c r="GG68" s="99"/>
      <c r="GH68" s="99"/>
      <c r="GI68" s="99"/>
      <c r="GJ68" s="99"/>
      <c r="GK68" s="99"/>
      <c r="GL68" s="99"/>
      <c r="GM68" s="99"/>
      <c r="GN68" s="99"/>
      <c r="GO68" s="99"/>
      <c r="GP68" s="99"/>
      <c r="GQ68" s="99"/>
      <c r="GR68" s="99"/>
      <c r="GS68" s="99"/>
      <c r="GT68" s="99"/>
      <c r="GU68" s="99"/>
      <c r="GV68" s="104"/>
      <c r="GW68" s="103"/>
      <c r="GX68" s="99"/>
      <c r="GY68" s="99"/>
      <c r="GZ68" s="99"/>
      <c r="HA68" s="99"/>
      <c r="HB68" s="99"/>
      <c r="HC68" s="99"/>
      <c r="HD68" s="99"/>
      <c r="HE68" s="99"/>
      <c r="HF68" s="99"/>
      <c r="HG68" s="99"/>
      <c r="HH68" s="99"/>
      <c r="HI68" s="99"/>
      <c r="HJ68" s="99"/>
      <c r="HK68" s="99"/>
      <c r="HL68" s="99"/>
      <c r="HM68" s="99"/>
      <c r="HN68" s="99"/>
      <c r="HO68" s="99"/>
      <c r="HP68" s="99"/>
      <c r="HQ68" s="99"/>
      <c r="HR68" s="99"/>
      <c r="HS68" s="99"/>
      <c r="HT68" s="105"/>
      <c r="HU68" s="589"/>
      <c r="HV68" s="589"/>
      <c r="HW68" s="589"/>
      <c r="HX68" s="589"/>
      <c r="HY68" s="589"/>
      <c r="HZ68" s="589"/>
      <c r="IA68" s="589"/>
      <c r="IB68" s="589"/>
      <c r="IC68" s="589"/>
      <c r="ID68" s="589"/>
      <c r="IE68" s="589"/>
      <c r="IF68" s="589"/>
      <c r="IR68" s="589"/>
      <c r="IS68" s="589"/>
      <c r="IT68" s="589"/>
      <c r="IU68" s="589"/>
      <c r="IV68" s="589"/>
      <c r="IW68" s="589"/>
      <c r="IX68" s="589"/>
      <c r="IY68" s="589"/>
      <c r="IZ68" s="589"/>
      <c r="JA68" s="589"/>
      <c r="JB68" s="589"/>
      <c r="JC68" s="589"/>
    </row>
    <row r="69" spans="1:276">
      <c r="A69" s="199">
        <f t="shared" si="2"/>
        <v>65</v>
      </c>
      <c r="B69" s="200" t="s">
        <v>206</v>
      </c>
      <c r="C69" s="201" t="s">
        <v>1214</v>
      </c>
      <c r="D69" s="202" t="s">
        <v>1031</v>
      </c>
      <c r="E69" s="203" t="s">
        <v>992</v>
      </c>
      <c r="F69" s="204"/>
      <c r="G69" s="205" t="s">
        <v>305</v>
      </c>
      <c r="H69" s="206" t="str">
        <f t="shared" si="28"/>
        <v>北投區</v>
      </c>
      <c r="I69" s="206" t="s">
        <v>573</v>
      </c>
      <c r="J69" s="206" t="s">
        <v>308</v>
      </c>
      <c r="K69" s="206" t="s">
        <v>1030</v>
      </c>
      <c r="L69" s="207">
        <v>107.19</v>
      </c>
      <c r="M69" s="206" t="s">
        <v>482</v>
      </c>
      <c r="N69" s="208">
        <v>45689</v>
      </c>
      <c r="O69" s="208">
        <f t="shared" ref="O69" si="44">N69+365</f>
        <v>46054</v>
      </c>
      <c r="P69" s="209">
        <v>18000</v>
      </c>
      <c r="Q69" s="210">
        <v>4000</v>
      </c>
      <c r="R69" s="211">
        <v>45767</v>
      </c>
      <c r="S69" s="212">
        <v>2400</v>
      </c>
      <c r="T69" s="211">
        <v>45767</v>
      </c>
      <c r="U69" s="214">
        <f t="shared" ref="U69:U73" si="45">S69</f>
        <v>2400</v>
      </c>
      <c r="V69" s="215">
        <v>45797</v>
      </c>
      <c r="W69" s="214">
        <f>U69</f>
        <v>2400</v>
      </c>
      <c r="X69" s="215">
        <v>45828</v>
      </c>
      <c r="Y69" s="270">
        <f>W69</f>
        <v>2400</v>
      </c>
      <c r="Z69" s="271">
        <v>45858</v>
      </c>
      <c r="AA69" s="214">
        <f t="shared" ref="AA69:AA70" si="46">Y69</f>
        <v>2400</v>
      </c>
      <c r="AB69" s="215">
        <v>45889</v>
      </c>
      <c r="AC69" s="212">
        <v>2400</v>
      </c>
      <c r="AD69" s="213">
        <v>45920</v>
      </c>
      <c r="AE69" s="212">
        <v>2400</v>
      </c>
      <c r="AF69" s="211">
        <v>45950</v>
      </c>
      <c r="AG69" s="214">
        <v>2400</v>
      </c>
      <c r="AH69" s="215">
        <v>45981</v>
      </c>
      <c r="AI69" s="214">
        <v>2400</v>
      </c>
      <c r="AJ69" s="215">
        <v>46011</v>
      </c>
      <c r="AK69" s="214">
        <f t="shared" ref="AK69:AK70" si="47">AI69</f>
        <v>2400</v>
      </c>
      <c r="AL69" s="215" t="s">
        <v>1195</v>
      </c>
      <c r="AM69" s="214">
        <v>2400</v>
      </c>
      <c r="AN69" s="215" t="s">
        <v>1200</v>
      </c>
      <c r="AO69" s="214">
        <f>AM69</f>
        <v>2400</v>
      </c>
      <c r="AP69" s="215">
        <v>46101</v>
      </c>
      <c r="AQ69" s="218"/>
      <c r="AR69" s="219"/>
      <c r="AS69" s="220"/>
      <c r="AT69" s="219"/>
      <c r="AU69" s="219"/>
      <c r="AV69" s="219"/>
      <c r="AW69" s="219"/>
      <c r="AX69" s="219"/>
      <c r="AY69" s="219"/>
      <c r="AZ69" s="219"/>
      <c r="BA69" s="219"/>
      <c r="BB69" s="219"/>
      <c r="BC69" s="219"/>
      <c r="BD69" s="219"/>
      <c r="BE69" s="219"/>
      <c r="BF69" s="219"/>
      <c r="BG69" s="219"/>
      <c r="BH69" s="219"/>
      <c r="BI69" s="219"/>
      <c r="BJ69" s="219"/>
      <c r="BK69" s="219"/>
      <c r="BL69" s="219"/>
      <c r="BM69" s="219"/>
      <c r="BN69" s="221"/>
      <c r="BO69" s="218"/>
      <c r="BP69" s="219"/>
      <c r="BQ69" s="219"/>
      <c r="BR69" s="219"/>
      <c r="BS69" s="219"/>
      <c r="BT69" s="219"/>
      <c r="BU69" s="219"/>
      <c r="BV69" s="219"/>
      <c r="BW69" s="219"/>
      <c r="BX69" s="219"/>
      <c r="BY69" s="219"/>
      <c r="BZ69" s="219"/>
      <c r="CA69" s="219"/>
      <c r="CB69" s="219"/>
      <c r="CC69" s="219"/>
      <c r="CD69" s="219"/>
      <c r="CE69" s="219"/>
      <c r="CF69" s="219"/>
      <c r="CG69" s="219"/>
      <c r="CH69" s="219"/>
      <c r="CI69" s="219"/>
      <c r="CJ69" s="219"/>
      <c r="CK69" s="219"/>
      <c r="CL69" s="222"/>
      <c r="CM69" s="223" t="s">
        <v>375</v>
      </c>
      <c r="CN69" s="224" t="s">
        <v>376</v>
      </c>
      <c r="CO69" s="225" t="s">
        <v>377</v>
      </c>
      <c r="CP69" s="226" t="s">
        <v>378</v>
      </c>
      <c r="CQ69" s="227" t="s">
        <v>379</v>
      </c>
      <c r="CZ69" s="235">
        <v>10000</v>
      </c>
      <c r="DA69" s="236" t="s">
        <v>1211</v>
      </c>
      <c r="DC69" s="238"/>
      <c r="DH69" s="240">
        <f t="shared" si="40"/>
        <v>0</v>
      </c>
      <c r="DI69" s="241"/>
      <c r="DJ69" s="242"/>
      <c r="DK69" s="242"/>
      <c r="DL69" s="242"/>
      <c r="DM69" s="242"/>
      <c r="DN69" s="242"/>
      <c r="DO69" s="242"/>
      <c r="DP69" s="242"/>
      <c r="DQ69" s="243"/>
      <c r="DR69" s="241"/>
      <c r="DS69" s="242"/>
      <c r="DT69" s="242"/>
      <c r="DU69" s="242"/>
      <c r="DV69" s="242"/>
      <c r="DW69" s="242"/>
      <c r="DX69" s="242"/>
      <c r="DY69" s="242"/>
      <c r="DZ69" s="244"/>
      <c r="EA69" s="245" t="s">
        <v>467</v>
      </c>
      <c r="EB69" s="246" t="s">
        <v>468</v>
      </c>
      <c r="EC69" s="247" t="s">
        <v>470</v>
      </c>
      <c r="ED69" s="248" t="s">
        <v>471</v>
      </c>
      <c r="EE69" s="249" t="s">
        <v>472</v>
      </c>
      <c r="EF69" s="249" t="s">
        <v>473</v>
      </c>
      <c r="EG69" s="249" t="s">
        <v>474</v>
      </c>
      <c r="EH69" s="249" t="s">
        <v>475</v>
      </c>
      <c r="EI69" s="250" t="s">
        <v>476</v>
      </c>
      <c r="EJ69" s="250" t="s">
        <v>474</v>
      </c>
      <c r="EK69" s="250"/>
      <c r="EL69" s="250"/>
      <c r="EM69" s="251"/>
      <c r="EN69" s="252"/>
      <c r="EO69" s="249"/>
      <c r="EP69" s="249"/>
      <c r="EQ69" s="250"/>
      <c r="ER69" s="253"/>
      <c r="ES69" s="260"/>
      <c r="ET69" s="261"/>
      <c r="EU69" s="260"/>
      <c r="EW69" s="260"/>
      <c r="EY69" s="260"/>
      <c r="EZ69" s="261"/>
      <c r="FA69" s="260"/>
      <c r="FI69" s="263"/>
      <c r="FJ69" s="264"/>
      <c r="FK69" s="265"/>
      <c r="FL69" s="266"/>
      <c r="FN69" s="266"/>
      <c r="FO69" s="265"/>
      <c r="FP69" s="266"/>
      <c r="FQ69" s="265"/>
      <c r="FR69" s="266"/>
      <c r="FX69" s="261"/>
      <c r="IG69" s="588"/>
      <c r="IH69" s="588"/>
      <c r="II69" s="588"/>
      <c r="IJ69" s="588"/>
      <c r="IK69" s="588"/>
      <c r="IL69" s="588"/>
      <c r="IM69" s="588"/>
      <c r="IN69" s="588"/>
      <c r="IO69" s="588"/>
      <c r="IP69" s="588"/>
      <c r="IQ69" s="588"/>
      <c r="IR69" s="588"/>
      <c r="JE69" s="588"/>
      <c r="JF69" s="588"/>
      <c r="JG69" s="588"/>
      <c r="JH69" s="588"/>
      <c r="JI69" s="588"/>
      <c r="JJ69" s="588"/>
      <c r="JK69" s="588"/>
      <c r="JL69" s="588"/>
      <c r="JM69" s="588"/>
      <c r="JN69" s="588"/>
      <c r="JO69" s="588"/>
      <c r="JP69" s="588"/>
    </row>
    <row r="70" spans="1:276">
      <c r="A70" s="199">
        <f t="shared" si="2"/>
        <v>66</v>
      </c>
      <c r="B70" s="200" t="s">
        <v>206</v>
      </c>
      <c r="C70" s="201" t="s">
        <v>1215</v>
      </c>
      <c r="D70" s="202" t="s">
        <v>1032</v>
      </c>
      <c r="E70" s="203"/>
      <c r="F70" s="204"/>
      <c r="G70" s="205" t="s">
        <v>500</v>
      </c>
      <c r="H70" s="206" t="str">
        <f t="shared" si="28"/>
        <v>大同區</v>
      </c>
      <c r="I70" s="206" t="s">
        <v>1033</v>
      </c>
      <c r="J70" s="206" t="s">
        <v>502</v>
      </c>
      <c r="K70" s="206" t="s">
        <v>501</v>
      </c>
      <c r="L70" s="207">
        <v>66.459999999999994</v>
      </c>
      <c r="M70" s="206" t="s">
        <v>482</v>
      </c>
      <c r="N70" s="208">
        <v>45703</v>
      </c>
      <c r="O70" s="208">
        <f>N70+365</f>
        <v>46068</v>
      </c>
      <c r="P70" s="209">
        <v>20000</v>
      </c>
      <c r="Q70" s="210">
        <v>4000</v>
      </c>
      <c r="R70" s="211">
        <v>45767</v>
      </c>
      <c r="S70" s="212">
        <v>2400</v>
      </c>
      <c r="T70" s="211">
        <v>45767</v>
      </c>
      <c r="U70" s="214">
        <f t="shared" si="45"/>
        <v>2400</v>
      </c>
      <c r="V70" s="215">
        <v>45797</v>
      </c>
      <c r="W70" s="214">
        <f>U70</f>
        <v>2400</v>
      </c>
      <c r="X70" s="215">
        <v>45828</v>
      </c>
      <c r="Y70" s="270">
        <f>W70</f>
        <v>2400</v>
      </c>
      <c r="Z70" s="271">
        <v>45858</v>
      </c>
      <c r="AA70" s="214">
        <f t="shared" si="46"/>
        <v>2400</v>
      </c>
      <c r="AB70" s="215">
        <v>45889</v>
      </c>
      <c r="AC70" s="212">
        <v>2400</v>
      </c>
      <c r="AD70" s="213">
        <v>45920</v>
      </c>
      <c r="AE70" s="212">
        <v>2400</v>
      </c>
      <c r="AF70" s="211">
        <v>45950</v>
      </c>
      <c r="AG70" s="214">
        <v>2400</v>
      </c>
      <c r="AH70" s="215">
        <v>45981</v>
      </c>
      <c r="AI70" s="214">
        <v>2400</v>
      </c>
      <c r="AJ70" s="215">
        <v>46011</v>
      </c>
      <c r="AK70" s="214">
        <f t="shared" si="47"/>
        <v>2400</v>
      </c>
      <c r="AL70" s="215" t="s">
        <v>1195</v>
      </c>
      <c r="AM70" s="214">
        <v>2400</v>
      </c>
      <c r="AN70" s="215" t="s">
        <v>1200</v>
      </c>
      <c r="AO70" s="214">
        <v>2400</v>
      </c>
      <c r="AP70" s="215">
        <v>46101</v>
      </c>
      <c r="AQ70" s="218"/>
      <c r="AR70" s="219"/>
      <c r="AS70" s="220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219"/>
      <c r="BG70" s="219"/>
      <c r="BH70" s="219"/>
      <c r="BI70" s="219"/>
      <c r="BJ70" s="219"/>
      <c r="BK70" s="219"/>
      <c r="BL70" s="219"/>
      <c r="BM70" s="219"/>
      <c r="BN70" s="221"/>
      <c r="BO70" s="218"/>
      <c r="BP70" s="219"/>
      <c r="BQ70" s="219"/>
      <c r="BR70" s="219"/>
      <c r="BS70" s="219"/>
      <c r="BT70" s="219"/>
      <c r="BU70" s="219"/>
      <c r="BV70" s="219"/>
      <c r="BW70" s="219"/>
      <c r="BX70" s="219"/>
      <c r="BY70" s="219"/>
      <c r="BZ70" s="219"/>
      <c r="CA70" s="219"/>
      <c r="CB70" s="219"/>
      <c r="CC70" s="219"/>
      <c r="CD70" s="219"/>
      <c r="CE70" s="219"/>
      <c r="CF70" s="219"/>
      <c r="CG70" s="219"/>
      <c r="CH70" s="219"/>
      <c r="CI70" s="219"/>
      <c r="CJ70" s="219"/>
      <c r="CK70" s="219"/>
      <c r="CL70" s="222"/>
      <c r="CM70" s="223" t="s">
        <v>495</v>
      </c>
      <c r="CN70" s="224" t="s">
        <v>496</v>
      </c>
      <c r="CO70" s="225" t="s">
        <v>497</v>
      </c>
      <c r="CP70" s="226" t="s">
        <v>498</v>
      </c>
      <c r="CQ70" s="227" t="s">
        <v>499</v>
      </c>
      <c r="CZ70" s="235">
        <v>4300</v>
      </c>
      <c r="DA70" s="236" t="s">
        <v>1211</v>
      </c>
      <c r="DC70" s="238"/>
      <c r="DH70" s="240">
        <f t="shared" si="40"/>
        <v>5700</v>
      </c>
      <c r="DI70" s="241"/>
      <c r="DJ70" s="242"/>
      <c r="DK70" s="242"/>
      <c r="DL70" s="242"/>
      <c r="DM70" s="242"/>
      <c r="DN70" s="242"/>
      <c r="DO70" s="242"/>
      <c r="DP70" s="242"/>
      <c r="DQ70" s="243"/>
      <c r="DR70" s="241"/>
      <c r="DS70" s="242"/>
      <c r="DT70" s="242"/>
      <c r="DU70" s="242"/>
      <c r="DV70" s="242"/>
      <c r="DW70" s="242"/>
      <c r="DX70" s="242"/>
      <c r="DY70" s="242"/>
      <c r="DZ70" s="244"/>
      <c r="EA70" s="245" t="s">
        <v>503</v>
      </c>
      <c r="EB70" s="246" t="s">
        <v>504</v>
      </c>
      <c r="EC70" s="247" t="s">
        <v>470</v>
      </c>
      <c r="ED70" s="248" t="s">
        <v>505</v>
      </c>
      <c r="EE70" s="249"/>
      <c r="EF70" s="249"/>
      <c r="EG70" s="249"/>
      <c r="EH70" s="249"/>
      <c r="EI70" s="250"/>
      <c r="EJ70" s="250"/>
      <c r="EK70" s="250"/>
      <c r="EL70" s="250"/>
      <c r="EM70" s="251"/>
      <c r="EN70" s="252"/>
      <c r="EO70" s="249"/>
      <c r="EP70" s="249"/>
      <c r="EQ70" s="250"/>
      <c r="EU70" s="260"/>
      <c r="EW70" s="260"/>
      <c r="EY70" s="260"/>
      <c r="EZ70" s="261"/>
      <c r="FA70" s="260"/>
      <c r="FI70" s="263"/>
      <c r="FJ70" s="264"/>
      <c r="FK70" s="265"/>
      <c r="FL70" s="266"/>
      <c r="FN70" s="266"/>
      <c r="FO70" s="265"/>
      <c r="FP70" s="266"/>
      <c r="FQ70" s="265"/>
      <c r="FR70" s="266"/>
      <c r="FX70" s="261"/>
      <c r="IG70" s="588"/>
      <c r="IH70" s="588"/>
      <c r="II70" s="588"/>
      <c r="IJ70" s="588"/>
      <c r="IK70" s="588"/>
      <c r="IL70" s="588"/>
      <c r="IM70" s="588"/>
      <c r="IN70" s="588"/>
      <c r="IO70" s="588"/>
      <c r="IP70" s="588"/>
      <c r="IQ70" s="588"/>
      <c r="IR70" s="588"/>
      <c r="JE70" s="588"/>
      <c r="JF70" s="588"/>
      <c r="JG70" s="588"/>
      <c r="JH70" s="588"/>
      <c r="JI70" s="588"/>
      <c r="JJ70" s="588"/>
      <c r="JK70" s="588"/>
      <c r="JL70" s="588"/>
      <c r="JM70" s="588"/>
      <c r="JN70" s="588"/>
      <c r="JO70" s="588"/>
      <c r="JP70" s="588"/>
    </row>
    <row r="71" spans="1:276">
      <c r="A71" s="199">
        <f t="shared" si="2"/>
        <v>67</v>
      </c>
      <c r="B71" s="200" t="s">
        <v>206</v>
      </c>
      <c r="C71" s="201" t="s">
        <v>1216</v>
      </c>
      <c r="D71" s="202" t="s">
        <v>1038</v>
      </c>
      <c r="E71" s="203"/>
      <c r="F71" s="204"/>
      <c r="G71" s="205" t="s">
        <v>507</v>
      </c>
      <c r="H71" s="206" t="str">
        <f t="shared" ref="H71" si="48">MID(G71,4,3)</f>
        <v>文山區</v>
      </c>
      <c r="I71" s="206" t="s">
        <v>554</v>
      </c>
      <c r="J71" s="206" t="s">
        <v>531</v>
      </c>
      <c r="K71" s="206" t="s">
        <v>532</v>
      </c>
      <c r="L71" s="207">
        <v>76.709999999999994</v>
      </c>
      <c r="M71" s="206" t="s">
        <v>482</v>
      </c>
      <c r="N71" s="208">
        <v>45741</v>
      </c>
      <c r="O71" s="208">
        <f t="shared" ref="O71" si="49">N71+364</f>
        <v>46105</v>
      </c>
      <c r="P71" s="209">
        <v>24000</v>
      </c>
      <c r="Q71" s="210">
        <v>4000</v>
      </c>
      <c r="R71" s="211">
        <v>45797</v>
      </c>
      <c r="S71" s="212">
        <v>2400</v>
      </c>
      <c r="T71" s="211">
        <v>45797</v>
      </c>
      <c r="U71" s="214">
        <f t="shared" si="45"/>
        <v>2400</v>
      </c>
      <c r="V71" s="215">
        <v>45828</v>
      </c>
      <c r="W71" s="270">
        <f>U71</f>
        <v>2400</v>
      </c>
      <c r="X71" s="271">
        <v>45858</v>
      </c>
      <c r="Y71" s="214">
        <f t="shared" ref="Y71:Y73" si="50">W71</f>
        <v>2400</v>
      </c>
      <c r="Z71" s="215">
        <v>45889</v>
      </c>
      <c r="AA71" s="212">
        <v>2400</v>
      </c>
      <c r="AB71" s="213">
        <v>45920</v>
      </c>
      <c r="AC71" s="212">
        <v>2400</v>
      </c>
      <c r="AD71" s="211">
        <v>45950</v>
      </c>
      <c r="AE71" s="214">
        <v>2400</v>
      </c>
      <c r="AF71" s="215">
        <v>45981</v>
      </c>
      <c r="AG71" s="214">
        <v>2400</v>
      </c>
      <c r="AH71" s="215">
        <v>46011</v>
      </c>
      <c r="AI71" s="214">
        <f t="shared" ref="AI71:AI73" si="51">AG71</f>
        <v>2400</v>
      </c>
      <c r="AJ71" s="215" t="s">
        <v>1195</v>
      </c>
      <c r="AK71" s="214">
        <v>2400</v>
      </c>
      <c r="AL71" s="215" t="s">
        <v>1200</v>
      </c>
      <c r="AM71" s="214">
        <v>2400</v>
      </c>
      <c r="AN71" s="215">
        <v>46101</v>
      </c>
      <c r="AO71" s="214">
        <v>2400</v>
      </c>
      <c r="AP71" s="215">
        <v>46132</v>
      </c>
      <c r="AQ71" s="218"/>
      <c r="AR71" s="219"/>
      <c r="AS71" s="220"/>
      <c r="AT71" s="219"/>
      <c r="AU71" s="219"/>
      <c r="AV71" s="219"/>
      <c r="AW71" s="219"/>
      <c r="AX71" s="219"/>
      <c r="AY71" s="219"/>
      <c r="AZ71" s="219"/>
      <c r="BA71" s="219"/>
      <c r="BB71" s="219"/>
      <c r="BC71" s="219"/>
      <c r="BD71" s="219"/>
      <c r="BE71" s="219"/>
      <c r="BF71" s="219"/>
      <c r="BG71" s="219"/>
      <c r="BH71" s="219"/>
      <c r="BI71" s="219"/>
      <c r="BJ71" s="219"/>
      <c r="BK71" s="219"/>
      <c r="BL71" s="219"/>
      <c r="BM71" s="219"/>
      <c r="BN71" s="221"/>
      <c r="BO71" s="218"/>
      <c r="BP71" s="219"/>
      <c r="BQ71" s="219"/>
      <c r="BR71" s="219"/>
      <c r="BS71" s="219"/>
      <c r="BT71" s="219"/>
      <c r="BU71" s="219"/>
      <c r="BV71" s="219"/>
      <c r="BW71" s="219"/>
      <c r="BX71" s="219"/>
      <c r="BY71" s="219"/>
      <c r="BZ71" s="219"/>
      <c r="CA71" s="219"/>
      <c r="CB71" s="219"/>
      <c r="CC71" s="219"/>
      <c r="CD71" s="219"/>
      <c r="CE71" s="219"/>
      <c r="CF71" s="219"/>
      <c r="CG71" s="219"/>
      <c r="CH71" s="219"/>
      <c r="CI71" s="219"/>
      <c r="CJ71" s="219"/>
      <c r="CK71" s="219"/>
      <c r="CL71" s="222"/>
      <c r="CM71" s="223" t="s">
        <v>533</v>
      </c>
      <c r="CN71" s="224" t="s">
        <v>534</v>
      </c>
      <c r="CO71" s="225" t="s">
        <v>470</v>
      </c>
      <c r="CP71" s="226" t="s">
        <v>535</v>
      </c>
      <c r="CQ71" s="227" t="s">
        <v>536</v>
      </c>
      <c r="CT71" s="230">
        <v>3300</v>
      </c>
      <c r="CU71" s="231">
        <v>45797</v>
      </c>
      <c r="CZ71" s="235"/>
      <c r="DC71" s="238"/>
      <c r="DH71" s="240">
        <f t="shared" ref="DH71" si="52">10000-DF71-DD71-DB71-CZ71</f>
        <v>10000</v>
      </c>
      <c r="DI71" s="241"/>
      <c r="DJ71" s="242"/>
      <c r="DK71" s="242"/>
      <c r="DL71" s="242"/>
      <c r="DM71" s="242"/>
      <c r="DN71" s="242"/>
      <c r="DO71" s="242"/>
      <c r="DP71" s="242"/>
      <c r="DQ71" s="243"/>
      <c r="DR71" s="241"/>
      <c r="DS71" s="242"/>
      <c r="DT71" s="242"/>
      <c r="DU71" s="242"/>
      <c r="DV71" s="242"/>
      <c r="DW71" s="242"/>
      <c r="DX71" s="242"/>
      <c r="DY71" s="242"/>
      <c r="DZ71" s="244"/>
      <c r="EA71" s="245" t="s">
        <v>537</v>
      </c>
      <c r="EB71" s="246" t="s">
        <v>538</v>
      </c>
      <c r="EC71" s="247" t="s">
        <v>539</v>
      </c>
      <c r="ED71" s="248" t="s">
        <v>540</v>
      </c>
      <c r="EE71" s="249"/>
      <c r="EF71" s="249"/>
      <c r="EG71" s="249"/>
      <c r="EH71" s="249"/>
      <c r="EI71" s="250"/>
      <c r="EJ71" s="250"/>
      <c r="EK71" s="250"/>
      <c r="EL71" s="250"/>
      <c r="EM71" s="251"/>
      <c r="EN71" s="252"/>
      <c r="EO71" s="249"/>
      <c r="EP71" s="249"/>
      <c r="EQ71" s="250"/>
      <c r="ER71" s="253"/>
      <c r="ES71" s="260"/>
      <c r="ET71" s="261"/>
      <c r="EU71" s="260"/>
      <c r="EW71" s="260"/>
      <c r="EY71" s="260"/>
      <c r="EZ71" s="261"/>
      <c r="FA71" s="260"/>
      <c r="FI71" s="263"/>
      <c r="FJ71" s="264"/>
      <c r="FK71" s="265"/>
      <c r="FL71" s="266"/>
      <c r="FN71" s="266"/>
      <c r="FO71" s="265"/>
      <c r="FP71" s="266"/>
      <c r="FQ71" s="265"/>
      <c r="FR71" s="266"/>
      <c r="FX71" s="261"/>
      <c r="IG71" s="588"/>
      <c r="IH71" s="588"/>
      <c r="II71" s="588"/>
      <c r="IJ71" s="588"/>
      <c r="IK71" s="588"/>
      <c r="IL71" s="588"/>
      <c r="IM71" s="588"/>
      <c r="IN71" s="588"/>
      <c r="IO71" s="588"/>
      <c r="IP71" s="588"/>
      <c r="IQ71" s="588"/>
      <c r="IR71" s="588"/>
      <c r="JE71" s="588"/>
      <c r="JF71" s="588"/>
      <c r="JG71" s="588"/>
      <c r="JH71" s="588"/>
      <c r="JI71" s="588"/>
      <c r="JJ71" s="588"/>
      <c r="JK71" s="588"/>
      <c r="JL71" s="588"/>
      <c r="JM71" s="588"/>
      <c r="JN71" s="588"/>
      <c r="JO71" s="588"/>
      <c r="JP71" s="588"/>
    </row>
    <row r="72" spans="1:276" s="590" customFormat="1">
      <c r="A72" s="52">
        <f t="shared" si="2"/>
        <v>68</v>
      </c>
      <c r="B72" s="53" t="s">
        <v>206</v>
      </c>
      <c r="C72" s="54"/>
      <c r="D72" s="55" t="s">
        <v>1036</v>
      </c>
      <c r="E72" s="106" t="s">
        <v>701</v>
      </c>
      <c r="F72" s="107">
        <v>45965</v>
      </c>
      <c r="G72" s="58" t="s">
        <v>957</v>
      </c>
      <c r="H72" s="56" t="str">
        <f t="shared" si="28"/>
        <v>士林區</v>
      </c>
      <c r="I72" s="56" t="s">
        <v>555</v>
      </c>
      <c r="J72" s="56" t="s">
        <v>542</v>
      </c>
      <c r="K72" s="56" t="s">
        <v>541</v>
      </c>
      <c r="L72" s="59">
        <v>52.89</v>
      </c>
      <c r="M72" s="56" t="s">
        <v>482</v>
      </c>
      <c r="N72" s="60">
        <v>45731</v>
      </c>
      <c r="O72" s="60">
        <f t="shared" ref="O72:O90" si="53">N72+364</f>
        <v>46095</v>
      </c>
      <c r="P72" s="152">
        <v>17500</v>
      </c>
      <c r="Q72" s="111">
        <v>4000</v>
      </c>
      <c r="R72" s="112">
        <v>45797</v>
      </c>
      <c r="S72" s="113">
        <v>2400</v>
      </c>
      <c r="T72" s="112">
        <v>45797</v>
      </c>
      <c r="U72" s="71">
        <f t="shared" si="45"/>
        <v>2400</v>
      </c>
      <c r="V72" s="73">
        <v>45828</v>
      </c>
      <c r="W72" s="135">
        <f>U72</f>
        <v>2400</v>
      </c>
      <c r="X72" s="137">
        <v>45858</v>
      </c>
      <c r="Y72" s="71">
        <f t="shared" si="50"/>
        <v>2400</v>
      </c>
      <c r="Z72" s="73">
        <v>45889</v>
      </c>
      <c r="AA72" s="113">
        <v>2400</v>
      </c>
      <c r="AB72" s="114">
        <v>45920</v>
      </c>
      <c r="AC72" s="113">
        <v>2400</v>
      </c>
      <c r="AD72" s="112">
        <v>45950</v>
      </c>
      <c r="AE72" s="71">
        <v>2400</v>
      </c>
      <c r="AF72" s="73">
        <v>45981</v>
      </c>
      <c r="AG72" s="71">
        <v>2400</v>
      </c>
      <c r="AH72" s="73">
        <v>46011</v>
      </c>
      <c r="AI72" s="71">
        <f t="shared" si="51"/>
        <v>2400</v>
      </c>
      <c r="AJ72" s="73" t="s">
        <v>1195</v>
      </c>
      <c r="AK72" s="71" t="s">
        <v>1210</v>
      </c>
      <c r="AL72" s="73" t="s">
        <v>702</v>
      </c>
      <c r="AM72" s="71" t="s">
        <v>1210</v>
      </c>
      <c r="AN72" s="73" t="s">
        <v>1210</v>
      </c>
      <c r="AO72" s="71" t="s">
        <v>1210</v>
      </c>
      <c r="AP72" s="73" t="s">
        <v>1210</v>
      </c>
      <c r="AQ72" s="117"/>
      <c r="AR72" s="118"/>
      <c r="AS72" s="119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20"/>
      <c r="BO72" s="117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21"/>
      <c r="CM72" s="159" t="s">
        <v>543</v>
      </c>
      <c r="CN72" s="160" t="s">
        <v>544</v>
      </c>
      <c r="CO72" s="161" t="s">
        <v>545</v>
      </c>
      <c r="CP72" s="162" t="s">
        <v>546</v>
      </c>
      <c r="CQ72" s="126" t="s">
        <v>547</v>
      </c>
      <c r="CR72" s="127"/>
      <c r="CS72" s="128"/>
      <c r="CT72" s="129"/>
      <c r="CU72" s="73"/>
      <c r="CV72" s="130"/>
      <c r="CW72" s="131"/>
      <c r="CX72" s="131"/>
      <c r="CY72" s="132"/>
      <c r="CZ72" s="148">
        <v>717</v>
      </c>
      <c r="DA72" s="134">
        <v>45889</v>
      </c>
      <c r="DB72" s="135"/>
      <c r="DC72" s="136"/>
      <c r="DD72" s="135"/>
      <c r="DE72" s="137"/>
      <c r="DF72" s="135"/>
      <c r="DG72" s="137"/>
      <c r="DH72" s="92">
        <f t="shared" si="40"/>
        <v>9283</v>
      </c>
      <c r="DI72" s="138"/>
      <c r="DJ72" s="139"/>
      <c r="DK72" s="139"/>
      <c r="DL72" s="139"/>
      <c r="DM72" s="139"/>
      <c r="DN72" s="139"/>
      <c r="DO72" s="139"/>
      <c r="DP72" s="139"/>
      <c r="DQ72" s="140"/>
      <c r="DR72" s="138"/>
      <c r="DS72" s="139"/>
      <c r="DT72" s="139"/>
      <c r="DU72" s="139"/>
      <c r="DV72" s="139"/>
      <c r="DW72" s="139"/>
      <c r="DX72" s="139"/>
      <c r="DY72" s="139"/>
      <c r="DZ72" s="141"/>
      <c r="EA72" s="163" t="s">
        <v>548</v>
      </c>
      <c r="EB72" s="198" t="s">
        <v>549</v>
      </c>
      <c r="EC72" s="160" t="s">
        <v>470</v>
      </c>
      <c r="ED72" s="182" t="s">
        <v>550</v>
      </c>
      <c r="EE72" s="166"/>
      <c r="EF72" s="166"/>
      <c r="EG72" s="166"/>
      <c r="EH72" s="166"/>
      <c r="EI72" s="165"/>
      <c r="EJ72" s="165"/>
      <c r="EK72" s="165"/>
      <c r="EL72" s="165"/>
      <c r="EM72" s="167"/>
      <c r="EN72" s="168"/>
      <c r="EO72" s="166"/>
      <c r="EP72" s="166"/>
      <c r="EQ72" s="165"/>
      <c r="ER72" s="169"/>
      <c r="ES72" s="135"/>
      <c r="ET72" s="131"/>
      <c r="EU72" s="135"/>
      <c r="EV72" s="131"/>
      <c r="EW72" s="135"/>
      <c r="EX72" s="131"/>
      <c r="EY72" s="135"/>
      <c r="EZ72" s="131"/>
      <c r="FA72" s="135"/>
      <c r="FB72" s="131"/>
      <c r="FC72" s="135"/>
      <c r="FD72" s="131"/>
      <c r="FE72" s="135"/>
      <c r="FF72" s="131"/>
      <c r="FG72" s="135"/>
      <c r="FH72" s="131"/>
      <c r="FI72" s="149"/>
      <c r="FJ72" s="150"/>
      <c r="FK72" s="151"/>
      <c r="FL72" s="118"/>
      <c r="FM72" s="135"/>
      <c r="FN72" s="118"/>
      <c r="FO72" s="151"/>
      <c r="FP72" s="118"/>
      <c r="FQ72" s="151"/>
      <c r="FR72" s="118"/>
      <c r="FS72" s="135"/>
      <c r="FT72" s="131"/>
      <c r="FU72" s="135"/>
      <c r="FV72" s="131"/>
      <c r="FW72" s="135"/>
      <c r="FX72" s="131"/>
      <c r="FY72" s="103"/>
      <c r="FZ72" s="99"/>
      <c r="GA72" s="99"/>
      <c r="GB72" s="99"/>
      <c r="GC72" s="99"/>
      <c r="GD72" s="99"/>
      <c r="GE72" s="99"/>
      <c r="GF72" s="99"/>
      <c r="GG72" s="99"/>
      <c r="GH72" s="99"/>
      <c r="GI72" s="99"/>
      <c r="GJ72" s="99"/>
      <c r="GK72" s="99"/>
      <c r="GL72" s="99"/>
      <c r="GM72" s="99"/>
      <c r="GN72" s="99"/>
      <c r="GO72" s="99"/>
      <c r="GP72" s="99"/>
      <c r="GQ72" s="99"/>
      <c r="GR72" s="99"/>
      <c r="GS72" s="99"/>
      <c r="GT72" s="99"/>
      <c r="GU72" s="99"/>
      <c r="GV72" s="104"/>
      <c r="GW72" s="103"/>
      <c r="GX72" s="99"/>
      <c r="GY72" s="99"/>
      <c r="GZ72" s="99"/>
      <c r="HA72" s="99"/>
      <c r="HB72" s="99"/>
      <c r="HC72" s="99"/>
      <c r="HD72" s="99"/>
      <c r="HE72" s="99"/>
      <c r="HF72" s="99"/>
      <c r="HG72" s="99"/>
      <c r="HH72" s="99"/>
      <c r="HI72" s="99"/>
      <c r="HJ72" s="99"/>
      <c r="HK72" s="99"/>
      <c r="HL72" s="99"/>
      <c r="HM72" s="99"/>
      <c r="HN72" s="99"/>
      <c r="HO72" s="99"/>
      <c r="HP72" s="99"/>
      <c r="HQ72" s="99"/>
      <c r="HR72" s="99"/>
      <c r="HS72" s="99"/>
      <c r="HT72" s="105"/>
      <c r="IG72" s="589"/>
      <c r="IH72" s="589"/>
      <c r="II72" s="589"/>
      <c r="IJ72" s="589"/>
      <c r="IK72" s="589"/>
      <c r="IL72" s="589"/>
      <c r="IM72" s="589"/>
      <c r="IN72" s="589"/>
      <c r="IO72" s="589"/>
      <c r="IP72" s="589"/>
      <c r="IQ72" s="589"/>
      <c r="IR72" s="589"/>
      <c r="JE72" s="589"/>
      <c r="JF72" s="589"/>
      <c r="JG72" s="589"/>
      <c r="JH72" s="589"/>
      <c r="JI72" s="589"/>
      <c r="JJ72" s="589"/>
      <c r="JK72" s="589"/>
      <c r="JL72" s="589"/>
      <c r="JM72" s="589"/>
      <c r="JN72" s="589"/>
      <c r="JO72" s="589"/>
      <c r="JP72" s="589"/>
    </row>
    <row r="73" spans="1:276">
      <c r="A73" s="199">
        <f t="shared" si="2"/>
        <v>69</v>
      </c>
      <c r="B73" s="200" t="s">
        <v>206</v>
      </c>
      <c r="C73" s="201" t="s">
        <v>1218</v>
      </c>
      <c r="D73" s="202" t="s">
        <v>1039</v>
      </c>
      <c r="E73" s="203"/>
      <c r="F73" s="204"/>
      <c r="G73" s="205" t="s">
        <v>557</v>
      </c>
      <c r="H73" s="206" t="str">
        <f t="shared" si="28"/>
        <v>大同區</v>
      </c>
      <c r="I73" s="206" t="s">
        <v>559</v>
      </c>
      <c r="J73" s="206" t="s">
        <v>558</v>
      </c>
      <c r="K73" s="206" t="s">
        <v>576</v>
      </c>
      <c r="L73" s="207">
        <v>53.28</v>
      </c>
      <c r="M73" s="206" t="s">
        <v>482</v>
      </c>
      <c r="N73" s="208">
        <v>45741</v>
      </c>
      <c r="O73" s="208">
        <f t="shared" si="53"/>
        <v>46105</v>
      </c>
      <c r="P73" s="209">
        <v>25000</v>
      </c>
      <c r="Q73" s="210">
        <v>4000</v>
      </c>
      <c r="R73" s="211">
        <v>45797</v>
      </c>
      <c r="S73" s="212">
        <v>2400</v>
      </c>
      <c r="T73" s="211">
        <v>45797</v>
      </c>
      <c r="U73" s="214">
        <f t="shared" si="45"/>
        <v>2400</v>
      </c>
      <c r="V73" s="215">
        <v>45828</v>
      </c>
      <c r="W73" s="270">
        <f>U73</f>
        <v>2400</v>
      </c>
      <c r="X73" s="271">
        <v>45858</v>
      </c>
      <c r="Y73" s="214">
        <f t="shared" si="50"/>
        <v>2400</v>
      </c>
      <c r="Z73" s="215">
        <v>45889</v>
      </c>
      <c r="AA73" s="212">
        <v>2400</v>
      </c>
      <c r="AB73" s="213">
        <v>45920</v>
      </c>
      <c r="AC73" s="212">
        <v>2400</v>
      </c>
      <c r="AD73" s="211">
        <v>45950</v>
      </c>
      <c r="AE73" s="214">
        <v>2400</v>
      </c>
      <c r="AF73" s="215">
        <v>45981</v>
      </c>
      <c r="AG73" s="214">
        <v>2400</v>
      </c>
      <c r="AH73" s="215">
        <v>46011</v>
      </c>
      <c r="AI73" s="214">
        <f t="shared" si="51"/>
        <v>2400</v>
      </c>
      <c r="AJ73" s="215" t="s">
        <v>1195</v>
      </c>
      <c r="AK73" s="214">
        <v>2400</v>
      </c>
      <c r="AL73" s="215" t="s">
        <v>1200</v>
      </c>
      <c r="AM73" s="214">
        <v>2400</v>
      </c>
      <c r="AN73" s="215">
        <v>46101</v>
      </c>
      <c r="AO73" s="214">
        <v>2400</v>
      </c>
      <c r="AP73" s="215">
        <v>46132</v>
      </c>
      <c r="AQ73" s="218"/>
      <c r="AR73" s="219"/>
      <c r="AS73" s="220"/>
      <c r="AT73" s="219"/>
      <c r="AU73" s="219"/>
      <c r="AV73" s="219"/>
      <c r="AW73" s="219"/>
      <c r="AX73" s="219"/>
      <c r="AY73" s="219"/>
      <c r="AZ73" s="219"/>
      <c r="BA73" s="219"/>
      <c r="BB73" s="219"/>
      <c r="BC73" s="219"/>
      <c r="BD73" s="219"/>
      <c r="BE73" s="219"/>
      <c r="BF73" s="219"/>
      <c r="BG73" s="219"/>
      <c r="BH73" s="219"/>
      <c r="BI73" s="219"/>
      <c r="BJ73" s="219"/>
      <c r="BK73" s="219"/>
      <c r="BL73" s="219"/>
      <c r="BM73" s="219"/>
      <c r="BN73" s="221"/>
      <c r="BO73" s="218"/>
      <c r="BP73" s="219"/>
      <c r="BQ73" s="219"/>
      <c r="BR73" s="219"/>
      <c r="BS73" s="219"/>
      <c r="BT73" s="219"/>
      <c r="BU73" s="219"/>
      <c r="BV73" s="219"/>
      <c r="BW73" s="219"/>
      <c r="BX73" s="219"/>
      <c r="BY73" s="219"/>
      <c r="BZ73" s="219"/>
      <c r="CA73" s="219"/>
      <c r="CB73" s="219"/>
      <c r="CC73" s="219"/>
      <c r="CD73" s="219"/>
      <c r="CE73" s="219"/>
      <c r="CF73" s="219"/>
      <c r="CG73" s="219"/>
      <c r="CH73" s="219"/>
      <c r="CI73" s="219"/>
      <c r="CJ73" s="219"/>
      <c r="CK73" s="219"/>
      <c r="CL73" s="222"/>
      <c r="CM73" s="223" t="s">
        <v>560</v>
      </c>
      <c r="CN73" s="224" t="s">
        <v>561</v>
      </c>
      <c r="CO73" s="225" t="s">
        <v>562</v>
      </c>
      <c r="CP73" s="226" t="s">
        <v>563</v>
      </c>
      <c r="CQ73" s="227" t="s">
        <v>564</v>
      </c>
      <c r="CZ73" s="235">
        <v>10000</v>
      </c>
      <c r="DA73" s="236" t="s">
        <v>1262</v>
      </c>
      <c r="DC73" s="238"/>
      <c r="DH73" s="240">
        <f t="shared" si="40"/>
        <v>0</v>
      </c>
      <c r="DI73" s="241"/>
      <c r="DJ73" s="242"/>
      <c r="DK73" s="242"/>
      <c r="DL73" s="242"/>
      <c r="DM73" s="242"/>
      <c r="DN73" s="242"/>
      <c r="DO73" s="242"/>
      <c r="DP73" s="242"/>
      <c r="DQ73" s="243"/>
      <c r="DR73" s="241"/>
      <c r="DS73" s="242"/>
      <c r="DT73" s="242"/>
      <c r="DU73" s="242"/>
      <c r="DV73" s="242"/>
      <c r="DW73" s="242"/>
      <c r="DX73" s="242"/>
      <c r="DY73" s="242"/>
      <c r="DZ73" s="244"/>
      <c r="EA73" s="245" t="s">
        <v>565</v>
      </c>
      <c r="EB73" s="246" t="s">
        <v>566</v>
      </c>
      <c r="EC73" s="247" t="s">
        <v>567</v>
      </c>
      <c r="ED73" s="248" t="s">
        <v>568</v>
      </c>
      <c r="EE73" s="249"/>
      <c r="EF73" s="249"/>
      <c r="EG73" s="249"/>
      <c r="EH73" s="249"/>
      <c r="EI73" s="250"/>
      <c r="EJ73" s="250"/>
      <c r="EK73" s="250"/>
      <c r="EL73" s="250"/>
      <c r="EM73" s="251"/>
      <c r="EN73" s="252"/>
      <c r="EO73" s="249"/>
      <c r="EP73" s="249"/>
      <c r="EQ73" s="250"/>
      <c r="ER73" s="253"/>
      <c r="ES73" s="260"/>
      <c r="ET73" s="261"/>
      <c r="EU73" s="260"/>
      <c r="EW73" s="260"/>
      <c r="EY73" s="260"/>
      <c r="EZ73" s="261"/>
      <c r="FA73" s="260"/>
      <c r="FI73" s="263"/>
      <c r="FJ73" s="264"/>
      <c r="FK73" s="265"/>
      <c r="FL73" s="266"/>
      <c r="FN73" s="266"/>
      <c r="FO73" s="265"/>
      <c r="FP73" s="266"/>
      <c r="FQ73" s="265"/>
      <c r="FR73" s="266"/>
      <c r="FX73" s="261"/>
      <c r="IG73" s="588"/>
      <c r="IH73" s="588"/>
      <c r="II73" s="588"/>
      <c r="IJ73" s="588"/>
      <c r="IK73" s="588"/>
      <c r="IL73" s="588"/>
      <c r="IM73" s="588"/>
      <c r="IN73" s="588"/>
      <c r="IO73" s="588"/>
      <c r="IP73" s="588"/>
      <c r="IQ73" s="588"/>
      <c r="IR73" s="588"/>
      <c r="JE73" s="588"/>
      <c r="JF73" s="588"/>
      <c r="JG73" s="588"/>
      <c r="JH73" s="588"/>
      <c r="JI73" s="588"/>
      <c r="JJ73" s="588"/>
      <c r="JK73" s="588"/>
      <c r="JL73" s="588"/>
      <c r="JM73" s="588"/>
      <c r="JN73" s="588"/>
      <c r="JO73" s="588"/>
      <c r="JP73" s="588"/>
    </row>
    <row r="74" spans="1:276">
      <c r="A74" s="199">
        <f t="shared" si="2"/>
        <v>70</v>
      </c>
      <c r="B74" s="200" t="s">
        <v>206</v>
      </c>
      <c r="C74" s="201" t="s">
        <v>1218</v>
      </c>
      <c r="D74" s="202" t="s">
        <v>1043</v>
      </c>
      <c r="E74" s="203" t="s">
        <v>1265</v>
      </c>
      <c r="F74" s="204"/>
      <c r="G74" s="205" t="s">
        <v>572</v>
      </c>
      <c r="H74" s="206" t="str">
        <f t="shared" si="28"/>
        <v>北投區</v>
      </c>
      <c r="I74" s="206" t="s">
        <v>573</v>
      </c>
      <c r="J74" s="206" t="s">
        <v>574</v>
      </c>
      <c r="K74" s="206" t="s">
        <v>575</v>
      </c>
      <c r="L74" s="207">
        <v>85.76</v>
      </c>
      <c r="M74" s="206" t="s">
        <v>482</v>
      </c>
      <c r="N74" s="208">
        <v>45748</v>
      </c>
      <c r="O74" s="208">
        <f t="shared" si="53"/>
        <v>46112</v>
      </c>
      <c r="P74" s="209">
        <v>15000</v>
      </c>
      <c r="Q74" s="210">
        <v>4000</v>
      </c>
      <c r="R74" s="211">
        <v>45828</v>
      </c>
      <c r="S74" s="212">
        <v>2400</v>
      </c>
      <c r="T74" s="211">
        <v>45828</v>
      </c>
      <c r="U74" s="270">
        <f>S74</f>
        <v>2400</v>
      </c>
      <c r="V74" s="271">
        <v>45858</v>
      </c>
      <c r="W74" s="214">
        <f t="shared" ref="W74:W76" si="54">U74</f>
        <v>2400</v>
      </c>
      <c r="X74" s="215">
        <v>45889</v>
      </c>
      <c r="Y74" s="212">
        <v>2400</v>
      </c>
      <c r="Z74" s="213">
        <v>45920</v>
      </c>
      <c r="AA74" s="212">
        <v>2400</v>
      </c>
      <c r="AB74" s="211">
        <v>45950</v>
      </c>
      <c r="AC74" s="214">
        <v>2400</v>
      </c>
      <c r="AD74" s="215">
        <v>45981</v>
      </c>
      <c r="AE74" s="214">
        <v>2400</v>
      </c>
      <c r="AF74" s="215">
        <v>46011</v>
      </c>
      <c r="AG74" s="214">
        <f t="shared" ref="AG74:AG76" si="55">AE74</f>
        <v>2400</v>
      </c>
      <c r="AH74" s="215" t="s">
        <v>1195</v>
      </c>
      <c r="AI74" s="214">
        <v>2400</v>
      </c>
      <c r="AJ74" s="215" t="s">
        <v>1200</v>
      </c>
      <c r="AK74" s="214">
        <v>2400</v>
      </c>
      <c r="AL74" s="216">
        <v>46101</v>
      </c>
      <c r="AM74" s="214">
        <v>2400</v>
      </c>
      <c r="AN74" s="215">
        <v>46132</v>
      </c>
      <c r="AO74" s="214">
        <v>2400</v>
      </c>
      <c r="AP74" s="216">
        <v>46162</v>
      </c>
      <c r="AQ74" s="218"/>
      <c r="AR74" s="219"/>
      <c r="AS74" s="220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219"/>
      <c r="BG74" s="219"/>
      <c r="BH74" s="219"/>
      <c r="BI74" s="219"/>
      <c r="BJ74" s="219"/>
      <c r="BK74" s="219"/>
      <c r="BL74" s="219"/>
      <c r="BM74" s="219"/>
      <c r="BN74" s="221"/>
      <c r="BO74" s="218"/>
      <c r="BP74" s="219"/>
      <c r="BQ74" s="219"/>
      <c r="BR74" s="219"/>
      <c r="BS74" s="219"/>
      <c r="BT74" s="219"/>
      <c r="BU74" s="219"/>
      <c r="BV74" s="219"/>
      <c r="BW74" s="219"/>
      <c r="BX74" s="219"/>
      <c r="BY74" s="219"/>
      <c r="BZ74" s="219"/>
      <c r="CA74" s="219"/>
      <c r="CB74" s="219"/>
      <c r="CC74" s="219"/>
      <c r="CD74" s="219"/>
      <c r="CE74" s="219"/>
      <c r="CF74" s="219"/>
      <c r="CG74" s="219"/>
      <c r="CH74" s="219"/>
      <c r="CI74" s="219"/>
      <c r="CJ74" s="219"/>
      <c r="CK74" s="219"/>
      <c r="CL74" s="222"/>
      <c r="CM74" s="223" t="s">
        <v>577</v>
      </c>
      <c r="CN74" s="224" t="s">
        <v>578</v>
      </c>
      <c r="CO74" s="225" t="s">
        <v>580</v>
      </c>
      <c r="CP74" s="226" t="s">
        <v>579</v>
      </c>
      <c r="CQ74" s="227" t="s">
        <v>572</v>
      </c>
      <c r="CZ74" s="235">
        <v>10000</v>
      </c>
      <c r="DA74" s="236" t="s">
        <v>1261</v>
      </c>
      <c r="DC74" s="238"/>
      <c r="DH74" s="240">
        <f t="shared" si="40"/>
        <v>0</v>
      </c>
      <c r="DI74" s="241"/>
      <c r="DJ74" s="242"/>
      <c r="DK74" s="242"/>
      <c r="DL74" s="242"/>
      <c r="DM74" s="242"/>
      <c r="DN74" s="242"/>
      <c r="DO74" s="242"/>
      <c r="DP74" s="242"/>
      <c r="DQ74" s="243"/>
      <c r="DR74" s="241"/>
      <c r="DS74" s="242"/>
      <c r="DT74" s="242"/>
      <c r="DU74" s="242"/>
      <c r="DV74" s="242"/>
      <c r="DW74" s="242"/>
      <c r="DX74" s="242"/>
      <c r="DY74" s="242"/>
      <c r="DZ74" s="244"/>
      <c r="EA74" s="245" t="s">
        <v>581</v>
      </c>
      <c r="EB74" s="246" t="s">
        <v>582</v>
      </c>
      <c r="EC74" s="247" t="s">
        <v>584</v>
      </c>
      <c r="ED74" s="248" t="s">
        <v>583</v>
      </c>
      <c r="EE74" s="249"/>
      <c r="EF74" s="249"/>
      <c r="EG74" s="249"/>
      <c r="EH74" s="249"/>
      <c r="EI74" s="250"/>
      <c r="EJ74" s="250"/>
      <c r="EK74" s="250"/>
      <c r="EL74" s="250"/>
      <c r="EM74" s="251"/>
      <c r="EN74" s="252"/>
      <c r="EO74" s="249"/>
      <c r="EP74" s="249"/>
      <c r="EQ74" s="250"/>
      <c r="ER74" s="253"/>
      <c r="ES74" s="260"/>
      <c r="ET74" s="261"/>
      <c r="EU74" s="260"/>
      <c r="EW74" s="260"/>
      <c r="EY74" s="260"/>
      <c r="EZ74" s="261"/>
      <c r="FA74" s="260"/>
      <c r="FI74" s="263"/>
      <c r="FJ74" s="264"/>
      <c r="FK74" s="265"/>
      <c r="FL74" s="266"/>
      <c r="FN74" s="266"/>
      <c r="FO74" s="265"/>
      <c r="FP74" s="266"/>
      <c r="FQ74" s="265"/>
      <c r="FR74" s="266"/>
      <c r="FX74" s="261"/>
      <c r="IG74" s="588"/>
      <c r="IH74" s="588"/>
      <c r="II74" s="588"/>
      <c r="IJ74" s="588"/>
      <c r="IK74" s="588"/>
      <c r="IL74" s="588"/>
      <c r="IM74" s="588"/>
      <c r="IN74" s="588"/>
      <c r="IO74" s="588"/>
      <c r="IP74" s="588"/>
      <c r="IQ74" s="588"/>
      <c r="IR74" s="588"/>
      <c r="JE74" s="588"/>
      <c r="JF74" s="588"/>
      <c r="JG74" s="588"/>
      <c r="JH74" s="588"/>
      <c r="JI74" s="588"/>
      <c r="JJ74" s="588"/>
      <c r="JK74" s="588"/>
      <c r="JL74" s="588"/>
      <c r="JM74" s="588"/>
      <c r="JN74" s="588"/>
      <c r="JO74" s="588"/>
      <c r="JP74" s="588"/>
    </row>
    <row r="75" spans="1:276">
      <c r="A75" s="199">
        <f t="shared" si="2"/>
        <v>71</v>
      </c>
      <c r="B75" s="200" t="s">
        <v>206</v>
      </c>
      <c r="C75" s="201" t="s">
        <v>1219</v>
      </c>
      <c r="D75" s="202" t="s">
        <v>1041</v>
      </c>
      <c r="E75" s="203" t="s">
        <v>1265</v>
      </c>
      <c r="F75" s="204"/>
      <c r="G75" s="205" t="s">
        <v>589</v>
      </c>
      <c r="H75" s="206" t="str">
        <f>MID(G75,4,3)</f>
        <v>萬華區</v>
      </c>
      <c r="I75" s="206" t="s">
        <v>586</v>
      </c>
      <c r="J75" s="206" t="s">
        <v>587</v>
      </c>
      <c r="K75" s="206" t="s">
        <v>588</v>
      </c>
      <c r="L75" s="207">
        <v>75.73</v>
      </c>
      <c r="M75" s="206" t="s">
        <v>482</v>
      </c>
      <c r="N75" s="208">
        <v>45762</v>
      </c>
      <c r="O75" s="208">
        <f>N75+364</f>
        <v>46126</v>
      </c>
      <c r="P75" s="209">
        <v>22000</v>
      </c>
      <c r="Q75" s="210">
        <v>4000</v>
      </c>
      <c r="R75" s="211">
        <v>45828</v>
      </c>
      <c r="S75" s="212">
        <v>2400</v>
      </c>
      <c r="T75" s="211">
        <v>45828</v>
      </c>
      <c r="U75" s="270">
        <f>S75</f>
        <v>2400</v>
      </c>
      <c r="V75" s="271">
        <v>45858</v>
      </c>
      <c r="W75" s="214">
        <f t="shared" si="54"/>
        <v>2400</v>
      </c>
      <c r="X75" s="215">
        <v>45889</v>
      </c>
      <c r="Y75" s="212">
        <v>2400</v>
      </c>
      <c r="Z75" s="213">
        <v>45920</v>
      </c>
      <c r="AA75" s="212">
        <v>2400</v>
      </c>
      <c r="AB75" s="211">
        <v>45950</v>
      </c>
      <c r="AC75" s="214">
        <v>2400</v>
      </c>
      <c r="AD75" s="215">
        <v>45981</v>
      </c>
      <c r="AE75" s="214">
        <v>2400</v>
      </c>
      <c r="AF75" s="215">
        <v>46011</v>
      </c>
      <c r="AG75" s="214">
        <f t="shared" si="55"/>
        <v>2400</v>
      </c>
      <c r="AH75" s="215" t="s">
        <v>1195</v>
      </c>
      <c r="AI75" s="214">
        <v>2400</v>
      </c>
      <c r="AJ75" s="215" t="s">
        <v>1200</v>
      </c>
      <c r="AK75" s="214">
        <v>2400</v>
      </c>
      <c r="AL75" s="216">
        <v>46101</v>
      </c>
      <c r="AM75" s="214">
        <v>2400</v>
      </c>
      <c r="AN75" s="215">
        <v>46132</v>
      </c>
      <c r="AO75" s="214">
        <v>2400</v>
      </c>
      <c r="AP75" s="216">
        <v>46162</v>
      </c>
      <c r="AQ75" s="218"/>
      <c r="AR75" s="219"/>
      <c r="AS75" s="220"/>
      <c r="AT75" s="219"/>
      <c r="AU75" s="219"/>
      <c r="AV75" s="219"/>
      <c r="AW75" s="219"/>
      <c r="AX75" s="219"/>
      <c r="AY75" s="219"/>
      <c r="AZ75" s="219"/>
      <c r="BA75" s="219"/>
      <c r="BB75" s="219"/>
      <c r="BC75" s="219"/>
      <c r="BD75" s="219"/>
      <c r="BE75" s="219"/>
      <c r="BF75" s="219"/>
      <c r="BG75" s="219"/>
      <c r="BH75" s="219"/>
      <c r="BI75" s="219"/>
      <c r="BJ75" s="219"/>
      <c r="BK75" s="219"/>
      <c r="BL75" s="219"/>
      <c r="BM75" s="219"/>
      <c r="BN75" s="221"/>
      <c r="BO75" s="218"/>
      <c r="BP75" s="219"/>
      <c r="BQ75" s="219"/>
      <c r="BR75" s="219"/>
      <c r="BS75" s="219"/>
      <c r="BT75" s="219"/>
      <c r="BU75" s="219"/>
      <c r="BV75" s="219"/>
      <c r="BW75" s="219"/>
      <c r="BX75" s="219"/>
      <c r="BY75" s="219"/>
      <c r="BZ75" s="219"/>
      <c r="CA75" s="219"/>
      <c r="CB75" s="219"/>
      <c r="CC75" s="219"/>
      <c r="CD75" s="219"/>
      <c r="CE75" s="219"/>
      <c r="CF75" s="219"/>
      <c r="CG75" s="219"/>
      <c r="CH75" s="219"/>
      <c r="CI75" s="219"/>
      <c r="CJ75" s="219"/>
      <c r="CK75" s="219"/>
      <c r="CL75" s="222"/>
      <c r="CM75" s="223" t="s">
        <v>590</v>
      </c>
      <c r="CN75" s="224" t="s">
        <v>591</v>
      </c>
      <c r="CO75" s="225" t="s">
        <v>592</v>
      </c>
      <c r="CP75" s="226" t="s">
        <v>593</v>
      </c>
      <c r="CQ75" s="227" t="s">
        <v>594</v>
      </c>
      <c r="CZ75" s="235"/>
      <c r="DC75" s="238"/>
      <c r="DH75" s="240">
        <f>10000-DF75-DD75-DB75-CZ75</f>
        <v>10000</v>
      </c>
      <c r="DI75" s="241"/>
      <c r="DJ75" s="242"/>
      <c r="DK75" s="242"/>
      <c r="DL75" s="242"/>
      <c r="DM75" s="242"/>
      <c r="DN75" s="242"/>
      <c r="DO75" s="242"/>
      <c r="DP75" s="242"/>
      <c r="DQ75" s="243"/>
      <c r="DR75" s="241"/>
      <c r="DS75" s="242"/>
      <c r="DT75" s="242"/>
      <c r="DU75" s="242"/>
      <c r="DV75" s="242"/>
      <c r="DW75" s="242"/>
      <c r="DX75" s="242"/>
      <c r="DY75" s="242"/>
      <c r="DZ75" s="244"/>
      <c r="EA75" s="245" t="s">
        <v>595</v>
      </c>
      <c r="EB75" s="246" t="s">
        <v>596</v>
      </c>
      <c r="EC75" s="247" t="s">
        <v>470</v>
      </c>
      <c r="ED75" s="248" t="s">
        <v>597</v>
      </c>
      <c r="EE75" s="249" t="s">
        <v>598</v>
      </c>
      <c r="EF75" s="249" t="s">
        <v>600</v>
      </c>
      <c r="EG75" s="249" t="s">
        <v>599</v>
      </c>
      <c r="EH75" s="249" t="s">
        <v>601</v>
      </c>
      <c r="EI75" s="250" t="s">
        <v>602</v>
      </c>
      <c r="EJ75" s="250" t="s">
        <v>474</v>
      </c>
      <c r="EK75" s="250"/>
      <c r="EL75" s="250"/>
      <c r="EM75" s="251"/>
      <c r="EN75" s="252"/>
      <c r="EO75" s="249"/>
      <c r="EP75" s="249"/>
      <c r="EQ75" s="250"/>
      <c r="ER75" s="253"/>
      <c r="ES75" s="260"/>
      <c r="ET75" s="261"/>
      <c r="EU75" s="260"/>
      <c r="EW75" s="260"/>
      <c r="EY75" s="260"/>
      <c r="EZ75" s="261"/>
      <c r="FA75" s="260"/>
      <c r="FI75" s="263"/>
      <c r="FJ75" s="264"/>
      <c r="FK75" s="265"/>
      <c r="FL75" s="266"/>
      <c r="FN75" s="266"/>
      <c r="FO75" s="265"/>
      <c r="FP75" s="266"/>
      <c r="FQ75" s="265"/>
      <c r="FR75" s="266"/>
      <c r="FX75" s="261"/>
      <c r="IG75" s="588"/>
      <c r="IH75" s="588"/>
      <c r="II75" s="588"/>
      <c r="IJ75" s="588"/>
      <c r="IK75" s="588"/>
      <c r="IL75" s="588"/>
      <c r="IM75" s="588"/>
      <c r="IN75" s="588"/>
      <c r="IO75" s="588"/>
      <c r="IP75" s="588"/>
      <c r="IQ75" s="588"/>
      <c r="IR75" s="588"/>
      <c r="JE75" s="588"/>
      <c r="JF75" s="588"/>
      <c r="JG75" s="588"/>
      <c r="JH75" s="588"/>
      <c r="JI75" s="588"/>
      <c r="JJ75" s="588"/>
      <c r="JK75" s="588"/>
      <c r="JL75" s="588"/>
      <c r="JM75" s="588"/>
      <c r="JN75" s="588"/>
      <c r="JO75" s="588"/>
      <c r="JP75" s="588"/>
    </row>
    <row r="76" spans="1:276">
      <c r="A76" s="199">
        <f t="shared" si="2"/>
        <v>72</v>
      </c>
      <c r="B76" s="200" t="s">
        <v>206</v>
      </c>
      <c r="C76" s="201" t="s">
        <v>1218</v>
      </c>
      <c r="D76" s="202" t="s">
        <v>1044</v>
      </c>
      <c r="E76" s="203" t="s">
        <v>1265</v>
      </c>
      <c r="F76" s="204"/>
      <c r="G76" s="205" t="s">
        <v>604</v>
      </c>
      <c r="H76" s="206" t="str">
        <f t="shared" si="28"/>
        <v>內湖區</v>
      </c>
      <c r="I76" s="206" t="s">
        <v>605</v>
      </c>
      <c r="J76" s="206" t="s">
        <v>606</v>
      </c>
      <c r="K76" s="206" t="s">
        <v>607</v>
      </c>
      <c r="L76" s="207">
        <v>80.47</v>
      </c>
      <c r="M76" s="206" t="s">
        <v>482</v>
      </c>
      <c r="N76" s="208">
        <v>45762</v>
      </c>
      <c r="O76" s="208">
        <f t="shared" si="53"/>
        <v>46126</v>
      </c>
      <c r="P76" s="209">
        <v>33000</v>
      </c>
      <c r="Q76" s="210">
        <v>4000</v>
      </c>
      <c r="R76" s="211">
        <v>45828</v>
      </c>
      <c r="S76" s="212">
        <v>2400</v>
      </c>
      <c r="T76" s="211">
        <v>45828</v>
      </c>
      <c r="U76" s="270">
        <f>S76</f>
        <v>2400</v>
      </c>
      <c r="V76" s="271">
        <v>45858</v>
      </c>
      <c r="W76" s="214">
        <f t="shared" si="54"/>
        <v>2400</v>
      </c>
      <c r="X76" s="215">
        <v>45889</v>
      </c>
      <c r="Y76" s="212">
        <v>2400</v>
      </c>
      <c r="Z76" s="213">
        <v>45920</v>
      </c>
      <c r="AA76" s="212">
        <v>2400</v>
      </c>
      <c r="AB76" s="211">
        <v>45950</v>
      </c>
      <c r="AC76" s="214">
        <v>2400</v>
      </c>
      <c r="AD76" s="215">
        <v>45981</v>
      </c>
      <c r="AE76" s="214">
        <v>2400</v>
      </c>
      <c r="AF76" s="215">
        <v>46011</v>
      </c>
      <c r="AG76" s="214">
        <f t="shared" si="55"/>
        <v>2400</v>
      </c>
      <c r="AH76" s="215" t="s">
        <v>1195</v>
      </c>
      <c r="AI76" s="214">
        <v>2400</v>
      </c>
      <c r="AJ76" s="215" t="s">
        <v>1200</v>
      </c>
      <c r="AK76" s="214">
        <v>2400</v>
      </c>
      <c r="AL76" s="216">
        <v>46101</v>
      </c>
      <c r="AM76" s="214">
        <v>2400</v>
      </c>
      <c r="AN76" s="215">
        <v>46132</v>
      </c>
      <c r="AO76" s="214">
        <v>2400</v>
      </c>
      <c r="AP76" s="216">
        <v>46162</v>
      </c>
      <c r="AQ76" s="218"/>
      <c r="AR76" s="219"/>
      <c r="AS76" s="220"/>
      <c r="AT76" s="219"/>
      <c r="AU76" s="219"/>
      <c r="AV76" s="219"/>
      <c r="AW76" s="219"/>
      <c r="AX76" s="219"/>
      <c r="AY76" s="219"/>
      <c r="AZ76" s="219"/>
      <c r="BA76" s="219"/>
      <c r="BB76" s="219"/>
      <c r="BC76" s="219"/>
      <c r="BD76" s="219"/>
      <c r="BE76" s="219"/>
      <c r="BF76" s="219"/>
      <c r="BG76" s="219"/>
      <c r="BH76" s="219"/>
      <c r="BI76" s="219"/>
      <c r="BJ76" s="219"/>
      <c r="BK76" s="219"/>
      <c r="BL76" s="219"/>
      <c r="BM76" s="219"/>
      <c r="BN76" s="221"/>
      <c r="BO76" s="218"/>
      <c r="BP76" s="219"/>
      <c r="BQ76" s="219"/>
      <c r="BR76" s="219"/>
      <c r="BS76" s="219"/>
      <c r="BT76" s="219"/>
      <c r="BU76" s="219"/>
      <c r="BV76" s="219"/>
      <c r="BW76" s="219"/>
      <c r="BX76" s="219"/>
      <c r="BY76" s="219"/>
      <c r="BZ76" s="219"/>
      <c r="CA76" s="219"/>
      <c r="CB76" s="219"/>
      <c r="CC76" s="219"/>
      <c r="CD76" s="219"/>
      <c r="CE76" s="219"/>
      <c r="CF76" s="219"/>
      <c r="CG76" s="219"/>
      <c r="CH76" s="219"/>
      <c r="CI76" s="219"/>
      <c r="CJ76" s="219"/>
      <c r="CK76" s="219"/>
      <c r="CL76" s="222"/>
      <c r="CM76" s="223" t="s">
        <v>608</v>
      </c>
      <c r="CN76" s="224" t="s">
        <v>609</v>
      </c>
      <c r="CO76" s="225" t="s">
        <v>611</v>
      </c>
      <c r="CP76" s="226" t="s">
        <v>610</v>
      </c>
      <c r="CQ76" s="227" t="s">
        <v>612</v>
      </c>
      <c r="CZ76" s="235">
        <v>7350</v>
      </c>
      <c r="DA76" s="236">
        <v>45950</v>
      </c>
      <c r="DC76" s="238"/>
      <c r="DH76" s="240">
        <f t="shared" si="40"/>
        <v>2650</v>
      </c>
      <c r="DI76" s="241"/>
      <c r="DJ76" s="242"/>
      <c r="DK76" s="242"/>
      <c r="DL76" s="242"/>
      <c r="DM76" s="242"/>
      <c r="DN76" s="242"/>
      <c r="DO76" s="242"/>
      <c r="DP76" s="242"/>
      <c r="DQ76" s="243"/>
      <c r="DR76" s="241"/>
      <c r="DS76" s="242"/>
      <c r="DT76" s="242"/>
      <c r="DU76" s="242"/>
      <c r="DV76" s="242"/>
      <c r="DW76" s="242"/>
      <c r="DX76" s="242"/>
      <c r="DY76" s="242"/>
      <c r="DZ76" s="244"/>
      <c r="EA76" s="245" t="s">
        <v>613</v>
      </c>
      <c r="EB76" s="246" t="s">
        <v>614</v>
      </c>
      <c r="EC76" s="247" t="s">
        <v>470</v>
      </c>
      <c r="ED76" s="248" t="s">
        <v>615</v>
      </c>
      <c r="EE76" s="249" t="s">
        <v>616</v>
      </c>
      <c r="EF76" s="249" t="s">
        <v>617</v>
      </c>
      <c r="EG76" s="249" t="s">
        <v>599</v>
      </c>
      <c r="EH76" s="249" t="s">
        <v>619</v>
      </c>
      <c r="EI76" s="250" t="s">
        <v>618</v>
      </c>
      <c r="EJ76" s="250" t="s">
        <v>474</v>
      </c>
      <c r="EK76" s="250" t="s">
        <v>620</v>
      </c>
      <c r="EL76" s="250" t="s">
        <v>621</v>
      </c>
      <c r="EM76" s="251" t="s">
        <v>528</v>
      </c>
      <c r="EN76" s="252"/>
      <c r="EO76" s="249"/>
      <c r="EP76" s="249"/>
      <c r="EQ76" s="250"/>
      <c r="ER76" s="253"/>
      <c r="ES76" s="260"/>
      <c r="ET76" s="261"/>
      <c r="EU76" s="260"/>
      <c r="EW76" s="260"/>
      <c r="EY76" s="260"/>
      <c r="EZ76" s="261"/>
      <c r="FA76" s="260"/>
      <c r="FI76" s="263"/>
      <c r="FJ76" s="264"/>
      <c r="FK76" s="265"/>
      <c r="FL76" s="266"/>
      <c r="FN76" s="266"/>
      <c r="FO76" s="265"/>
      <c r="FP76" s="266"/>
      <c r="FQ76" s="265"/>
      <c r="FR76" s="266"/>
      <c r="FX76" s="261"/>
      <c r="IG76" s="588"/>
      <c r="IH76" s="588"/>
      <c r="II76" s="588"/>
      <c r="IJ76" s="588"/>
      <c r="IK76" s="588"/>
      <c r="IL76" s="588"/>
      <c r="IM76" s="588"/>
      <c r="IN76" s="588"/>
      <c r="IO76" s="588"/>
      <c r="IP76" s="588"/>
      <c r="IQ76" s="588"/>
      <c r="IR76" s="588"/>
      <c r="JE76" s="588"/>
      <c r="JF76" s="588"/>
      <c r="JG76" s="588"/>
      <c r="JH76" s="588"/>
      <c r="JI76" s="588"/>
      <c r="JJ76" s="588"/>
      <c r="JK76" s="588"/>
      <c r="JL76" s="588"/>
      <c r="JM76" s="588"/>
      <c r="JN76" s="588"/>
      <c r="JO76" s="588"/>
      <c r="JP76" s="588"/>
    </row>
    <row r="77" spans="1:276">
      <c r="A77" s="199">
        <f t="shared" si="2"/>
        <v>73</v>
      </c>
      <c r="B77" s="200" t="s">
        <v>206</v>
      </c>
      <c r="C77" s="201" t="s">
        <v>1238</v>
      </c>
      <c r="D77" s="202" t="s">
        <v>1047</v>
      </c>
      <c r="E77" s="203"/>
      <c r="F77" s="204"/>
      <c r="G77" s="205" t="s">
        <v>633</v>
      </c>
      <c r="H77" s="206" t="str">
        <f t="shared" si="28"/>
        <v>士林區</v>
      </c>
      <c r="I77" s="206" t="s">
        <v>624</v>
      </c>
      <c r="J77" s="206" t="s">
        <v>626</v>
      </c>
      <c r="K77" s="206" t="s">
        <v>1046</v>
      </c>
      <c r="L77" s="207">
        <v>81.650000000000006</v>
      </c>
      <c r="M77" s="206" t="s">
        <v>482</v>
      </c>
      <c r="N77" s="208">
        <v>45778</v>
      </c>
      <c r="O77" s="208">
        <f t="shared" si="53"/>
        <v>46142</v>
      </c>
      <c r="P77" s="209">
        <v>20000</v>
      </c>
      <c r="Q77" s="210">
        <v>4000</v>
      </c>
      <c r="R77" s="211">
        <v>45858</v>
      </c>
      <c r="S77" s="212">
        <v>2400</v>
      </c>
      <c r="T77" s="211">
        <v>45858</v>
      </c>
      <c r="U77" s="214">
        <f>S77</f>
        <v>2400</v>
      </c>
      <c r="V77" s="215">
        <v>45889</v>
      </c>
      <c r="W77" s="212">
        <v>2400</v>
      </c>
      <c r="X77" s="213">
        <v>45920</v>
      </c>
      <c r="Y77" s="212">
        <v>2400</v>
      </c>
      <c r="Z77" s="211">
        <v>45950</v>
      </c>
      <c r="AA77" s="214">
        <v>2400</v>
      </c>
      <c r="AB77" s="215">
        <v>45981</v>
      </c>
      <c r="AC77" s="214">
        <v>2400</v>
      </c>
      <c r="AD77" s="215">
        <v>46011</v>
      </c>
      <c r="AE77" s="214">
        <f t="shared" ref="AE77" si="56">AC77</f>
        <v>2400</v>
      </c>
      <c r="AF77" s="215" t="s">
        <v>1195</v>
      </c>
      <c r="AG77" s="214">
        <v>2400</v>
      </c>
      <c r="AH77" s="215" t="s">
        <v>1200</v>
      </c>
      <c r="AI77" s="214">
        <v>2400</v>
      </c>
      <c r="AJ77" s="216">
        <v>46101</v>
      </c>
      <c r="AK77" s="214">
        <v>2400</v>
      </c>
      <c r="AL77" s="216">
        <v>46132</v>
      </c>
      <c r="AM77" s="214">
        <v>2400</v>
      </c>
      <c r="AN77" s="216">
        <v>46162</v>
      </c>
      <c r="AO77" s="214">
        <f>AM77</f>
        <v>2400</v>
      </c>
      <c r="AP77" s="215">
        <v>46195</v>
      </c>
      <c r="AQ77" s="218"/>
      <c r="AR77" s="219"/>
      <c r="AS77" s="220"/>
      <c r="AT77" s="219"/>
      <c r="AU77" s="219"/>
      <c r="AV77" s="219"/>
      <c r="AW77" s="219"/>
      <c r="AX77" s="219"/>
      <c r="AY77" s="219"/>
      <c r="AZ77" s="219"/>
      <c r="BA77" s="219"/>
      <c r="BB77" s="219"/>
      <c r="BC77" s="219"/>
      <c r="BD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21"/>
      <c r="BO77" s="218"/>
      <c r="BP77" s="219"/>
      <c r="BQ77" s="219"/>
      <c r="BR77" s="219"/>
      <c r="BS77" s="219"/>
      <c r="BT77" s="219"/>
      <c r="BU77" s="219"/>
      <c r="BV77" s="219"/>
      <c r="BW77" s="219"/>
      <c r="BX77" s="219"/>
      <c r="BY77" s="219"/>
      <c r="BZ77" s="219"/>
      <c r="CA77" s="219"/>
      <c r="CB77" s="219"/>
      <c r="CC77" s="219"/>
      <c r="CD77" s="219"/>
      <c r="CE77" s="219"/>
      <c r="CF77" s="219"/>
      <c r="CG77" s="219"/>
      <c r="CH77" s="219"/>
      <c r="CI77" s="219"/>
      <c r="CJ77" s="219"/>
      <c r="CK77" s="219"/>
      <c r="CL77" s="222"/>
      <c r="CM77" s="223" t="s">
        <v>627</v>
      </c>
      <c r="CN77" s="224" t="s">
        <v>628</v>
      </c>
      <c r="CO77" s="225" t="s">
        <v>630</v>
      </c>
      <c r="CP77" s="226" t="s">
        <v>629</v>
      </c>
      <c r="CQ77" s="227" t="s">
        <v>631</v>
      </c>
      <c r="CZ77" s="235"/>
      <c r="DC77" s="238"/>
      <c r="DH77" s="240">
        <f t="shared" si="40"/>
        <v>10000</v>
      </c>
      <c r="DI77" s="241"/>
      <c r="DJ77" s="242"/>
      <c r="DK77" s="242"/>
      <c r="DL77" s="242"/>
      <c r="DM77" s="242"/>
      <c r="DN77" s="242"/>
      <c r="DO77" s="242"/>
      <c r="DP77" s="242"/>
      <c r="DQ77" s="243"/>
      <c r="DR77" s="241"/>
      <c r="DS77" s="242"/>
      <c r="DT77" s="242"/>
      <c r="DU77" s="242"/>
      <c r="DV77" s="242"/>
      <c r="DW77" s="242"/>
      <c r="DX77" s="242"/>
      <c r="DY77" s="242"/>
      <c r="DZ77" s="244"/>
      <c r="EA77" s="245" t="s">
        <v>632</v>
      </c>
      <c r="EB77" s="246" t="s">
        <v>634</v>
      </c>
      <c r="EC77" s="247" t="s">
        <v>470</v>
      </c>
      <c r="ED77" s="248" t="s">
        <v>635</v>
      </c>
      <c r="EE77" s="249" t="s">
        <v>636</v>
      </c>
      <c r="EF77" s="249" t="s">
        <v>637</v>
      </c>
      <c r="EG77" s="249" t="s">
        <v>638</v>
      </c>
      <c r="EH77" s="249"/>
      <c r="EI77" s="250"/>
      <c r="EJ77" s="250"/>
      <c r="EK77" s="250"/>
      <c r="EL77" s="250"/>
      <c r="EM77" s="251"/>
      <c r="EN77" s="252"/>
      <c r="EO77" s="249"/>
      <c r="EP77" s="249"/>
      <c r="EQ77" s="250"/>
      <c r="ER77" s="253"/>
      <c r="ES77" s="260"/>
      <c r="ET77" s="261"/>
      <c r="EU77" s="260"/>
      <c r="EW77" s="260"/>
      <c r="EY77" s="260"/>
      <c r="EZ77" s="261"/>
      <c r="FA77" s="260"/>
      <c r="FI77" s="263"/>
      <c r="FJ77" s="264"/>
      <c r="FK77" s="265"/>
      <c r="FL77" s="266"/>
      <c r="FN77" s="266"/>
      <c r="FO77" s="265"/>
      <c r="FP77" s="266"/>
      <c r="FQ77" s="265"/>
      <c r="FR77" s="266"/>
      <c r="FX77" s="261"/>
      <c r="IG77" s="588"/>
      <c r="IH77" s="588"/>
      <c r="II77" s="588"/>
      <c r="IJ77" s="588"/>
      <c r="IK77" s="588"/>
      <c r="IL77" s="588"/>
      <c r="IM77" s="588"/>
      <c r="IN77" s="588"/>
      <c r="IO77" s="588"/>
      <c r="IP77" s="588"/>
      <c r="IQ77" s="588"/>
      <c r="IR77" s="588"/>
      <c r="JE77" s="588"/>
      <c r="JF77" s="588"/>
      <c r="JG77" s="588"/>
      <c r="JH77" s="588"/>
      <c r="JI77" s="588"/>
      <c r="JJ77" s="588"/>
      <c r="JK77" s="588"/>
      <c r="JL77" s="588"/>
      <c r="JM77" s="588"/>
      <c r="JN77" s="588"/>
      <c r="JO77" s="588"/>
      <c r="JP77" s="588"/>
    </row>
    <row r="78" spans="1:276" s="590" customFormat="1">
      <c r="A78" s="52">
        <f t="shared" si="2"/>
        <v>74</v>
      </c>
      <c r="B78" s="53" t="s">
        <v>206</v>
      </c>
      <c r="C78" s="54" t="s">
        <v>1221</v>
      </c>
      <c r="D78" s="55" t="s">
        <v>1053</v>
      </c>
      <c r="E78" s="106" t="s">
        <v>993</v>
      </c>
      <c r="F78" s="107"/>
      <c r="G78" s="58" t="s">
        <v>727</v>
      </c>
      <c r="H78" s="56" t="str">
        <f t="shared" si="28"/>
        <v>大同區</v>
      </c>
      <c r="I78" s="56" t="s">
        <v>725</v>
      </c>
      <c r="J78" s="56" t="s">
        <v>728</v>
      </c>
      <c r="K78" s="56" t="s">
        <v>1049</v>
      </c>
      <c r="L78" s="59">
        <v>59.72</v>
      </c>
      <c r="M78" s="56" t="s">
        <v>482</v>
      </c>
      <c r="N78" s="60">
        <v>45823</v>
      </c>
      <c r="O78" s="60">
        <f t="shared" si="53"/>
        <v>46187</v>
      </c>
      <c r="P78" s="152">
        <v>22000</v>
      </c>
      <c r="Q78" s="111">
        <v>4000</v>
      </c>
      <c r="R78" s="112">
        <v>45889</v>
      </c>
      <c r="S78" s="113">
        <v>2400</v>
      </c>
      <c r="T78" s="112">
        <v>45889</v>
      </c>
      <c r="U78" s="113">
        <v>2400</v>
      </c>
      <c r="V78" s="114">
        <v>45920</v>
      </c>
      <c r="W78" s="113">
        <v>2400</v>
      </c>
      <c r="X78" s="112">
        <v>45950</v>
      </c>
      <c r="Y78" s="71">
        <v>2400</v>
      </c>
      <c r="Z78" s="73">
        <v>45981</v>
      </c>
      <c r="AA78" s="71">
        <v>2400</v>
      </c>
      <c r="AB78" s="73">
        <v>46011</v>
      </c>
      <c r="AC78" s="71">
        <f t="shared" ref="AC78:AC80" si="57">AA78</f>
        <v>2400</v>
      </c>
      <c r="AD78" s="73" t="s">
        <v>1195</v>
      </c>
      <c r="AE78" s="71">
        <v>2400</v>
      </c>
      <c r="AF78" s="73" t="s">
        <v>1200</v>
      </c>
      <c r="AG78" s="71">
        <v>2400</v>
      </c>
      <c r="AH78" s="72">
        <v>46101</v>
      </c>
      <c r="AI78" s="71">
        <v>2400</v>
      </c>
      <c r="AJ78" s="72">
        <v>46132</v>
      </c>
      <c r="AK78" s="71">
        <v>2400</v>
      </c>
      <c r="AL78" s="72">
        <v>46162</v>
      </c>
      <c r="AM78" s="71">
        <f t="shared" ref="AM78:AM80" si="58">AK78</f>
        <v>2400</v>
      </c>
      <c r="AN78" s="73">
        <v>46195</v>
      </c>
      <c r="AO78" s="135">
        <v>2400</v>
      </c>
      <c r="AP78" s="137">
        <v>46223</v>
      </c>
      <c r="AQ78" s="117"/>
      <c r="AR78" s="118"/>
      <c r="AS78" s="119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20"/>
      <c r="BO78" s="117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21"/>
      <c r="CM78" s="159" t="s">
        <v>1050</v>
      </c>
      <c r="CN78" s="160" t="s">
        <v>1051</v>
      </c>
      <c r="CO78" s="161" t="s">
        <v>733</v>
      </c>
      <c r="CP78" s="162" t="s">
        <v>734</v>
      </c>
      <c r="CQ78" s="126" t="s">
        <v>735</v>
      </c>
      <c r="CR78" s="127"/>
      <c r="CS78" s="128"/>
      <c r="CT78" s="129"/>
      <c r="CU78" s="73"/>
      <c r="CV78" s="130"/>
      <c r="CW78" s="131"/>
      <c r="CX78" s="131"/>
      <c r="CY78" s="132"/>
      <c r="CZ78" s="148"/>
      <c r="DA78" s="134"/>
      <c r="DB78" s="135"/>
      <c r="DC78" s="136"/>
      <c r="DD78" s="135"/>
      <c r="DE78" s="137"/>
      <c r="DF78" s="135"/>
      <c r="DG78" s="137"/>
      <c r="DH78" s="92">
        <f t="shared" si="40"/>
        <v>10000</v>
      </c>
      <c r="DI78" s="138"/>
      <c r="DJ78" s="139"/>
      <c r="DK78" s="139"/>
      <c r="DL78" s="139"/>
      <c r="DM78" s="139"/>
      <c r="DN78" s="139"/>
      <c r="DO78" s="139"/>
      <c r="DP78" s="139"/>
      <c r="DQ78" s="140"/>
      <c r="DR78" s="138"/>
      <c r="DS78" s="139"/>
      <c r="DT78" s="139"/>
      <c r="DU78" s="139"/>
      <c r="DV78" s="139"/>
      <c r="DW78" s="139"/>
      <c r="DX78" s="139"/>
      <c r="DY78" s="139"/>
      <c r="DZ78" s="141"/>
      <c r="EA78" s="163" t="s">
        <v>741</v>
      </c>
      <c r="EB78" s="198" t="s">
        <v>1052</v>
      </c>
      <c r="EC78" s="160" t="s">
        <v>737</v>
      </c>
      <c r="ED78" s="182" t="s">
        <v>736</v>
      </c>
      <c r="EE78" s="166" t="s">
        <v>738</v>
      </c>
      <c r="EF78" s="166" t="s">
        <v>739</v>
      </c>
      <c r="EG78" s="166" t="s">
        <v>525</v>
      </c>
      <c r="EH78" s="166"/>
      <c r="EI78" s="165"/>
      <c r="EJ78" s="165"/>
      <c r="EK78" s="165"/>
      <c r="EL78" s="165"/>
      <c r="EM78" s="167"/>
      <c r="EN78" s="168"/>
      <c r="EO78" s="166"/>
      <c r="EP78" s="166"/>
      <c r="EQ78" s="165"/>
      <c r="ER78" s="169"/>
      <c r="ES78" s="135"/>
      <c r="ET78" s="131"/>
      <c r="EU78" s="135"/>
      <c r="EV78" s="131"/>
      <c r="EW78" s="135"/>
      <c r="EX78" s="131"/>
      <c r="EY78" s="135"/>
      <c r="EZ78" s="131"/>
      <c r="FA78" s="135"/>
      <c r="FB78" s="131"/>
      <c r="FC78" s="135"/>
      <c r="FD78" s="131"/>
      <c r="FE78" s="135"/>
      <c r="FF78" s="131"/>
      <c r="FG78" s="135"/>
      <c r="FH78" s="131"/>
      <c r="FI78" s="149"/>
      <c r="FJ78" s="150"/>
      <c r="FK78" s="151"/>
      <c r="FL78" s="118"/>
      <c r="FM78" s="135"/>
      <c r="FN78" s="118"/>
      <c r="FO78" s="151"/>
      <c r="FP78" s="118"/>
      <c r="FQ78" s="151"/>
      <c r="FR78" s="118"/>
      <c r="FS78" s="135"/>
      <c r="FT78" s="131"/>
      <c r="FU78" s="135"/>
      <c r="FV78" s="131"/>
      <c r="FW78" s="135"/>
      <c r="FX78" s="131"/>
      <c r="FY78" s="103"/>
      <c r="FZ78" s="99"/>
      <c r="GA78" s="99"/>
      <c r="GB78" s="99"/>
      <c r="GC78" s="99"/>
      <c r="GD78" s="99"/>
      <c r="GE78" s="99"/>
      <c r="GF78" s="99"/>
      <c r="GG78" s="99"/>
      <c r="GH78" s="99"/>
      <c r="GI78" s="99"/>
      <c r="GJ78" s="99"/>
      <c r="GK78" s="99"/>
      <c r="GL78" s="99"/>
      <c r="GM78" s="99"/>
      <c r="GN78" s="99"/>
      <c r="GO78" s="99"/>
      <c r="GP78" s="99"/>
      <c r="GQ78" s="99"/>
      <c r="GR78" s="99"/>
      <c r="GS78" s="99"/>
      <c r="GT78" s="99"/>
      <c r="GU78" s="99"/>
      <c r="GV78" s="104"/>
      <c r="GW78" s="103"/>
      <c r="GX78" s="99"/>
      <c r="GY78" s="99"/>
      <c r="GZ78" s="99"/>
      <c r="HA78" s="99"/>
      <c r="HB78" s="99"/>
      <c r="HC78" s="99"/>
      <c r="HD78" s="99"/>
      <c r="HE78" s="99"/>
      <c r="HF78" s="99"/>
      <c r="HG78" s="99"/>
      <c r="HH78" s="99"/>
      <c r="HI78" s="99"/>
      <c r="HJ78" s="99"/>
      <c r="HK78" s="99"/>
      <c r="HL78" s="99"/>
      <c r="HM78" s="99"/>
      <c r="HN78" s="99"/>
      <c r="HO78" s="99"/>
      <c r="HP78" s="99"/>
      <c r="HQ78" s="99"/>
      <c r="HR78" s="99"/>
      <c r="HS78" s="99"/>
      <c r="HT78" s="105"/>
      <c r="IG78" s="589"/>
      <c r="IH78" s="589"/>
      <c r="II78" s="589"/>
      <c r="IJ78" s="589"/>
      <c r="IK78" s="589"/>
      <c r="IL78" s="589"/>
      <c r="IM78" s="589"/>
      <c r="IN78" s="589"/>
      <c r="IO78" s="589"/>
      <c r="IP78" s="589"/>
      <c r="IQ78" s="589"/>
      <c r="IR78" s="589"/>
      <c r="JE78" s="589"/>
      <c r="JF78" s="589"/>
      <c r="JG78" s="589"/>
      <c r="JH78" s="589"/>
      <c r="JI78" s="589"/>
      <c r="JJ78" s="589"/>
      <c r="JK78" s="589"/>
      <c r="JL78" s="589"/>
      <c r="JM78" s="589"/>
      <c r="JN78" s="589"/>
      <c r="JO78" s="589"/>
      <c r="JP78" s="589"/>
    </row>
    <row r="79" spans="1:276" s="590" customFormat="1">
      <c r="A79" s="52">
        <f t="shared" si="2"/>
        <v>75</v>
      </c>
      <c r="B79" s="53" t="s">
        <v>206</v>
      </c>
      <c r="C79" s="54" t="s">
        <v>1218</v>
      </c>
      <c r="D79" s="55" t="s">
        <v>1058</v>
      </c>
      <c r="E79" s="106" t="s">
        <v>993</v>
      </c>
      <c r="F79" s="107"/>
      <c r="G79" s="58" t="s">
        <v>745</v>
      </c>
      <c r="H79" s="56" t="str">
        <f t="shared" si="28"/>
        <v>北投區</v>
      </c>
      <c r="I79" s="56" t="s">
        <v>746</v>
      </c>
      <c r="J79" s="56" t="s">
        <v>758</v>
      </c>
      <c r="K79" s="56" t="s">
        <v>1054</v>
      </c>
      <c r="L79" s="59">
        <v>32.44</v>
      </c>
      <c r="M79" s="56" t="s">
        <v>482</v>
      </c>
      <c r="N79" s="60">
        <v>45818</v>
      </c>
      <c r="O79" s="60">
        <f t="shared" si="53"/>
        <v>46182</v>
      </c>
      <c r="P79" s="152">
        <v>9700</v>
      </c>
      <c r="Q79" s="111">
        <v>4000</v>
      </c>
      <c r="R79" s="112">
        <v>45889</v>
      </c>
      <c r="S79" s="113">
        <v>2400</v>
      </c>
      <c r="T79" s="112">
        <v>45889</v>
      </c>
      <c r="U79" s="113">
        <v>2400</v>
      </c>
      <c r="V79" s="114">
        <v>45920</v>
      </c>
      <c r="W79" s="113">
        <v>2400</v>
      </c>
      <c r="X79" s="112">
        <v>45950</v>
      </c>
      <c r="Y79" s="71">
        <v>2400</v>
      </c>
      <c r="Z79" s="73">
        <v>45981</v>
      </c>
      <c r="AA79" s="71">
        <v>2400</v>
      </c>
      <c r="AB79" s="73">
        <v>46011</v>
      </c>
      <c r="AC79" s="71">
        <f t="shared" si="57"/>
        <v>2400</v>
      </c>
      <c r="AD79" s="73" t="s">
        <v>1195</v>
      </c>
      <c r="AE79" s="71">
        <v>2400</v>
      </c>
      <c r="AF79" s="73" t="s">
        <v>1200</v>
      </c>
      <c r="AG79" s="71">
        <v>2400</v>
      </c>
      <c r="AH79" s="72">
        <v>46101</v>
      </c>
      <c r="AI79" s="71">
        <v>2400</v>
      </c>
      <c r="AJ79" s="72">
        <v>46132</v>
      </c>
      <c r="AK79" s="71">
        <v>2400</v>
      </c>
      <c r="AL79" s="72">
        <v>46162</v>
      </c>
      <c r="AM79" s="71">
        <f t="shared" si="58"/>
        <v>2400</v>
      </c>
      <c r="AN79" s="73">
        <v>46195</v>
      </c>
      <c r="AO79" s="135">
        <v>2400</v>
      </c>
      <c r="AP79" s="137">
        <v>46223</v>
      </c>
      <c r="AQ79" s="117"/>
      <c r="AR79" s="118"/>
      <c r="AS79" s="119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20"/>
      <c r="BO79" s="117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21"/>
      <c r="CM79" s="159" t="s">
        <v>1055</v>
      </c>
      <c r="CN79" s="160" t="s">
        <v>1056</v>
      </c>
      <c r="CO79" s="161" t="s">
        <v>763</v>
      </c>
      <c r="CP79" s="162" t="s">
        <v>764</v>
      </c>
      <c r="CQ79" s="126" t="s">
        <v>745</v>
      </c>
      <c r="CR79" s="127"/>
      <c r="CS79" s="128"/>
      <c r="CT79" s="129"/>
      <c r="CU79" s="73"/>
      <c r="CV79" s="130"/>
      <c r="CW79" s="131"/>
      <c r="CX79" s="131"/>
      <c r="CY79" s="132"/>
      <c r="CZ79" s="148">
        <v>950</v>
      </c>
      <c r="DA79" s="134">
        <v>45920</v>
      </c>
      <c r="DB79" s="135">
        <v>1890</v>
      </c>
      <c r="DC79" s="136">
        <v>45950</v>
      </c>
      <c r="DD79" s="135">
        <v>7160</v>
      </c>
      <c r="DE79" s="137">
        <v>46223</v>
      </c>
      <c r="DF79" s="135"/>
      <c r="DG79" s="137"/>
      <c r="DH79" s="92">
        <f t="shared" si="40"/>
        <v>0</v>
      </c>
      <c r="DI79" s="138"/>
      <c r="DJ79" s="139"/>
      <c r="DK79" s="139"/>
      <c r="DL79" s="139"/>
      <c r="DM79" s="139"/>
      <c r="DN79" s="139"/>
      <c r="DO79" s="139"/>
      <c r="DP79" s="139"/>
      <c r="DQ79" s="140"/>
      <c r="DR79" s="138"/>
      <c r="DS79" s="139"/>
      <c r="DT79" s="139"/>
      <c r="DU79" s="139"/>
      <c r="DV79" s="139"/>
      <c r="DW79" s="139"/>
      <c r="DX79" s="139"/>
      <c r="DY79" s="139"/>
      <c r="DZ79" s="141"/>
      <c r="EA79" s="163" t="s">
        <v>755</v>
      </c>
      <c r="EB79" s="198" t="s">
        <v>1057</v>
      </c>
      <c r="EC79" s="160" t="s">
        <v>766</v>
      </c>
      <c r="ED79" s="182" t="s">
        <v>765</v>
      </c>
      <c r="EE79" s="166" t="s">
        <v>767</v>
      </c>
      <c r="EF79" s="166" t="s">
        <v>768</v>
      </c>
      <c r="EG79" s="166" t="s">
        <v>771</v>
      </c>
      <c r="EH79" s="166" t="s">
        <v>769</v>
      </c>
      <c r="EI79" s="165" t="s">
        <v>770</v>
      </c>
      <c r="EJ79" s="165" t="s">
        <v>525</v>
      </c>
      <c r="EK79" s="165"/>
      <c r="EL79" s="165"/>
      <c r="EM79" s="167"/>
      <c r="EN79" s="168"/>
      <c r="EO79" s="166"/>
      <c r="EP79" s="166"/>
      <c r="EQ79" s="165"/>
      <c r="ER79" s="169"/>
      <c r="ES79" s="135"/>
      <c r="ET79" s="131"/>
      <c r="EU79" s="135"/>
      <c r="EV79" s="131"/>
      <c r="EW79" s="135"/>
      <c r="EX79" s="131"/>
      <c r="EY79" s="135"/>
      <c r="EZ79" s="131"/>
      <c r="FA79" s="135"/>
      <c r="FB79" s="131"/>
      <c r="FC79" s="135"/>
      <c r="FD79" s="131"/>
      <c r="FE79" s="135"/>
      <c r="FF79" s="131"/>
      <c r="FG79" s="135"/>
      <c r="FH79" s="131"/>
      <c r="FI79" s="149"/>
      <c r="FJ79" s="150"/>
      <c r="FK79" s="151"/>
      <c r="FL79" s="118"/>
      <c r="FM79" s="135"/>
      <c r="FN79" s="118"/>
      <c r="FO79" s="151"/>
      <c r="FP79" s="118"/>
      <c r="FQ79" s="151"/>
      <c r="FR79" s="118"/>
      <c r="FS79" s="135"/>
      <c r="FT79" s="131"/>
      <c r="FU79" s="135"/>
      <c r="FV79" s="131"/>
      <c r="FW79" s="135"/>
      <c r="FX79" s="131"/>
      <c r="FY79" s="103"/>
      <c r="FZ79" s="99"/>
      <c r="GA79" s="99"/>
      <c r="GB79" s="99"/>
      <c r="GC79" s="99"/>
      <c r="GD79" s="99"/>
      <c r="GE79" s="99"/>
      <c r="GF79" s="99"/>
      <c r="GG79" s="99"/>
      <c r="GH79" s="99"/>
      <c r="GI79" s="99"/>
      <c r="GJ79" s="99"/>
      <c r="GK79" s="99"/>
      <c r="GL79" s="99"/>
      <c r="GM79" s="99"/>
      <c r="GN79" s="99"/>
      <c r="GO79" s="99"/>
      <c r="GP79" s="99"/>
      <c r="GQ79" s="99"/>
      <c r="GR79" s="99"/>
      <c r="GS79" s="99"/>
      <c r="GT79" s="99"/>
      <c r="GU79" s="99"/>
      <c r="GV79" s="104"/>
      <c r="GW79" s="103"/>
      <c r="GX79" s="99"/>
      <c r="GY79" s="99"/>
      <c r="GZ79" s="99"/>
      <c r="HA79" s="99"/>
      <c r="HB79" s="99"/>
      <c r="HC79" s="99"/>
      <c r="HD79" s="99"/>
      <c r="HE79" s="99"/>
      <c r="HF79" s="99"/>
      <c r="HG79" s="99"/>
      <c r="HH79" s="99"/>
      <c r="HI79" s="99"/>
      <c r="HJ79" s="99"/>
      <c r="HK79" s="99"/>
      <c r="HL79" s="99"/>
      <c r="HM79" s="99"/>
      <c r="HN79" s="99"/>
      <c r="HO79" s="99"/>
      <c r="HP79" s="99"/>
      <c r="HQ79" s="99"/>
      <c r="HR79" s="99"/>
      <c r="HS79" s="99"/>
      <c r="HT79" s="105"/>
      <c r="IG79" s="589"/>
      <c r="IH79" s="589"/>
      <c r="II79" s="589"/>
      <c r="IJ79" s="589"/>
      <c r="IK79" s="589"/>
      <c r="IL79" s="589"/>
      <c r="IM79" s="589"/>
      <c r="IN79" s="589"/>
      <c r="IO79" s="589"/>
      <c r="IP79" s="589"/>
      <c r="IQ79" s="589"/>
      <c r="IR79" s="589"/>
      <c r="JE79" s="589"/>
      <c r="JF79" s="589"/>
      <c r="JG79" s="589"/>
      <c r="JH79" s="589"/>
      <c r="JI79" s="589"/>
      <c r="JJ79" s="589"/>
      <c r="JK79" s="589"/>
      <c r="JL79" s="589"/>
      <c r="JM79" s="589"/>
      <c r="JN79" s="589"/>
      <c r="JO79" s="589"/>
      <c r="JP79" s="589"/>
    </row>
    <row r="80" spans="1:276">
      <c r="A80" s="199">
        <f t="shared" si="2"/>
        <v>76</v>
      </c>
      <c r="B80" s="200" t="s">
        <v>206</v>
      </c>
      <c r="C80" s="201" t="s">
        <v>1222</v>
      </c>
      <c r="D80" s="202" t="s">
        <v>1080</v>
      </c>
      <c r="E80" s="203"/>
      <c r="F80" s="204"/>
      <c r="G80" s="205" t="s">
        <v>759</v>
      </c>
      <c r="H80" s="206" t="str">
        <f t="shared" si="28"/>
        <v>北投區</v>
      </c>
      <c r="I80" s="206" t="s">
        <v>1034</v>
      </c>
      <c r="J80" s="206" t="s">
        <v>757</v>
      </c>
      <c r="K80" s="206" t="s">
        <v>1076</v>
      </c>
      <c r="L80" s="207">
        <v>83.28</v>
      </c>
      <c r="M80" s="206" t="s">
        <v>482</v>
      </c>
      <c r="N80" s="208">
        <v>45832</v>
      </c>
      <c r="O80" s="208">
        <f t="shared" si="53"/>
        <v>46196</v>
      </c>
      <c r="P80" s="209">
        <v>31000</v>
      </c>
      <c r="Q80" s="210">
        <v>4000</v>
      </c>
      <c r="R80" s="211">
        <v>45889</v>
      </c>
      <c r="S80" s="212">
        <v>2400</v>
      </c>
      <c r="T80" s="211">
        <v>45889</v>
      </c>
      <c r="U80" s="212">
        <v>2400</v>
      </c>
      <c r="V80" s="213">
        <v>45920</v>
      </c>
      <c r="W80" s="212">
        <v>2400</v>
      </c>
      <c r="X80" s="211">
        <v>45950</v>
      </c>
      <c r="Y80" s="214">
        <v>2400</v>
      </c>
      <c r="Z80" s="215">
        <v>45981</v>
      </c>
      <c r="AA80" s="214">
        <v>2400</v>
      </c>
      <c r="AB80" s="215">
        <v>46011</v>
      </c>
      <c r="AC80" s="214">
        <f t="shared" si="57"/>
        <v>2400</v>
      </c>
      <c r="AD80" s="215" t="s">
        <v>1195</v>
      </c>
      <c r="AE80" s="214">
        <v>2400</v>
      </c>
      <c r="AF80" s="215" t="s">
        <v>1200</v>
      </c>
      <c r="AG80" s="214">
        <v>2400</v>
      </c>
      <c r="AH80" s="216">
        <v>46101</v>
      </c>
      <c r="AI80" s="214">
        <v>2400</v>
      </c>
      <c r="AJ80" s="216">
        <v>46132</v>
      </c>
      <c r="AK80" s="214">
        <v>2400</v>
      </c>
      <c r="AL80" s="216">
        <v>46162</v>
      </c>
      <c r="AM80" s="214">
        <f t="shared" si="58"/>
        <v>2400</v>
      </c>
      <c r="AN80" s="215">
        <v>46195</v>
      </c>
      <c r="AO80" s="270">
        <v>2400</v>
      </c>
      <c r="AP80" s="271">
        <v>46223</v>
      </c>
      <c r="AQ80" s="218"/>
      <c r="AR80" s="219"/>
      <c r="AS80" s="220"/>
      <c r="AT80" s="219"/>
      <c r="AU80" s="219"/>
      <c r="AV80" s="219"/>
      <c r="AW80" s="219"/>
      <c r="AX80" s="219"/>
      <c r="AY80" s="219"/>
      <c r="AZ80" s="219"/>
      <c r="BA80" s="219"/>
      <c r="BB80" s="219"/>
      <c r="BC80" s="219"/>
      <c r="BD80" s="219"/>
      <c r="BE80" s="219"/>
      <c r="BF80" s="219"/>
      <c r="BG80" s="219"/>
      <c r="BH80" s="219"/>
      <c r="BI80" s="219"/>
      <c r="BJ80" s="219"/>
      <c r="BK80" s="219"/>
      <c r="BL80" s="219"/>
      <c r="BM80" s="219"/>
      <c r="BN80" s="221"/>
      <c r="BO80" s="218"/>
      <c r="BP80" s="219"/>
      <c r="BQ80" s="219"/>
      <c r="BR80" s="219"/>
      <c r="BS80" s="219"/>
      <c r="BT80" s="219"/>
      <c r="BU80" s="219"/>
      <c r="BV80" s="219"/>
      <c r="BW80" s="219"/>
      <c r="BX80" s="219"/>
      <c r="BY80" s="219"/>
      <c r="BZ80" s="219"/>
      <c r="CA80" s="219"/>
      <c r="CB80" s="219"/>
      <c r="CC80" s="219"/>
      <c r="CD80" s="219"/>
      <c r="CE80" s="219"/>
      <c r="CF80" s="219"/>
      <c r="CG80" s="219"/>
      <c r="CH80" s="219"/>
      <c r="CI80" s="219"/>
      <c r="CJ80" s="219"/>
      <c r="CK80" s="219"/>
      <c r="CL80" s="222"/>
      <c r="CM80" s="223" t="s">
        <v>1077</v>
      </c>
      <c r="CN80" s="224" t="s">
        <v>1078</v>
      </c>
      <c r="CO80" s="225" t="s">
        <v>761</v>
      </c>
      <c r="CP80" s="226" t="s">
        <v>760</v>
      </c>
      <c r="CQ80" s="227" t="s">
        <v>762</v>
      </c>
      <c r="CT80" s="230">
        <v>4500</v>
      </c>
      <c r="CU80" s="231">
        <v>45889</v>
      </c>
      <c r="CZ80" s="237">
        <v>10000</v>
      </c>
      <c r="DA80" s="239">
        <v>45981</v>
      </c>
      <c r="DC80" s="238"/>
      <c r="DH80" s="240">
        <f t="shared" si="40"/>
        <v>0</v>
      </c>
      <c r="DI80" s="241"/>
      <c r="DJ80" s="242"/>
      <c r="DK80" s="242"/>
      <c r="DL80" s="242"/>
      <c r="DM80" s="242"/>
      <c r="DN80" s="242"/>
      <c r="DO80" s="242"/>
      <c r="DP80" s="242"/>
      <c r="DQ80" s="243"/>
      <c r="DR80" s="241"/>
      <c r="DS80" s="242"/>
      <c r="DT80" s="242"/>
      <c r="DU80" s="242"/>
      <c r="DV80" s="242"/>
      <c r="DW80" s="242"/>
      <c r="DX80" s="242"/>
      <c r="DY80" s="242"/>
      <c r="DZ80" s="244"/>
      <c r="EA80" s="245" t="s">
        <v>756</v>
      </c>
      <c r="EB80" s="246" t="s">
        <v>1079</v>
      </c>
      <c r="EC80" s="247" t="s">
        <v>773</v>
      </c>
      <c r="ED80" s="248" t="s">
        <v>772</v>
      </c>
      <c r="EE80" s="249" t="s">
        <v>774</v>
      </c>
      <c r="EF80" s="249" t="s">
        <v>775</v>
      </c>
      <c r="EG80" s="249" t="s">
        <v>599</v>
      </c>
      <c r="EH80" s="249" t="s">
        <v>776</v>
      </c>
      <c r="EI80" s="250" t="s">
        <v>777</v>
      </c>
      <c r="EJ80" s="250" t="s">
        <v>474</v>
      </c>
      <c r="EK80" s="250" t="s">
        <v>778</v>
      </c>
      <c r="EL80" s="250" t="s">
        <v>779</v>
      </c>
      <c r="EM80" s="251" t="s">
        <v>528</v>
      </c>
      <c r="EN80" s="252"/>
      <c r="EO80" s="249"/>
      <c r="EP80" s="249"/>
      <c r="EQ80" s="250"/>
      <c r="ER80" s="253"/>
      <c r="ES80" s="260"/>
      <c r="ET80" s="261"/>
      <c r="EU80" s="260"/>
      <c r="EW80" s="260"/>
      <c r="EY80" s="260"/>
      <c r="EZ80" s="261"/>
      <c r="FA80" s="260"/>
      <c r="FI80" s="263"/>
      <c r="FJ80" s="264"/>
      <c r="FK80" s="265"/>
      <c r="FL80" s="266"/>
      <c r="FN80" s="266"/>
      <c r="FO80" s="265"/>
      <c r="FP80" s="266"/>
      <c r="FQ80" s="265"/>
      <c r="FR80" s="266"/>
      <c r="FX80" s="261"/>
      <c r="IG80" s="588"/>
      <c r="IH80" s="588"/>
      <c r="II80" s="588"/>
      <c r="IJ80" s="588"/>
      <c r="IK80" s="588"/>
      <c r="IL80" s="588"/>
      <c r="IM80" s="588"/>
      <c r="IN80" s="588"/>
      <c r="IO80" s="588"/>
      <c r="IP80" s="588"/>
      <c r="IQ80" s="588"/>
      <c r="IR80" s="588"/>
      <c r="JE80" s="588"/>
      <c r="JF80" s="588"/>
      <c r="JG80" s="588"/>
      <c r="JH80" s="588"/>
      <c r="JI80" s="588"/>
      <c r="JJ80" s="588"/>
      <c r="JK80" s="588"/>
      <c r="JL80" s="588"/>
      <c r="JM80" s="588"/>
      <c r="JN80" s="588"/>
      <c r="JO80" s="588"/>
      <c r="JP80" s="588"/>
    </row>
    <row r="81" spans="1:276" ht="15.75" customHeight="1">
      <c r="A81" s="199">
        <f t="shared" si="2"/>
        <v>77</v>
      </c>
      <c r="B81" s="200" t="s">
        <v>206</v>
      </c>
      <c r="C81" s="201" t="s">
        <v>1239</v>
      </c>
      <c r="D81" s="202" t="s">
        <v>1114</v>
      </c>
      <c r="E81" s="203"/>
      <c r="F81" s="204"/>
      <c r="G81" s="205" t="s">
        <v>1115</v>
      </c>
      <c r="H81" s="206" t="str">
        <f t="shared" si="28"/>
        <v>萬華區</v>
      </c>
      <c r="I81" s="206" t="s">
        <v>822</v>
      </c>
      <c r="J81" s="206" t="s">
        <v>823</v>
      </c>
      <c r="K81" s="206" t="s">
        <v>824</v>
      </c>
      <c r="L81" s="207">
        <v>62.85</v>
      </c>
      <c r="M81" s="206" t="s">
        <v>482</v>
      </c>
      <c r="N81" s="208">
        <v>45874</v>
      </c>
      <c r="O81" s="208">
        <f t="shared" si="53"/>
        <v>46238</v>
      </c>
      <c r="P81" s="209">
        <v>23000</v>
      </c>
      <c r="Q81" s="210">
        <v>4000</v>
      </c>
      <c r="R81" s="211">
        <v>45950</v>
      </c>
      <c r="S81" s="212">
        <v>2400</v>
      </c>
      <c r="T81" s="211">
        <v>45950</v>
      </c>
      <c r="U81" s="214">
        <v>2400</v>
      </c>
      <c r="V81" s="215">
        <v>45981</v>
      </c>
      <c r="W81" s="214">
        <v>2400</v>
      </c>
      <c r="X81" s="215">
        <v>46011</v>
      </c>
      <c r="Y81" s="214">
        <f t="shared" ref="Y81:Y83" si="59">W81</f>
        <v>2400</v>
      </c>
      <c r="Z81" s="215" t="s">
        <v>1195</v>
      </c>
      <c r="AA81" s="214">
        <v>2400</v>
      </c>
      <c r="AB81" s="215" t="s">
        <v>1200</v>
      </c>
      <c r="AC81" s="214">
        <v>2400</v>
      </c>
      <c r="AD81" s="216">
        <v>46101</v>
      </c>
      <c r="AE81" s="214">
        <v>2400</v>
      </c>
      <c r="AF81" s="216">
        <v>46132</v>
      </c>
      <c r="AG81" s="214">
        <v>2400</v>
      </c>
      <c r="AH81" s="216">
        <v>46162</v>
      </c>
      <c r="AI81" s="214">
        <f t="shared" ref="AI81:AI83" si="60">AG81</f>
        <v>2400</v>
      </c>
      <c r="AJ81" s="215">
        <v>46195</v>
      </c>
      <c r="AK81" s="270">
        <v>2400</v>
      </c>
      <c r="AL81" s="271">
        <v>46223</v>
      </c>
      <c r="AM81" s="723">
        <v>2400</v>
      </c>
      <c r="AN81" s="726" t="s">
        <v>1274</v>
      </c>
      <c r="AQ81" s="218"/>
      <c r="AR81" s="219"/>
      <c r="AS81" s="220"/>
      <c r="AT81" s="219"/>
      <c r="AU81" s="219"/>
      <c r="AV81" s="219"/>
      <c r="AW81" s="219"/>
      <c r="AX81" s="219"/>
      <c r="AY81" s="219"/>
      <c r="AZ81" s="219"/>
      <c r="BA81" s="219"/>
      <c r="BB81" s="219"/>
      <c r="BC81" s="219"/>
      <c r="BD81" s="219"/>
      <c r="BE81" s="219"/>
      <c r="BF81" s="219"/>
      <c r="BG81" s="219"/>
      <c r="BH81" s="219"/>
      <c r="BI81" s="219"/>
      <c r="BJ81" s="219"/>
      <c r="BK81" s="219"/>
      <c r="BL81" s="219"/>
      <c r="BM81" s="219"/>
      <c r="BN81" s="221"/>
      <c r="BO81" s="218"/>
      <c r="BP81" s="219"/>
      <c r="BQ81" s="219"/>
      <c r="BR81" s="219"/>
      <c r="BS81" s="219"/>
      <c r="BT81" s="219"/>
      <c r="BU81" s="219"/>
      <c r="BV81" s="219"/>
      <c r="BW81" s="219"/>
      <c r="BX81" s="219"/>
      <c r="BY81" s="219"/>
      <c r="BZ81" s="219"/>
      <c r="CA81" s="219"/>
      <c r="CB81" s="219"/>
      <c r="CC81" s="219"/>
      <c r="CD81" s="219"/>
      <c r="CE81" s="219"/>
      <c r="CF81" s="219"/>
      <c r="CG81" s="219"/>
      <c r="CH81" s="219"/>
      <c r="CI81" s="219"/>
      <c r="CJ81" s="219"/>
      <c r="CK81" s="219"/>
      <c r="CL81" s="222"/>
      <c r="CM81" s="223" t="s">
        <v>1116</v>
      </c>
      <c r="CN81" s="224" t="s">
        <v>1117</v>
      </c>
      <c r="CO81" s="225" t="s">
        <v>826</v>
      </c>
      <c r="CP81" s="226" t="s">
        <v>1118</v>
      </c>
      <c r="CQ81" s="227" t="s">
        <v>1119</v>
      </c>
      <c r="CZ81" s="235"/>
      <c r="DC81" s="238"/>
      <c r="DH81" s="240">
        <f t="shared" si="40"/>
        <v>10000</v>
      </c>
      <c r="DI81" s="241"/>
      <c r="DJ81" s="242"/>
      <c r="DK81" s="242"/>
      <c r="DL81" s="242"/>
      <c r="DM81" s="242"/>
      <c r="DN81" s="242"/>
      <c r="DO81" s="242"/>
      <c r="DP81" s="242"/>
      <c r="DQ81" s="243"/>
      <c r="DR81" s="241"/>
      <c r="DS81" s="242"/>
      <c r="DT81" s="242"/>
      <c r="DU81" s="242"/>
      <c r="DV81" s="242"/>
      <c r="DW81" s="242"/>
      <c r="DX81" s="242"/>
      <c r="DY81" s="242"/>
      <c r="DZ81" s="244"/>
      <c r="EA81" s="245" t="s">
        <v>1120</v>
      </c>
      <c r="EB81" s="246" t="s">
        <v>1121</v>
      </c>
      <c r="EC81" s="247" t="s">
        <v>832</v>
      </c>
      <c r="ED81" s="248" t="s">
        <v>1122</v>
      </c>
      <c r="EE81" s="249" t="s">
        <v>834</v>
      </c>
      <c r="EF81" s="249" t="s">
        <v>1123</v>
      </c>
      <c r="EG81" s="249" t="s">
        <v>599</v>
      </c>
      <c r="EH81" s="249"/>
      <c r="EI81" s="250"/>
      <c r="EJ81" s="250"/>
      <c r="EK81" s="250"/>
      <c r="EL81" s="250"/>
      <c r="EM81" s="251"/>
      <c r="EN81" s="252"/>
      <c r="EO81" s="249"/>
      <c r="EP81" s="249"/>
      <c r="EQ81" s="250"/>
      <c r="ER81" s="253"/>
      <c r="ES81" s="260"/>
      <c r="ET81" s="261"/>
      <c r="EU81" s="260"/>
      <c r="EW81" s="260"/>
      <c r="EY81" s="260"/>
      <c r="EZ81" s="261"/>
      <c r="FA81" s="260"/>
      <c r="FI81" s="263"/>
      <c r="FJ81" s="264"/>
      <c r="FK81" s="265"/>
      <c r="FL81" s="266"/>
      <c r="FN81" s="266"/>
      <c r="FO81" s="265"/>
      <c r="FP81" s="266"/>
      <c r="FQ81" s="265"/>
      <c r="FR81" s="266"/>
      <c r="FX81" s="261"/>
      <c r="IG81" s="588"/>
      <c r="IH81" s="588"/>
      <c r="II81" s="588"/>
      <c r="IJ81" s="588"/>
      <c r="IK81" s="588"/>
      <c r="IL81" s="588"/>
      <c r="IM81" s="588"/>
      <c r="IN81" s="588"/>
      <c r="IO81" s="588"/>
      <c r="IP81" s="588"/>
      <c r="IQ81" s="588"/>
      <c r="IR81" s="588"/>
      <c r="JE81" s="588"/>
      <c r="JF81" s="588"/>
      <c r="JG81" s="588"/>
      <c r="JH81" s="588"/>
      <c r="JI81" s="588"/>
      <c r="JJ81" s="588"/>
      <c r="JK81" s="588"/>
      <c r="JL81" s="588"/>
      <c r="JM81" s="588"/>
      <c r="JN81" s="588"/>
      <c r="JO81" s="588"/>
      <c r="JP81" s="588"/>
    </row>
    <row r="82" spans="1:276" ht="15.75" customHeight="1">
      <c r="A82" s="199">
        <f t="shared" si="2"/>
        <v>78</v>
      </c>
      <c r="B82" s="200" t="s">
        <v>206</v>
      </c>
      <c r="C82" s="201" t="s">
        <v>1232</v>
      </c>
      <c r="D82" s="202" t="s">
        <v>1147</v>
      </c>
      <c r="E82" s="203"/>
      <c r="F82" s="204"/>
      <c r="G82" s="205" t="s">
        <v>892</v>
      </c>
      <c r="H82" s="206" t="str">
        <f t="shared" si="28"/>
        <v>萬華區</v>
      </c>
      <c r="I82" s="206" t="s">
        <v>852</v>
      </c>
      <c r="J82" s="206" t="s">
        <v>854</v>
      </c>
      <c r="K82" s="206" t="s">
        <v>1138</v>
      </c>
      <c r="L82" s="207">
        <v>91.23</v>
      </c>
      <c r="M82" s="206" t="s">
        <v>482</v>
      </c>
      <c r="N82" s="208">
        <v>45884</v>
      </c>
      <c r="O82" s="208">
        <f t="shared" si="53"/>
        <v>46248</v>
      </c>
      <c r="P82" s="209">
        <v>23000</v>
      </c>
      <c r="Q82" s="210">
        <v>4000</v>
      </c>
      <c r="R82" s="211">
        <v>45950</v>
      </c>
      <c r="S82" s="212">
        <v>2400</v>
      </c>
      <c r="T82" s="211">
        <v>45950</v>
      </c>
      <c r="U82" s="214">
        <v>2400</v>
      </c>
      <c r="V82" s="215">
        <v>45981</v>
      </c>
      <c r="W82" s="214">
        <v>2400</v>
      </c>
      <c r="X82" s="215">
        <v>46011</v>
      </c>
      <c r="Y82" s="214">
        <f t="shared" si="59"/>
        <v>2400</v>
      </c>
      <c r="Z82" s="215" t="s">
        <v>1195</v>
      </c>
      <c r="AA82" s="214">
        <v>2400</v>
      </c>
      <c r="AB82" s="215" t="s">
        <v>1200</v>
      </c>
      <c r="AC82" s="214">
        <v>2400</v>
      </c>
      <c r="AD82" s="216">
        <v>46101</v>
      </c>
      <c r="AE82" s="214">
        <v>2400</v>
      </c>
      <c r="AF82" s="216">
        <v>46132</v>
      </c>
      <c r="AG82" s="214">
        <v>2400</v>
      </c>
      <c r="AH82" s="216">
        <v>46162</v>
      </c>
      <c r="AI82" s="214">
        <f t="shared" si="60"/>
        <v>2400</v>
      </c>
      <c r="AJ82" s="215">
        <v>46195</v>
      </c>
      <c r="AK82" s="270">
        <v>2400</v>
      </c>
      <c r="AL82" s="271">
        <v>46223</v>
      </c>
      <c r="AM82" s="723">
        <v>2400</v>
      </c>
      <c r="AN82" s="726" t="s">
        <v>1274</v>
      </c>
      <c r="AQ82" s="218"/>
      <c r="AR82" s="219"/>
      <c r="AS82" s="220"/>
      <c r="AT82" s="219"/>
      <c r="AU82" s="219"/>
      <c r="AV82" s="219"/>
      <c r="AW82" s="219"/>
      <c r="AX82" s="219"/>
      <c r="AY82" s="219"/>
      <c r="AZ82" s="219"/>
      <c r="BA82" s="219"/>
      <c r="BB82" s="219"/>
      <c r="BC82" s="219"/>
      <c r="BD82" s="219"/>
      <c r="BE82" s="219"/>
      <c r="BF82" s="219"/>
      <c r="BG82" s="219"/>
      <c r="BH82" s="219"/>
      <c r="BI82" s="219"/>
      <c r="BJ82" s="219"/>
      <c r="BK82" s="219"/>
      <c r="BL82" s="219"/>
      <c r="BM82" s="219"/>
      <c r="BN82" s="221"/>
      <c r="BO82" s="218"/>
      <c r="BP82" s="219"/>
      <c r="BQ82" s="219"/>
      <c r="BR82" s="219"/>
      <c r="BS82" s="219"/>
      <c r="BT82" s="219"/>
      <c r="BU82" s="219"/>
      <c r="BV82" s="219"/>
      <c r="BW82" s="219"/>
      <c r="BX82" s="219"/>
      <c r="BY82" s="219"/>
      <c r="BZ82" s="219"/>
      <c r="CA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22"/>
      <c r="CM82" s="223" t="s">
        <v>1139</v>
      </c>
      <c r="CN82" s="224" t="s">
        <v>1140</v>
      </c>
      <c r="CO82" s="225" t="s">
        <v>861</v>
      </c>
      <c r="CP82" s="226" t="s">
        <v>1141</v>
      </c>
      <c r="CQ82" s="227" t="s">
        <v>892</v>
      </c>
      <c r="CZ82" s="235"/>
      <c r="DC82" s="238"/>
      <c r="DH82" s="240">
        <f t="shared" si="40"/>
        <v>10000</v>
      </c>
      <c r="DI82" s="241"/>
      <c r="DJ82" s="242"/>
      <c r="DK82" s="242"/>
      <c r="DL82" s="242"/>
      <c r="DM82" s="242"/>
      <c r="DN82" s="242"/>
      <c r="DO82" s="242"/>
      <c r="DP82" s="242"/>
      <c r="DQ82" s="243"/>
      <c r="DR82" s="241"/>
      <c r="DS82" s="242"/>
      <c r="DT82" s="242"/>
      <c r="DU82" s="242"/>
      <c r="DV82" s="242"/>
      <c r="DW82" s="242"/>
      <c r="DX82" s="242"/>
      <c r="DY82" s="242"/>
      <c r="DZ82" s="244"/>
      <c r="EA82" s="245" t="s">
        <v>1142</v>
      </c>
      <c r="EB82" s="246" t="s">
        <v>1143</v>
      </c>
      <c r="EC82" s="247" t="s">
        <v>470</v>
      </c>
      <c r="ED82" s="248" t="s">
        <v>1144</v>
      </c>
      <c r="EE82" s="249" t="s">
        <v>1145</v>
      </c>
      <c r="EF82" s="249" t="s">
        <v>1146</v>
      </c>
      <c r="EG82" s="249" t="s">
        <v>638</v>
      </c>
      <c r="EH82" s="249" t="s">
        <v>866</v>
      </c>
      <c r="EI82" s="250" t="s">
        <v>867</v>
      </c>
      <c r="EJ82" s="250" t="s">
        <v>797</v>
      </c>
      <c r="EK82" s="250" t="s">
        <v>868</v>
      </c>
      <c r="EL82" s="250" t="s">
        <v>869</v>
      </c>
      <c r="EM82" s="251" t="s">
        <v>800</v>
      </c>
      <c r="EN82" s="252"/>
      <c r="EO82" s="249"/>
      <c r="EP82" s="249"/>
      <c r="EQ82" s="250"/>
      <c r="ER82" s="253"/>
      <c r="ES82" s="260"/>
      <c r="ET82" s="261"/>
      <c r="EU82" s="260"/>
      <c r="EW82" s="260"/>
      <c r="EY82" s="260"/>
      <c r="EZ82" s="261"/>
      <c r="FA82" s="260"/>
      <c r="FI82" s="263"/>
      <c r="FJ82" s="264"/>
      <c r="FK82" s="265"/>
      <c r="FL82" s="266"/>
      <c r="FN82" s="266"/>
      <c r="FO82" s="265"/>
      <c r="FP82" s="266"/>
      <c r="FQ82" s="265"/>
      <c r="FR82" s="266"/>
      <c r="FX82" s="261"/>
      <c r="IG82" s="588"/>
      <c r="IH82" s="588"/>
      <c r="II82" s="588"/>
      <c r="IJ82" s="588"/>
      <c r="IK82" s="588"/>
      <c r="IL82" s="588"/>
      <c r="IM82" s="588"/>
      <c r="IN82" s="588"/>
      <c r="IO82" s="588"/>
      <c r="IP82" s="588"/>
      <c r="IQ82" s="588"/>
      <c r="IR82" s="588"/>
      <c r="JE82" s="588"/>
      <c r="JF82" s="588"/>
      <c r="JG82" s="588"/>
      <c r="JH82" s="588"/>
      <c r="JI82" s="588"/>
      <c r="JJ82" s="588"/>
      <c r="JK82" s="588"/>
      <c r="JL82" s="588"/>
      <c r="JM82" s="588"/>
      <c r="JN82" s="588"/>
      <c r="JO82" s="588"/>
      <c r="JP82" s="588"/>
    </row>
    <row r="83" spans="1:276" ht="15.75" customHeight="1">
      <c r="A83" s="199">
        <f t="shared" si="2"/>
        <v>79</v>
      </c>
      <c r="B83" s="200" t="s">
        <v>206</v>
      </c>
      <c r="C83" s="201" t="s">
        <v>1220</v>
      </c>
      <c r="D83" s="202" t="s">
        <v>1160</v>
      </c>
      <c r="E83" s="203"/>
      <c r="F83" s="204"/>
      <c r="G83" s="205" t="s">
        <v>1148</v>
      </c>
      <c r="H83" s="206" t="str">
        <f t="shared" si="28"/>
        <v>文山區</v>
      </c>
      <c r="I83" s="206" t="s">
        <v>874</v>
      </c>
      <c r="J83" s="206" t="s">
        <v>1149</v>
      </c>
      <c r="K83" s="206" t="s">
        <v>1150</v>
      </c>
      <c r="L83" s="207">
        <v>71.47</v>
      </c>
      <c r="M83" s="206" t="s">
        <v>482</v>
      </c>
      <c r="N83" s="208">
        <v>45884</v>
      </c>
      <c r="O83" s="208">
        <f>N83+364</f>
        <v>46248</v>
      </c>
      <c r="P83" s="209">
        <v>25500</v>
      </c>
      <c r="Q83" s="210">
        <v>4000</v>
      </c>
      <c r="R83" s="211">
        <v>45950</v>
      </c>
      <c r="S83" s="212">
        <v>2400</v>
      </c>
      <c r="T83" s="211">
        <v>45950</v>
      </c>
      <c r="U83" s="214">
        <v>2400</v>
      </c>
      <c r="V83" s="215">
        <v>45981</v>
      </c>
      <c r="W83" s="214">
        <v>2400</v>
      </c>
      <c r="X83" s="215">
        <v>46011</v>
      </c>
      <c r="Y83" s="214">
        <f t="shared" si="59"/>
        <v>2400</v>
      </c>
      <c r="Z83" s="215" t="s">
        <v>1195</v>
      </c>
      <c r="AA83" s="214">
        <v>2400</v>
      </c>
      <c r="AB83" s="215" t="s">
        <v>1200</v>
      </c>
      <c r="AC83" s="214">
        <v>2400</v>
      </c>
      <c r="AD83" s="216">
        <v>46101</v>
      </c>
      <c r="AE83" s="214">
        <v>2400</v>
      </c>
      <c r="AF83" s="216">
        <v>46132</v>
      </c>
      <c r="AG83" s="214">
        <v>2400</v>
      </c>
      <c r="AH83" s="216">
        <v>46162</v>
      </c>
      <c r="AI83" s="214">
        <f t="shared" si="60"/>
        <v>2400</v>
      </c>
      <c r="AJ83" s="215">
        <v>46195</v>
      </c>
      <c r="AK83" s="270">
        <v>2400</v>
      </c>
      <c r="AL83" s="271">
        <v>46223</v>
      </c>
      <c r="AM83" s="723">
        <v>2400</v>
      </c>
      <c r="AN83" s="726" t="s">
        <v>1274</v>
      </c>
      <c r="AQ83" s="218"/>
      <c r="AR83" s="219"/>
      <c r="AS83" s="220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219"/>
      <c r="BG83" s="219"/>
      <c r="BH83" s="219"/>
      <c r="BI83" s="219"/>
      <c r="BJ83" s="219"/>
      <c r="BK83" s="219"/>
      <c r="BL83" s="219"/>
      <c r="BM83" s="219"/>
      <c r="BN83" s="221"/>
      <c r="BO83" s="218"/>
      <c r="BP83" s="219"/>
      <c r="BQ83" s="219"/>
      <c r="BR83" s="219"/>
      <c r="BS83" s="219"/>
      <c r="BT83" s="219"/>
      <c r="BU83" s="219"/>
      <c r="BV83" s="219"/>
      <c r="BW83" s="219"/>
      <c r="BX83" s="219"/>
      <c r="BY83" s="219"/>
      <c r="BZ83" s="219"/>
      <c r="CA83" s="219"/>
      <c r="CB83" s="219"/>
      <c r="CC83" s="219"/>
      <c r="CD83" s="219"/>
      <c r="CE83" s="219"/>
      <c r="CF83" s="219"/>
      <c r="CG83" s="219"/>
      <c r="CH83" s="219"/>
      <c r="CI83" s="219"/>
      <c r="CJ83" s="219"/>
      <c r="CK83" s="219"/>
      <c r="CL83" s="222"/>
      <c r="CM83" s="223" t="s">
        <v>1151</v>
      </c>
      <c r="CN83" s="224" t="s">
        <v>1152</v>
      </c>
      <c r="CO83" s="225" t="s">
        <v>880</v>
      </c>
      <c r="CP83" s="226" t="s">
        <v>1153</v>
      </c>
      <c r="CQ83" s="227" t="s">
        <v>1154</v>
      </c>
      <c r="CT83" s="230">
        <v>3300</v>
      </c>
      <c r="CU83" s="231">
        <v>45950</v>
      </c>
      <c r="CZ83" s="237">
        <v>10000</v>
      </c>
      <c r="DA83" s="239">
        <v>45981</v>
      </c>
      <c r="DC83" s="238"/>
      <c r="DH83" s="240">
        <f t="shared" si="40"/>
        <v>0</v>
      </c>
      <c r="DI83" s="241"/>
      <c r="DJ83" s="242"/>
      <c r="DK83" s="242"/>
      <c r="DL83" s="242"/>
      <c r="DM83" s="242"/>
      <c r="DN83" s="242"/>
      <c r="DO83" s="242"/>
      <c r="DP83" s="242"/>
      <c r="DQ83" s="243"/>
      <c r="DR83" s="241"/>
      <c r="DS83" s="242"/>
      <c r="DT83" s="242"/>
      <c r="DU83" s="242"/>
      <c r="DV83" s="242"/>
      <c r="DW83" s="242"/>
      <c r="DX83" s="242"/>
      <c r="DY83" s="242"/>
      <c r="DZ83" s="244"/>
      <c r="EA83" s="245" t="s">
        <v>1155</v>
      </c>
      <c r="EB83" s="246" t="s">
        <v>1156</v>
      </c>
      <c r="EC83" s="247" t="s">
        <v>884</v>
      </c>
      <c r="ED83" s="248" t="s">
        <v>1157</v>
      </c>
      <c r="EE83" s="249" t="s">
        <v>1158</v>
      </c>
      <c r="EF83" s="249" t="s">
        <v>1159</v>
      </c>
      <c r="EG83" s="249" t="s">
        <v>638</v>
      </c>
      <c r="EH83" s="249" t="s">
        <v>889</v>
      </c>
      <c r="EI83" s="250" t="s">
        <v>890</v>
      </c>
      <c r="EJ83" s="250" t="s">
        <v>891</v>
      </c>
      <c r="EK83" s="250"/>
      <c r="EL83" s="250"/>
      <c r="EM83" s="251"/>
      <c r="EN83" s="252"/>
      <c r="EO83" s="249"/>
      <c r="EP83" s="249"/>
      <c r="EQ83" s="250"/>
      <c r="ER83" s="253"/>
      <c r="ES83" s="260"/>
      <c r="ET83" s="261"/>
      <c r="EU83" s="260"/>
      <c r="EW83" s="260"/>
      <c r="EY83" s="260"/>
      <c r="EZ83" s="261"/>
      <c r="FA83" s="260"/>
      <c r="FI83" s="263"/>
      <c r="FJ83" s="264"/>
      <c r="FK83" s="265"/>
      <c r="FL83" s="266"/>
      <c r="FN83" s="266"/>
      <c r="FO83" s="265"/>
      <c r="FP83" s="266"/>
      <c r="FQ83" s="265"/>
      <c r="FR83" s="266"/>
      <c r="FX83" s="261"/>
      <c r="IG83" s="588"/>
      <c r="IH83" s="588"/>
      <c r="II83" s="588"/>
      <c r="IJ83" s="588"/>
      <c r="IK83" s="588"/>
      <c r="IL83" s="588"/>
      <c r="IM83" s="588"/>
      <c r="IN83" s="588"/>
      <c r="IO83" s="588"/>
      <c r="IP83" s="588"/>
      <c r="IQ83" s="588"/>
      <c r="IR83" s="588"/>
      <c r="JE83" s="588"/>
      <c r="JF83" s="588"/>
      <c r="JG83" s="588"/>
      <c r="JH83" s="588"/>
      <c r="JI83" s="588"/>
      <c r="JJ83" s="588"/>
      <c r="JK83" s="588"/>
      <c r="JL83" s="588"/>
      <c r="JM83" s="588"/>
      <c r="JN83" s="588"/>
      <c r="JO83" s="588"/>
      <c r="JP83" s="588"/>
    </row>
    <row r="84" spans="1:276">
      <c r="A84" s="199">
        <f t="shared" si="2"/>
        <v>80</v>
      </c>
      <c r="B84" s="273" t="s">
        <v>206</v>
      </c>
      <c r="C84" s="201" t="s">
        <v>1239</v>
      </c>
      <c r="D84" s="274" t="s">
        <v>1166</v>
      </c>
      <c r="G84" s="205" t="s">
        <v>902</v>
      </c>
      <c r="H84" s="206" t="str">
        <f t="shared" si="28"/>
        <v>大同區</v>
      </c>
      <c r="I84" s="206" t="s">
        <v>903</v>
      </c>
      <c r="J84" s="206" t="s">
        <v>900</v>
      </c>
      <c r="K84" s="206" t="s">
        <v>901</v>
      </c>
      <c r="L84" s="207">
        <v>104.35</v>
      </c>
      <c r="M84" s="206" t="s">
        <v>228</v>
      </c>
      <c r="N84" s="208">
        <v>45905</v>
      </c>
      <c r="O84" s="208">
        <f t="shared" ref="O84" si="61">N84+364</f>
        <v>46269</v>
      </c>
      <c r="P84" s="277">
        <v>30000</v>
      </c>
      <c r="Q84" s="210">
        <v>4000</v>
      </c>
      <c r="R84" s="215">
        <v>45981</v>
      </c>
      <c r="S84" s="214">
        <v>2400</v>
      </c>
      <c r="T84" s="215">
        <v>45981</v>
      </c>
      <c r="U84" s="214">
        <v>2400</v>
      </c>
      <c r="V84" s="215">
        <v>46011</v>
      </c>
      <c r="W84" s="214">
        <f t="shared" ref="W84:W86" si="62">U84</f>
        <v>2400</v>
      </c>
      <c r="X84" s="215" t="s">
        <v>1195</v>
      </c>
      <c r="Y84" s="214">
        <v>2400</v>
      </c>
      <c r="Z84" s="215" t="s">
        <v>1200</v>
      </c>
      <c r="AA84" s="214">
        <v>2400</v>
      </c>
      <c r="AB84" s="215">
        <v>46101</v>
      </c>
      <c r="AC84" s="214">
        <v>2400</v>
      </c>
      <c r="AD84" s="215">
        <v>46132</v>
      </c>
      <c r="AE84" s="214">
        <v>2400</v>
      </c>
      <c r="AF84" s="216">
        <v>46162</v>
      </c>
      <c r="AG84" s="214">
        <f t="shared" ref="AG84:AG86" si="63">AE84</f>
        <v>2400</v>
      </c>
      <c r="AH84" s="215">
        <v>46195</v>
      </c>
      <c r="AI84" s="270">
        <v>2400</v>
      </c>
      <c r="AJ84" s="271">
        <v>46223</v>
      </c>
      <c r="AK84" s="723">
        <v>2400</v>
      </c>
      <c r="AL84" s="726" t="s">
        <v>1274</v>
      </c>
      <c r="AM84" s="212"/>
      <c r="AN84" s="213"/>
      <c r="AO84" s="212"/>
      <c r="AP84" s="211"/>
      <c r="CM84" s="283" t="s">
        <v>896</v>
      </c>
      <c r="CN84" s="284" t="s">
        <v>897</v>
      </c>
      <c r="CO84" s="284" t="s">
        <v>905</v>
      </c>
      <c r="CP84" s="285" t="s">
        <v>906</v>
      </c>
      <c r="CQ84" s="227" t="s">
        <v>904</v>
      </c>
      <c r="CT84" s="230">
        <v>4500</v>
      </c>
      <c r="CU84" s="231">
        <v>45981</v>
      </c>
      <c r="CV84" s="286"/>
      <c r="CW84" s="287"/>
      <c r="CX84" s="287"/>
      <c r="CY84" s="288"/>
      <c r="CZ84" s="289">
        <v>3475</v>
      </c>
      <c r="DA84" s="236">
        <v>46011</v>
      </c>
      <c r="DB84" s="237">
        <v>5000</v>
      </c>
      <c r="DC84" s="238" t="s">
        <v>1195</v>
      </c>
      <c r="DE84" s="290"/>
      <c r="DF84" s="291"/>
      <c r="DG84" s="290"/>
      <c r="DH84" s="240">
        <f t="shared" si="40"/>
        <v>1525</v>
      </c>
      <c r="DI84" s="292"/>
      <c r="DJ84" s="293"/>
      <c r="DK84" s="293"/>
      <c r="DL84" s="293"/>
      <c r="DM84" s="293"/>
      <c r="DN84" s="293"/>
      <c r="DO84" s="293"/>
      <c r="DP84" s="293"/>
      <c r="DQ84" s="294"/>
      <c r="DR84" s="292"/>
      <c r="DS84" s="293"/>
      <c r="DT84" s="293"/>
      <c r="DU84" s="293"/>
      <c r="DV84" s="293"/>
      <c r="DW84" s="293"/>
      <c r="DX84" s="293"/>
      <c r="DY84" s="293"/>
      <c r="DZ84" s="295"/>
      <c r="EA84" s="296" t="s">
        <v>898</v>
      </c>
      <c r="EB84" s="272" t="s">
        <v>899</v>
      </c>
      <c r="EC84" s="272" t="s">
        <v>907</v>
      </c>
      <c r="ED84" s="248" t="s">
        <v>908</v>
      </c>
      <c r="EW84" s="300"/>
      <c r="EX84" s="300"/>
      <c r="EY84" s="300"/>
      <c r="EZ84" s="301"/>
      <c r="FA84" s="302"/>
      <c r="FC84" s="303"/>
      <c r="FD84" s="300"/>
      <c r="FE84" s="303"/>
      <c r="FG84" s="303"/>
      <c r="FH84" s="300"/>
      <c r="FI84" s="263"/>
      <c r="FJ84" s="263"/>
      <c r="FN84" s="256"/>
      <c r="FO84" s="265"/>
      <c r="FP84" s="256"/>
      <c r="FQ84" s="265"/>
      <c r="FS84" s="304"/>
      <c r="FT84" s="256"/>
      <c r="FV84" s="300"/>
      <c r="FW84" s="262"/>
      <c r="FX84" s="301"/>
      <c r="IG84" s="588"/>
      <c r="IH84" s="588"/>
      <c r="II84" s="588"/>
      <c r="IJ84" s="588"/>
      <c r="IK84" s="588"/>
      <c r="IL84" s="588"/>
      <c r="IM84" s="588"/>
      <c r="IN84" s="588"/>
      <c r="IO84" s="588"/>
      <c r="IP84" s="588"/>
      <c r="IQ84" s="588"/>
      <c r="IR84" s="588"/>
      <c r="JD84" s="588"/>
      <c r="JE84" s="588"/>
      <c r="JF84" s="588"/>
      <c r="JG84" s="588"/>
      <c r="JH84" s="588"/>
      <c r="JI84" s="588"/>
      <c r="JJ84" s="588"/>
      <c r="JK84" s="588"/>
      <c r="JL84" s="588"/>
      <c r="JM84" s="588"/>
      <c r="JN84" s="588"/>
      <c r="JO84" s="588"/>
      <c r="JP84" s="588"/>
    </row>
    <row r="85" spans="1:276">
      <c r="A85" s="199">
        <f t="shared" si="2"/>
        <v>81</v>
      </c>
      <c r="B85" s="273" t="s">
        <v>206</v>
      </c>
      <c r="C85" s="201" t="s">
        <v>1240</v>
      </c>
      <c r="D85" s="274" t="s">
        <v>1167</v>
      </c>
      <c r="G85" s="205" t="s">
        <v>261</v>
      </c>
      <c r="H85" s="206" t="str">
        <f t="shared" si="28"/>
        <v>士林區</v>
      </c>
      <c r="I85" s="206" t="s">
        <v>624</v>
      </c>
      <c r="J85" s="206" t="s">
        <v>934</v>
      </c>
      <c r="K85" s="206" t="s">
        <v>1162</v>
      </c>
      <c r="L85" s="207">
        <v>71.81</v>
      </c>
      <c r="M85" s="206" t="s">
        <v>228</v>
      </c>
      <c r="N85" s="208">
        <v>45915</v>
      </c>
      <c r="O85" s="208">
        <f>N85+350</f>
        <v>46265</v>
      </c>
      <c r="P85" s="277">
        <v>15000</v>
      </c>
      <c r="Q85" s="210">
        <v>4000</v>
      </c>
      <c r="R85" s="215">
        <v>45981</v>
      </c>
      <c r="S85" s="214">
        <v>2400</v>
      </c>
      <c r="T85" s="215">
        <v>45981</v>
      </c>
      <c r="U85" s="214">
        <v>2400</v>
      </c>
      <c r="V85" s="215">
        <v>46011</v>
      </c>
      <c r="W85" s="214">
        <f t="shared" si="62"/>
        <v>2400</v>
      </c>
      <c r="X85" s="215" t="s">
        <v>1195</v>
      </c>
      <c r="Y85" s="214">
        <v>2400</v>
      </c>
      <c r="Z85" s="215" t="s">
        <v>1200</v>
      </c>
      <c r="AA85" s="214">
        <v>2400</v>
      </c>
      <c r="AB85" s="215">
        <v>46101</v>
      </c>
      <c r="AC85" s="214">
        <v>2400</v>
      </c>
      <c r="AD85" s="215">
        <v>46132</v>
      </c>
      <c r="AE85" s="214">
        <v>2400</v>
      </c>
      <c r="AF85" s="216">
        <v>46162</v>
      </c>
      <c r="AG85" s="214">
        <f t="shared" si="63"/>
        <v>2400</v>
      </c>
      <c r="AH85" s="215">
        <v>46195</v>
      </c>
      <c r="AI85" s="270">
        <v>2400</v>
      </c>
      <c r="AJ85" s="271">
        <v>46223</v>
      </c>
      <c r="AK85" s="723">
        <v>2400</v>
      </c>
      <c r="AL85" s="726" t="s">
        <v>1274</v>
      </c>
      <c r="AM85" s="212"/>
      <c r="AN85" s="213"/>
      <c r="AO85" s="212"/>
      <c r="AP85" s="211"/>
      <c r="CM85" s="283" t="s">
        <v>336</v>
      </c>
      <c r="CN85" s="284" t="s">
        <v>337</v>
      </c>
      <c r="CO85" s="284">
        <v>8120171</v>
      </c>
      <c r="CP85" s="285" t="s">
        <v>1163</v>
      </c>
      <c r="CQ85" s="227" t="s">
        <v>1164</v>
      </c>
      <c r="CV85" s="286"/>
      <c r="CW85" s="287"/>
      <c r="CX85" s="287"/>
      <c r="CY85" s="288"/>
      <c r="CZ85" s="237">
        <v>10000</v>
      </c>
      <c r="DA85" s="238" t="s">
        <v>1195</v>
      </c>
      <c r="DE85" s="290"/>
      <c r="DF85" s="291"/>
      <c r="DG85" s="290"/>
      <c r="DH85" s="240">
        <f t="shared" si="40"/>
        <v>0</v>
      </c>
      <c r="DI85" s="292"/>
      <c r="DJ85" s="293"/>
      <c r="DK85" s="293"/>
      <c r="DL85" s="293"/>
      <c r="DM85" s="293"/>
      <c r="DN85" s="293"/>
      <c r="DO85" s="293"/>
      <c r="DP85" s="293"/>
      <c r="DQ85" s="294"/>
      <c r="DR85" s="292"/>
      <c r="DS85" s="293"/>
      <c r="DT85" s="293"/>
      <c r="DU85" s="293"/>
      <c r="DV85" s="293"/>
      <c r="DW85" s="293"/>
      <c r="DX85" s="293"/>
      <c r="DY85" s="293"/>
      <c r="DZ85" s="295"/>
      <c r="EA85" s="296" t="s">
        <v>930</v>
      </c>
      <c r="EB85" s="272" t="s">
        <v>931</v>
      </c>
      <c r="EC85" s="272" t="s">
        <v>956</v>
      </c>
      <c r="ED85" s="248" t="s">
        <v>1165</v>
      </c>
      <c r="EW85" s="300"/>
      <c r="EX85" s="300"/>
      <c r="EY85" s="300"/>
      <c r="EZ85" s="301"/>
      <c r="FA85" s="302"/>
      <c r="FC85" s="303"/>
      <c r="FD85" s="300"/>
      <c r="FE85" s="303"/>
      <c r="FG85" s="303"/>
      <c r="FH85" s="300"/>
      <c r="FI85" s="263"/>
      <c r="FJ85" s="263"/>
      <c r="FN85" s="256"/>
      <c r="FO85" s="265"/>
      <c r="FP85" s="256"/>
      <c r="FQ85" s="265"/>
      <c r="FS85" s="304"/>
      <c r="FT85" s="256"/>
      <c r="FV85" s="300"/>
      <c r="FW85" s="262"/>
      <c r="FX85" s="301"/>
      <c r="IG85" s="588"/>
      <c r="IH85" s="588"/>
      <c r="II85" s="588"/>
      <c r="IJ85" s="588"/>
      <c r="IK85" s="588"/>
      <c r="IL85" s="588"/>
      <c r="IM85" s="588"/>
      <c r="IN85" s="588"/>
      <c r="IO85" s="588"/>
      <c r="IP85" s="588"/>
      <c r="IQ85" s="588"/>
      <c r="IR85" s="588"/>
      <c r="JD85" s="588"/>
      <c r="JE85" s="588"/>
      <c r="JF85" s="588"/>
      <c r="JG85" s="588"/>
      <c r="JH85" s="588"/>
      <c r="JI85" s="588"/>
      <c r="JJ85" s="588"/>
      <c r="JK85" s="588"/>
      <c r="JL85" s="588"/>
      <c r="JM85" s="588"/>
      <c r="JN85" s="588"/>
      <c r="JO85" s="588"/>
      <c r="JP85" s="588"/>
    </row>
    <row r="86" spans="1:276">
      <c r="A86" s="199">
        <f t="shared" si="2"/>
        <v>82</v>
      </c>
      <c r="B86" s="273" t="s">
        <v>206</v>
      </c>
      <c r="C86" s="201" t="s">
        <v>1238</v>
      </c>
      <c r="D86" s="274" t="s">
        <v>1172</v>
      </c>
      <c r="G86" s="205" t="s">
        <v>923</v>
      </c>
      <c r="H86" s="206" t="str">
        <f t="shared" si="28"/>
        <v>北投區</v>
      </c>
      <c r="I86" s="206" t="s">
        <v>922</v>
      </c>
      <c r="J86" s="206" t="s">
        <v>927</v>
      </c>
      <c r="K86" s="206" t="s">
        <v>1168</v>
      </c>
      <c r="L86" s="207">
        <v>73.260000000000005</v>
      </c>
      <c r="M86" s="206" t="s">
        <v>228</v>
      </c>
      <c r="N86" s="208">
        <v>45915</v>
      </c>
      <c r="O86" s="208">
        <f t="shared" ref="O86:O88" si="64">N86+364</f>
        <v>46279</v>
      </c>
      <c r="P86" s="277">
        <v>15000</v>
      </c>
      <c r="Q86" s="210">
        <v>4000</v>
      </c>
      <c r="R86" s="215">
        <v>45981</v>
      </c>
      <c r="S86" s="214">
        <v>2400</v>
      </c>
      <c r="T86" s="215">
        <v>45981</v>
      </c>
      <c r="U86" s="214">
        <v>2400</v>
      </c>
      <c r="V86" s="215">
        <v>46011</v>
      </c>
      <c r="W86" s="214">
        <f t="shared" si="62"/>
        <v>2400</v>
      </c>
      <c r="X86" s="215" t="s">
        <v>1195</v>
      </c>
      <c r="Y86" s="214">
        <v>2400</v>
      </c>
      <c r="Z86" s="215" t="s">
        <v>1200</v>
      </c>
      <c r="AA86" s="214">
        <v>2400</v>
      </c>
      <c r="AB86" s="215">
        <v>46101</v>
      </c>
      <c r="AC86" s="214">
        <v>2400</v>
      </c>
      <c r="AD86" s="215">
        <v>46132</v>
      </c>
      <c r="AE86" s="214">
        <v>2400</v>
      </c>
      <c r="AF86" s="216">
        <v>46162</v>
      </c>
      <c r="AG86" s="214">
        <f t="shared" si="63"/>
        <v>2400</v>
      </c>
      <c r="AH86" s="215">
        <v>46195</v>
      </c>
      <c r="AI86" s="270">
        <v>2400</v>
      </c>
      <c r="AJ86" s="271">
        <v>46223</v>
      </c>
      <c r="AK86" s="723">
        <v>2400</v>
      </c>
      <c r="AL86" s="726" t="s">
        <v>1274</v>
      </c>
      <c r="AM86" s="212"/>
      <c r="AN86" s="213"/>
      <c r="AO86" s="212"/>
      <c r="AP86" s="211"/>
      <c r="CM86" s="283" t="s">
        <v>928</v>
      </c>
      <c r="CN86" s="284" t="s">
        <v>929</v>
      </c>
      <c r="CO86" s="284" t="s">
        <v>470</v>
      </c>
      <c r="CP86" s="285" t="s">
        <v>1169</v>
      </c>
      <c r="CQ86" s="227" t="s">
        <v>1170</v>
      </c>
      <c r="CV86" s="286"/>
      <c r="CW86" s="287"/>
      <c r="CX86" s="287"/>
      <c r="CY86" s="288"/>
      <c r="CZ86" s="289"/>
      <c r="DE86" s="290"/>
      <c r="DF86" s="291"/>
      <c r="DG86" s="290"/>
      <c r="DH86" s="240">
        <f t="shared" si="40"/>
        <v>10000</v>
      </c>
      <c r="DI86" s="292"/>
      <c r="DJ86" s="293"/>
      <c r="DK86" s="293"/>
      <c r="DL86" s="293"/>
      <c r="DM86" s="293"/>
      <c r="DN86" s="293"/>
      <c r="DO86" s="293"/>
      <c r="DP86" s="293"/>
      <c r="DQ86" s="294"/>
      <c r="DR86" s="292"/>
      <c r="DS86" s="293"/>
      <c r="DT86" s="293"/>
      <c r="DU86" s="293"/>
      <c r="DV86" s="293"/>
      <c r="DW86" s="293"/>
      <c r="DX86" s="293"/>
      <c r="DY86" s="293"/>
      <c r="DZ86" s="295"/>
      <c r="EA86" s="296" t="s">
        <v>932</v>
      </c>
      <c r="EB86" s="272" t="s">
        <v>933</v>
      </c>
      <c r="EC86" s="272" t="s">
        <v>952</v>
      </c>
      <c r="ED86" s="248" t="s">
        <v>1171</v>
      </c>
      <c r="EE86" s="272" t="s">
        <v>953</v>
      </c>
      <c r="EF86" s="272" t="s">
        <v>954</v>
      </c>
      <c r="EG86" s="272" t="s">
        <v>437</v>
      </c>
      <c r="EW86" s="300"/>
      <c r="EX86" s="300"/>
      <c r="EY86" s="300"/>
      <c r="EZ86" s="301"/>
      <c r="FA86" s="302"/>
      <c r="FC86" s="303"/>
      <c r="FD86" s="300"/>
      <c r="FE86" s="303"/>
      <c r="FG86" s="303"/>
      <c r="FH86" s="300"/>
      <c r="FI86" s="263"/>
      <c r="FJ86" s="263"/>
      <c r="FN86" s="256"/>
      <c r="FO86" s="265"/>
      <c r="FP86" s="256"/>
      <c r="FQ86" s="265"/>
      <c r="FS86" s="304"/>
      <c r="FT86" s="256"/>
      <c r="FV86" s="300"/>
      <c r="FW86" s="262"/>
      <c r="FX86" s="301"/>
      <c r="IG86" s="588"/>
      <c r="IH86" s="588"/>
      <c r="II86" s="588"/>
      <c r="IJ86" s="588"/>
      <c r="IK86" s="588"/>
      <c r="IL86" s="588"/>
      <c r="IM86" s="588"/>
      <c r="IN86" s="588"/>
      <c r="IO86" s="588"/>
      <c r="IP86" s="588"/>
      <c r="IQ86" s="588"/>
      <c r="IR86" s="588"/>
      <c r="JD86" s="588"/>
      <c r="JE86" s="588"/>
      <c r="JF86" s="588"/>
      <c r="JG86" s="588"/>
      <c r="JH86" s="588"/>
      <c r="JI86" s="588"/>
      <c r="JJ86" s="588"/>
      <c r="JK86" s="588"/>
      <c r="JL86" s="588"/>
      <c r="JM86" s="588"/>
      <c r="JN86" s="588"/>
      <c r="JO86" s="588"/>
      <c r="JP86" s="588"/>
    </row>
    <row r="87" spans="1:276">
      <c r="A87" s="199">
        <f t="shared" si="2"/>
        <v>83</v>
      </c>
      <c r="B87" s="200" t="s">
        <v>206</v>
      </c>
      <c r="C87" s="201" t="s">
        <v>1217</v>
      </c>
      <c r="D87" s="202" t="s">
        <v>1198</v>
      </c>
      <c r="F87" s="204"/>
      <c r="G87" s="205" t="s">
        <v>982</v>
      </c>
      <c r="H87" s="206" t="str">
        <f t="shared" si="28"/>
        <v>中山區</v>
      </c>
      <c r="I87" s="206" t="s">
        <v>983</v>
      </c>
      <c r="J87" s="206" t="s">
        <v>494</v>
      </c>
      <c r="K87" s="206" t="s">
        <v>481</v>
      </c>
      <c r="L87" s="207">
        <v>89.99</v>
      </c>
      <c r="M87" s="206" t="s">
        <v>482</v>
      </c>
      <c r="N87" s="208">
        <v>45977</v>
      </c>
      <c r="O87" s="208">
        <f t="shared" si="64"/>
        <v>46341</v>
      </c>
      <c r="P87" s="209">
        <v>32000</v>
      </c>
      <c r="Q87" s="210">
        <v>4000</v>
      </c>
      <c r="R87" s="211" t="s">
        <v>1195</v>
      </c>
      <c r="S87" s="212">
        <v>2400</v>
      </c>
      <c r="T87" s="213" t="s">
        <v>1195</v>
      </c>
      <c r="U87" s="214">
        <v>2400</v>
      </c>
      <c r="V87" s="215" t="s">
        <v>1200</v>
      </c>
      <c r="W87" s="214">
        <v>2400</v>
      </c>
      <c r="X87" s="215">
        <v>46101</v>
      </c>
      <c r="Y87" s="214">
        <v>2400</v>
      </c>
      <c r="Z87" s="215">
        <v>46132</v>
      </c>
      <c r="AA87" s="214">
        <f>Y87</f>
        <v>2400</v>
      </c>
      <c r="AB87" s="215">
        <v>46195</v>
      </c>
      <c r="AC87" s="270">
        <v>2400</v>
      </c>
      <c r="AD87" s="271">
        <v>46223</v>
      </c>
      <c r="AE87" s="723">
        <v>2400</v>
      </c>
      <c r="AF87" s="726" t="s">
        <v>1274</v>
      </c>
      <c r="AI87" s="212"/>
      <c r="AJ87" s="213"/>
      <c r="AK87" s="212"/>
      <c r="AL87" s="211"/>
      <c r="AQ87" s="218"/>
      <c r="AR87" s="219"/>
      <c r="AS87" s="220"/>
      <c r="AT87" s="219"/>
      <c r="AU87" s="219"/>
      <c r="AV87" s="219"/>
      <c r="AW87" s="219"/>
      <c r="AX87" s="219"/>
      <c r="AY87" s="219"/>
      <c r="AZ87" s="219"/>
      <c r="BA87" s="219"/>
      <c r="BB87" s="219"/>
      <c r="BC87" s="219"/>
      <c r="BD87" s="219"/>
      <c r="BE87" s="219"/>
      <c r="BF87" s="219"/>
      <c r="BG87" s="219"/>
      <c r="BH87" s="219"/>
      <c r="BI87" s="219"/>
      <c r="BJ87" s="219"/>
      <c r="BK87" s="219"/>
      <c r="BL87" s="219"/>
      <c r="BM87" s="219"/>
      <c r="BN87" s="221"/>
      <c r="BO87" s="218"/>
      <c r="BP87" s="219"/>
      <c r="BQ87" s="219"/>
      <c r="BR87" s="219"/>
      <c r="BS87" s="219"/>
      <c r="BT87" s="219"/>
      <c r="BU87" s="219"/>
      <c r="BV87" s="219"/>
      <c r="BW87" s="219"/>
      <c r="BX87" s="219"/>
      <c r="BY87" s="219"/>
      <c r="BZ87" s="219"/>
      <c r="CA87" s="219"/>
      <c r="CB87" s="219"/>
      <c r="CC87" s="219"/>
      <c r="CD87" s="219"/>
      <c r="CE87" s="219"/>
      <c r="CF87" s="219"/>
      <c r="CG87" s="219"/>
      <c r="CH87" s="219"/>
      <c r="CI87" s="219"/>
      <c r="CJ87" s="219"/>
      <c r="CK87" s="219"/>
      <c r="CL87" s="222"/>
      <c r="CM87" s="223" t="s">
        <v>988</v>
      </c>
      <c r="CN87" s="224" t="s">
        <v>989</v>
      </c>
      <c r="CO87" s="225" t="s">
        <v>485</v>
      </c>
      <c r="CP87" s="226" t="s">
        <v>997</v>
      </c>
      <c r="CQ87" s="227" t="s">
        <v>998</v>
      </c>
      <c r="CR87" s="228" t="s">
        <v>999</v>
      </c>
      <c r="CS87" s="229" t="s">
        <v>1000</v>
      </c>
      <c r="CZ87" s="235">
        <v>1000</v>
      </c>
      <c r="DA87" s="236" t="s">
        <v>1211</v>
      </c>
      <c r="DC87" s="238"/>
      <c r="DH87" s="240">
        <f t="shared" si="40"/>
        <v>9000</v>
      </c>
      <c r="DI87" s="241"/>
      <c r="DJ87" s="242"/>
      <c r="DK87" s="242"/>
      <c r="DL87" s="242"/>
      <c r="DM87" s="242"/>
      <c r="DN87" s="242"/>
      <c r="DO87" s="242"/>
      <c r="DP87" s="242"/>
      <c r="DQ87" s="243"/>
      <c r="DR87" s="241"/>
      <c r="DS87" s="242"/>
      <c r="DT87" s="242"/>
      <c r="DU87" s="242"/>
      <c r="DV87" s="242"/>
      <c r="DW87" s="242"/>
      <c r="DX87" s="242"/>
      <c r="DY87" s="242"/>
      <c r="DZ87" s="244"/>
      <c r="EA87" s="245" t="s">
        <v>990</v>
      </c>
      <c r="EB87" s="246" t="s">
        <v>991</v>
      </c>
      <c r="EC87" s="247" t="s">
        <v>952</v>
      </c>
      <c r="ED87" s="248" t="s">
        <v>1002</v>
      </c>
      <c r="EE87" s="249"/>
      <c r="EF87" s="249"/>
      <c r="EG87" s="249"/>
      <c r="EH87" s="249"/>
      <c r="EI87" s="250"/>
      <c r="EJ87" s="250"/>
      <c r="EK87" s="250"/>
      <c r="EL87" s="250"/>
      <c r="EM87" s="251"/>
      <c r="EN87" s="252"/>
      <c r="EO87" s="249"/>
      <c r="EP87" s="249"/>
      <c r="EQ87" s="250"/>
      <c r="ER87" s="253"/>
      <c r="ES87" s="253"/>
      <c r="ET87" s="254"/>
      <c r="EU87" s="255"/>
      <c r="EV87" s="256"/>
      <c r="EW87" s="256"/>
      <c r="EX87" s="256"/>
      <c r="EY87" s="256"/>
      <c r="EZ87" s="257"/>
      <c r="FA87" s="258"/>
      <c r="FB87" s="259"/>
      <c r="FG87" s="262"/>
      <c r="FH87" s="256"/>
      <c r="FI87" s="263"/>
      <c r="FJ87" s="264"/>
      <c r="FK87" s="265"/>
      <c r="FL87" s="266"/>
      <c r="FN87" s="266"/>
      <c r="FO87" s="265"/>
      <c r="FP87" s="266"/>
      <c r="FQ87" s="265"/>
      <c r="FR87" s="266"/>
      <c r="FU87" s="262"/>
      <c r="FV87" s="256"/>
      <c r="FX87" s="257"/>
      <c r="IG87" s="588"/>
      <c r="IH87" s="588"/>
      <c r="II87" s="588"/>
      <c r="IJ87" s="588"/>
      <c r="IK87" s="588"/>
      <c r="IL87" s="588"/>
      <c r="IM87" s="588"/>
      <c r="IN87" s="588"/>
      <c r="IO87" s="588"/>
      <c r="IP87" s="588"/>
      <c r="IQ87" s="588"/>
      <c r="IR87" s="588"/>
      <c r="JE87" s="588"/>
      <c r="JF87" s="588"/>
      <c r="JG87" s="588"/>
      <c r="JH87" s="588"/>
      <c r="JI87" s="588"/>
      <c r="JJ87" s="588"/>
      <c r="JK87" s="588"/>
      <c r="JL87" s="588"/>
      <c r="JM87" s="588"/>
      <c r="JN87" s="588"/>
      <c r="JO87" s="588"/>
      <c r="JP87" s="588"/>
    </row>
    <row r="88" spans="1:276">
      <c r="A88" s="199">
        <f t="shared" si="2"/>
        <v>84</v>
      </c>
      <c r="B88" s="200" t="s">
        <v>206</v>
      </c>
      <c r="C88" s="201" t="s">
        <v>1233</v>
      </c>
      <c r="D88" s="202" t="s">
        <v>1223</v>
      </c>
      <c r="E88" s="203"/>
      <c r="F88" s="204"/>
      <c r="G88" s="205" t="s">
        <v>1224</v>
      </c>
      <c r="H88" s="206" t="str">
        <f t="shared" si="28"/>
        <v>士林區</v>
      </c>
      <c r="I88" s="206" t="s">
        <v>1015</v>
      </c>
      <c r="J88" s="206" t="s">
        <v>1016</v>
      </c>
      <c r="K88" s="206" t="s">
        <v>1017</v>
      </c>
      <c r="L88" s="207">
        <v>107.65</v>
      </c>
      <c r="M88" s="206" t="s">
        <v>482</v>
      </c>
      <c r="N88" s="208">
        <v>46032</v>
      </c>
      <c r="O88" s="208">
        <f t="shared" si="64"/>
        <v>46396</v>
      </c>
      <c r="P88" s="209">
        <v>22000</v>
      </c>
      <c r="Q88" s="210">
        <v>4000</v>
      </c>
      <c r="R88" s="211">
        <v>46101</v>
      </c>
      <c r="S88" s="212">
        <v>2400</v>
      </c>
      <c r="T88" s="211">
        <v>46101</v>
      </c>
      <c r="U88" s="212">
        <v>2400</v>
      </c>
      <c r="V88" s="211">
        <v>46132</v>
      </c>
      <c r="W88" s="214">
        <v>2400</v>
      </c>
      <c r="X88" s="216">
        <v>46162</v>
      </c>
      <c r="Y88" s="214">
        <f>W88</f>
        <v>2400</v>
      </c>
      <c r="Z88" s="215">
        <v>46195</v>
      </c>
      <c r="AA88" s="270">
        <v>2400</v>
      </c>
      <c r="AB88" s="271">
        <v>46223</v>
      </c>
      <c r="AC88" s="723">
        <v>2400</v>
      </c>
      <c r="AD88" s="726" t="s">
        <v>1274</v>
      </c>
      <c r="AF88" s="216"/>
      <c r="AH88" s="216"/>
      <c r="AJ88" s="216"/>
      <c r="AL88" s="216"/>
      <c r="AQ88" s="218"/>
      <c r="AR88" s="219"/>
      <c r="AS88" s="220"/>
      <c r="AT88" s="219"/>
      <c r="AU88" s="219"/>
      <c r="AV88" s="219"/>
      <c r="AW88" s="219"/>
      <c r="AX88" s="219"/>
      <c r="AY88" s="219"/>
      <c r="AZ88" s="219"/>
      <c r="BA88" s="219"/>
      <c r="BB88" s="219"/>
      <c r="BC88" s="219"/>
      <c r="BD88" s="219"/>
      <c r="BE88" s="219"/>
      <c r="BF88" s="219"/>
      <c r="BG88" s="219"/>
      <c r="BH88" s="219"/>
      <c r="BI88" s="219"/>
      <c r="BJ88" s="219"/>
      <c r="BK88" s="219"/>
      <c r="BL88" s="219"/>
      <c r="BM88" s="219"/>
      <c r="BN88" s="221"/>
      <c r="BO88" s="218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19"/>
      <c r="CA88" s="219"/>
      <c r="CB88" s="219"/>
      <c r="CC88" s="219"/>
      <c r="CD88" s="219"/>
      <c r="CE88" s="219"/>
      <c r="CF88" s="219"/>
      <c r="CG88" s="219"/>
      <c r="CH88" s="219"/>
      <c r="CI88" s="219"/>
      <c r="CJ88" s="219"/>
      <c r="CK88" s="219"/>
      <c r="CL88" s="222"/>
      <c r="CM88" s="223" t="s">
        <v>1225</v>
      </c>
      <c r="CN88" s="224" t="s">
        <v>1226</v>
      </c>
      <c r="CO88" s="225" t="s">
        <v>470</v>
      </c>
      <c r="CP88" s="226" t="s">
        <v>1227</v>
      </c>
      <c r="CQ88" s="227" t="s">
        <v>1228</v>
      </c>
      <c r="CT88" s="230">
        <v>4500</v>
      </c>
      <c r="CU88" s="231">
        <v>46101</v>
      </c>
      <c r="CZ88" s="235">
        <v>2986</v>
      </c>
      <c r="DA88" s="236">
        <v>46162</v>
      </c>
      <c r="DC88" s="238"/>
      <c r="DH88" s="240">
        <f t="shared" si="40"/>
        <v>7014</v>
      </c>
      <c r="DI88" s="241"/>
      <c r="DJ88" s="242"/>
      <c r="DK88" s="242"/>
      <c r="DL88" s="242"/>
      <c r="DM88" s="242"/>
      <c r="DN88" s="242"/>
      <c r="DO88" s="242"/>
      <c r="DP88" s="242"/>
      <c r="DQ88" s="243"/>
      <c r="DR88" s="241"/>
      <c r="DS88" s="242"/>
      <c r="DT88" s="242"/>
      <c r="DU88" s="242"/>
      <c r="DV88" s="242"/>
      <c r="DW88" s="242"/>
      <c r="DX88" s="242"/>
      <c r="DY88" s="242"/>
      <c r="DZ88" s="244"/>
      <c r="EA88" s="245" t="s">
        <v>1229</v>
      </c>
      <c r="EB88" s="246" t="s">
        <v>1230</v>
      </c>
      <c r="EC88" s="247" t="s">
        <v>1023</v>
      </c>
      <c r="ED88" s="248" t="s">
        <v>1231</v>
      </c>
      <c r="EE88" s="249"/>
      <c r="EF88" s="249"/>
      <c r="EG88" s="249"/>
      <c r="EH88" s="249"/>
      <c r="EI88" s="250"/>
      <c r="EJ88" s="250"/>
      <c r="EK88" s="250"/>
      <c r="EL88" s="250"/>
      <c r="EM88" s="251"/>
      <c r="EN88" s="252"/>
      <c r="EO88" s="249"/>
      <c r="EP88" s="249"/>
      <c r="EQ88" s="250"/>
      <c r="ER88" s="253"/>
      <c r="ES88" s="260"/>
      <c r="ET88" s="261"/>
      <c r="EU88" s="260"/>
      <c r="EW88" s="260"/>
      <c r="EY88" s="260"/>
      <c r="EZ88" s="261"/>
      <c r="FA88" s="260"/>
      <c r="FI88" s="263"/>
      <c r="FJ88" s="264"/>
      <c r="FK88" s="265"/>
      <c r="FL88" s="266"/>
      <c r="FN88" s="266"/>
      <c r="FO88" s="265"/>
      <c r="FP88" s="266"/>
      <c r="FQ88" s="265"/>
      <c r="FR88" s="266"/>
      <c r="FX88" s="261"/>
      <c r="IG88" s="588"/>
      <c r="IH88" s="588"/>
      <c r="II88" s="588"/>
      <c r="IJ88" s="588"/>
      <c r="IK88" s="588"/>
      <c r="IL88" s="588"/>
      <c r="IM88" s="588"/>
      <c r="IN88" s="588"/>
      <c r="IO88" s="588"/>
      <c r="IP88" s="588"/>
      <c r="IQ88" s="588"/>
      <c r="IR88" s="588"/>
      <c r="JE88" s="588"/>
      <c r="JF88" s="588"/>
      <c r="JG88" s="588"/>
      <c r="JH88" s="588"/>
      <c r="JI88" s="588"/>
      <c r="JJ88" s="588"/>
      <c r="JK88" s="588"/>
      <c r="JL88" s="588"/>
      <c r="JM88" s="588"/>
      <c r="JN88" s="588"/>
      <c r="JO88" s="588"/>
      <c r="JP88" s="588"/>
    </row>
    <row r="89" spans="1:276">
      <c r="A89" s="199">
        <f t="shared" si="2"/>
        <v>85</v>
      </c>
      <c r="B89" s="200" t="s">
        <v>206</v>
      </c>
      <c r="C89" s="201" t="s">
        <v>1241</v>
      </c>
      <c r="D89" s="202" t="s">
        <v>1087</v>
      </c>
      <c r="E89" s="203"/>
      <c r="F89" s="204"/>
      <c r="G89" s="205" t="s">
        <v>1088</v>
      </c>
      <c r="H89" s="206" t="str">
        <f t="shared" ref="H89:H90" si="65">MID(G89,4,3)</f>
        <v>信義區</v>
      </c>
      <c r="I89" s="206" t="s">
        <v>1089</v>
      </c>
      <c r="J89" s="206" t="s">
        <v>660</v>
      </c>
      <c r="K89" s="206" t="s">
        <v>1090</v>
      </c>
      <c r="L89" s="207">
        <v>71.819999999999993</v>
      </c>
      <c r="M89" s="206" t="s">
        <v>482</v>
      </c>
      <c r="N89" s="208">
        <v>45853</v>
      </c>
      <c r="O89" s="208">
        <f t="shared" si="53"/>
        <v>46217</v>
      </c>
      <c r="P89" s="209">
        <v>15000</v>
      </c>
      <c r="Q89" s="210">
        <v>4000</v>
      </c>
      <c r="R89" s="211">
        <v>45920</v>
      </c>
      <c r="S89" s="212">
        <v>2400</v>
      </c>
      <c r="T89" s="211">
        <v>45920</v>
      </c>
      <c r="U89" s="212">
        <v>2400</v>
      </c>
      <c r="V89" s="211">
        <v>45950</v>
      </c>
      <c r="W89" s="214">
        <v>2400</v>
      </c>
      <c r="X89" s="215">
        <v>45981</v>
      </c>
      <c r="Y89" s="214">
        <v>2400</v>
      </c>
      <c r="Z89" s="215">
        <v>46011</v>
      </c>
      <c r="AA89" s="214">
        <f t="shared" ref="AA89" si="66">Y89</f>
        <v>2400</v>
      </c>
      <c r="AB89" s="215" t="s">
        <v>1195</v>
      </c>
      <c r="AC89" s="214">
        <v>2400</v>
      </c>
      <c r="AD89" s="215" t="s">
        <v>1200</v>
      </c>
      <c r="AE89" s="214">
        <v>2400</v>
      </c>
      <c r="AF89" s="216">
        <v>46101</v>
      </c>
      <c r="AG89" s="214">
        <v>2400</v>
      </c>
      <c r="AH89" s="216">
        <v>46132</v>
      </c>
      <c r="AI89" s="214">
        <v>2400</v>
      </c>
      <c r="AJ89" s="216">
        <v>46162</v>
      </c>
      <c r="AK89" s="214">
        <f>AI89</f>
        <v>2400</v>
      </c>
      <c r="AL89" s="215">
        <v>46195</v>
      </c>
      <c r="AM89" s="270">
        <v>2400</v>
      </c>
      <c r="AN89" s="271">
        <v>46223</v>
      </c>
      <c r="AO89" s="723">
        <v>2400</v>
      </c>
      <c r="AP89" s="726" t="s">
        <v>1274</v>
      </c>
      <c r="AQ89" s="218"/>
      <c r="AR89" s="219"/>
      <c r="AS89" s="220"/>
      <c r="AT89" s="219"/>
      <c r="AU89" s="219"/>
      <c r="AV89" s="219"/>
      <c r="AW89" s="219"/>
      <c r="AX89" s="219"/>
      <c r="AY89" s="219"/>
      <c r="AZ89" s="219"/>
      <c r="BA89" s="219"/>
      <c r="BB89" s="219"/>
      <c r="BC89" s="219"/>
      <c r="BD89" s="219"/>
      <c r="BE89" s="219"/>
      <c r="BF89" s="219"/>
      <c r="BG89" s="219"/>
      <c r="BH89" s="219"/>
      <c r="BI89" s="219"/>
      <c r="BJ89" s="219"/>
      <c r="BK89" s="219"/>
      <c r="BL89" s="219"/>
      <c r="BM89" s="219"/>
      <c r="BN89" s="221"/>
      <c r="BO89" s="218"/>
      <c r="BP89" s="219"/>
      <c r="BQ89" s="219"/>
      <c r="BR89" s="219"/>
      <c r="BS89" s="219"/>
      <c r="BT89" s="219"/>
      <c r="BU89" s="219"/>
      <c r="BV89" s="219"/>
      <c r="BW89" s="219"/>
      <c r="BX89" s="219"/>
      <c r="BY89" s="219"/>
      <c r="BZ89" s="219"/>
      <c r="CA89" s="219"/>
      <c r="CB89" s="219"/>
      <c r="CC89" s="219"/>
      <c r="CD89" s="219"/>
      <c r="CE89" s="219"/>
      <c r="CF89" s="219"/>
      <c r="CG89" s="219"/>
      <c r="CH89" s="219"/>
      <c r="CI89" s="219"/>
      <c r="CJ89" s="219"/>
      <c r="CK89" s="219"/>
      <c r="CL89" s="222"/>
      <c r="CM89" s="223" t="s">
        <v>1091</v>
      </c>
      <c r="CN89" s="224" t="s">
        <v>1092</v>
      </c>
      <c r="CO89" s="225" t="s">
        <v>1093</v>
      </c>
      <c r="CP89" s="226" t="s">
        <v>1094</v>
      </c>
      <c r="CQ89" s="227" t="s">
        <v>1095</v>
      </c>
      <c r="CZ89" s="235"/>
      <c r="DC89" s="238"/>
      <c r="DH89" s="240">
        <f>10000-DF89-DD89-DB89-CZ89</f>
        <v>10000</v>
      </c>
      <c r="DI89" s="241"/>
      <c r="DJ89" s="242"/>
      <c r="DK89" s="242"/>
      <c r="DL89" s="242"/>
      <c r="DM89" s="242"/>
      <c r="DN89" s="242"/>
      <c r="DO89" s="242"/>
      <c r="DP89" s="242"/>
      <c r="DQ89" s="243"/>
      <c r="DR89" s="241"/>
      <c r="DS89" s="242"/>
      <c r="DT89" s="242"/>
      <c r="DU89" s="242"/>
      <c r="DV89" s="242"/>
      <c r="DW89" s="242"/>
      <c r="DX89" s="242"/>
      <c r="DY89" s="242"/>
      <c r="DZ89" s="244"/>
      <c r="EA89" s="245" t="s">
        <v>888</v>
      </c>
      <c r="EB89" s="246" t="s">
        <v>1096</v>
      </c>
      <c r="EC89" s="247">
        <v>7000021</v>
      </c>
      <c r="ED89" s="248" t="s">
        <v>1097</v>
      </c>
      <c r="EE89" s="249" t="s">
        <v>784</v>
      </c>
      <c r="EF89" s="249" t="s">
        <v>785</v>
      </c>
      <c r="EG89" s="249" t="s">
        <v>599</v>
      </c>
      <c r="EH89" s="249"/>
      <c r="EI89" s="250"/>
      <c r="EJ89" s="250"/>
      <c r="EK89" s="250"/>
      <c r="EL89" s="250"/>
      <c r="EM89" s="251"/>
      <c r="EN89" s="252"/>
      <c r="EO89" s="249"/>
      <c r="EP89" s="249"/>
      <c r="EQ89" s="250"/>
      <c r="ER89" s="253"/>
      <c r="ES89" s="260"/>
      <c r="ET89" s="261"/>
      <c r="EU89" s="260"/>
      <c r="EW89" s="260"/>
      <c r="EY89" s="260"/>
      <c r="EZ89" s="261"/>
      <c r="FA89" s="260"/>
      <c r="FI89" s="263"/>
      <c r="FJ89" s="264"/>
      <c r="FK89" s="265"/>
      <c r="FL89" s="266"/>
      <c r="FN89" s="266"/>
      <c r="FO89" s="265"/>
      <c r="FP89" s="266"/>
      <c r="FQ89" s="265"/>
      <c r="FR89" s="266"/>
      <c r="FX89" s="261"/>
      <c r="IG89" s="588"/>
      <c r="IH89" s="588"/>
      <c r="II89" s="588"/>
      <c r="IJ89" s="588"/>
      <c r="IK89" s="588"/>
      <c r="IL89" s="588"/>
      <c r="IM89" s="588"/>
      <c r="IN89" s="588"/>
      <c r="IO89" s="588"/>
      <c r="IP89" s="588"/>
      <c r="IQ89" s="588"/>
      <c r="IR89" s="588"/>
      <c r="JE89" s="588"/>
      <c r="JF89" s="588"/>
      <c r="JG89" s="588"/>
      <c r="JH89" s="588"/>
      <c r="JI89" s="588"/>
      <c r="JJ89" s="588"/>
      <c r="JK89" s="588"/>
      <c r="JL89" s="588"/>
      <c r="JM89" s="588"/>
      <c r="JN89" s="588"/>
      <c r="JO89" s="588"/>
      <c r="JP89" s="588"/>
    </row>
    <row r="90" spans="1:276">
      <c r="A90" s="199">
        <f t="shared" si="2"/>
        <v>86</v>
      </c>
      <c r="B90" s="200" t="s">
        <v>206</v>
      </c>
      <c r="C90" s="201" t="s">
        <v>1242</v>
      </c>
      <c r="D90" s="202" t="s">
        <v>1124</v>
      </c>
      <c r="E90" s="203"/>
      <c r="F90" s="204"/>
      <c r="G90" s="205" t="s">
        <v>1125</v>
      </c>
      <c r="H90" s="206" t="str">
        <f t="shared" si="65"/>
        <v>內湖區</v>
      </c>
      <c r="I90" s="206" t="s">
        <v>1126</v>
      </c>
      <c r="J90" s="206" t="s">
        <v>1127</v>
      </c>
      <c r="K90" s="206" t="s">
        <v>1128</v>
      </c>
      <c r="L90" s="207">
        <v>85.32</v>
      </c>
      <c r="M90" s="206" t="s">
        <v>482</v>
      </c>
      <c r="N90" s="208">
        <v>45870</v>
      </c>
      <c r="O90" s="208">
        <f t="shared" si="53"/>
        <v>46234</v>
      </c>
      <c r="P90" s="209">
        <v>20000</v>
      </c>
      <c r="Q90" s="210">
        <v>4000</v>
      </c>
      <c r="R90" s="211">
        <v>45950</v>
      </c>
      <c r="S90" s="212">
        <v>2400</v>
      </c>
      <c r="T90" s="211">
        <v>45950</v>
      </c>
      <c r="U90" s="214">
        <v>2400</v>
      </c>
      <c r="V90" s="215">
        <v>45981</v>
      </c>
      <c r="W90" s="214">
        <v>2400</v>
      </c>
      <c r="X90" s="215">
        <v>46011</v>
      </c>
      <c r="Y90" s="214">
        <f t="shared" ref="Y90:Y91" si="67">W90</f>
        <v>2400</v>
      </c>
      <c r="Z90" s="215" t="s">
        <v>1195</v>
      </c>
      <c r="AA90" s="214">
        <v>2400</v>
      </c>
      <c r="AB90" s="215" t="s">
        <v>1200</v>
      </c>
      <c r="AC90" s="214">
        <v>2400</v>
      </c>
      <c r="AD90" s="216">
        <v>46101</v>
      </c>
      <c r="AE90" s="214">
        <v>2400</v>
      </c>
      <c r="AF90" s="216">
        <v>46132</v>
      </c>
      <c r="AG90" s="214">
        <v>2400</v>
      </c>
      <c r="AH90" s="216">
        <v>46162</v>
      </c>
      <c r="AI90" s="214">
        <f t="shared" ref="AI90:AI91" si="68">AG90</f>
        <v>2400</v>
      </c>
      <c r="AJ90" s="215">
        <v>46195</v>
      </c>
      <c r="AK90" s="270">
        <v>2400</v>
      </c>
      <c r="AL90" s="271">
        <v>46223</v>
      </c>
      <c r="AM90" s="723">
        <v>2400</v>
      </c>
      <c r="AN90" s="726" t="s">
        <v>1274</v>
      </c>
      <c r="AQ90" s="218"/>
      <c r="AR90" s="219"/>
      <c r="AS90" s="220"/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219"/>
      <c r="BG90" s="219"/>
      <c r="BH90" s="219"/>
      <c r="BI90" s="219"/>
      <c r="BJ90" s="219"/>
      <c r="BK90" s="219"/>
      <c r="BL90" s="219"/>
      <c r="BM90" s="219"/>
      <c r="BN90" s="221"/>
      <c r="BO90" s="218"/>
      <c r="BP90" s="219"/>
      <c r="BQ90" s="219"/>
      <c r="BR90" s="219"/>
      <c r="BS90" s="219"/>
      <c r="BT90" s="219"/>
      <c r="BU90" s="219"/>
      <c r="BV90" s="219"/>
      <c r="BW90" s="219"/>
      <c r="BX90" s="219"/>
      <c r="BY90" s="219"/>
      <c r="BZ90" s="219"/>
      <c r="CA90" s="219"/>
      <c r="CB90" s="219"/>
      <c r="CC90" s="219"/>
      <c r="CD90" s="219"/>
      <c r="CE90" s="219"/>
      <c r="CF90" s="219"/>
      <c r="CG90" s="219"/>
      <c r="CH90" s="219"/>
      <c r="CI90" s="219"/>
      <c r="CJ90" s="219"/>
      <c r="CK90" s="219"/>
      <c r="CL90" s="222"/>
      <c r="CM90" s="223" t="s">
        <v>1129</v>
      </c>
      <c r="CN90" s="224" t="s">
        <v>1130</v>
      </c>
      <c r="CO90" s="225">
        <v>8220141</v>
      </c>
      <c r="CP90" s="226" t="s">
        <v>1131</v>
      </c>
      <c r="CQ90" s="227" t="s">
        <v>1132</v>
      </c>
      <c r="CZ90" s="235"/>
      <c r="DC90" s="238"/>
      <c r="DH90" s="240">
        <f t="shared" ref="DH90" si="69">10000-DF90-DD90-DB90-CZ90</f>
        <v>10000</v>
      </c>
      <c r="DI90" s="241"/>
      <c r="DJ90" s="242"/>
      <c r="DK90" s="242"/>
      <c r="DL90" s="242"/>
      <c r="DM90" s="242"/>
      <c r="DN90" s="242"/>
      <c r="DO90" s="242"/>
      <c r="DP90" s="242"/>
      <c r="DQ90" s="243"/>
      <c r="DR90" s="241"/>
      <c r="DS90" s="242"/>
      <c r="DT90" s="242"/>
      <c r="DU90" s="242"/>
      <c r="DV90" s="242"/>
      <c r="DW90" s="242"/>
      <c r="DX90" s="242"/>
      <c r="DY90" s="242"/>
      <c r="DZ90" s="244"/>
      <c r="EA90" s="245" t="s">
        <v>1133</v>
      </c>
      <c r="EB90" s="246" t="s">
        <v>1134</v>
      </c>
      <c r="EC90" s="247">
        <v>8080129</v>
      </c>
      <c r="ED90" s="248" t="s">
        <v>1135</v>
      </c>
      <c r="EE90" s="249"/>
      <c r="EF90" s="249"/>
      <c r="EG90" s="249"/>
      <c r="EH90" s="249"/>
      <c r="EI90" s="250"/>
      <c r="EJ90" s="250"/>
      <c r="EK90" s="250"/>
      <c r="EL90" s="250"/>
      <c r="EM90" s="251"/>
      <c r="EN90" s="252"/>
      <c r="EO90" s="249"/>
      <c r="EP90" s="249"/>
      <c r="EQ90" s="250"/>
      <c r="ER90" s="253"/>
      <c r="ES90" s="260"/>
      <c r="ET90" s="261"/>
      <c r="EU90" s="260"/>
      <c r="EW90" s="260"/>
      <c r="EY90" s="260"/>
      <c r="EZ90" s="261"/>
      <c r="FA90" s="260"/>
      <c r="FI90" s="263"/>
      <c r="FJ90" s="264"/>
      <c r="FK90" s="265"/>
      <c r="FL90" s="266"/>
      <c r="FN90" s="266"/>
      <c r="FO90" s="265"/>
      <c r="FP90" s="266"/>
      <c r="FQ90" s="265"/>
      <c r="FR90" s="266"/>
      <c r="FX90" s="261"/>
      <c r="IG90" s="588"/>
      <c r="IH90" s="588"/>
      <c r="II90" s="588"/>
      <c r="IJ90" s="588"/>
      <c r="IK90" s="588"/>
      <c r="IL90" s="588"/>
      <c r="IM90" s="588"/>
      <c r="IN90" s="588"/>
      <c r="IO90" s="588"/>
      <c r="IP90" s="588"/>
      <c r="IQ90" s="588"/>
      <c r="IR90" s="588"/>
      <c r="JE90" s="588"/>
      <c r="JF90" s="588"/>
      <c r="JG90" s="588"/>
      <c r="JH90" s="588"/>
      <c r="JI90" s="588"/>
      <c r="JJ90" s="588"/>
      <c r="JK90" s="588"/>
      <c r="JL90" s="588"/>
      <c r="JM90" s="588"/>
      <c r="JN90" s="588"/>
      <c r="JO90" s="588"/>
      <c r="JP90" s="588"/>
    </row>
    <row r="91" spans="1:276">
      <c r="A91" s="199">
        <v>53</v>
      </c>
      <c r="B91" s="273" t="s">
        <v>206</v>
      </c>
      <c r="C91" s="201" t="s">
        <v>1220</v>
      </c>
      <c r="D91" s="274" t="s">
        <v>1137</v>
      </c>
      <c r="G91" s="205" t="s">
        <v>253</v>
      </c>
      <c r="H91" s="206" t="s">
        <v>1136</v>
      </c>
      <c r="I91" s="206" t="s">
        <v>254</v>
      </c>
      <c r="J91" s="206" t="s">
        <v>255</v>
      </c>
      <c r="K91" s="206" t="s">
        <v>256</v>
      </c>
      <c r="L91" s="207">
        <v>46.27</v>
      </c>
      <c r="M91" s="206" t="s">
        <v>228</v>
      </c>
      <c r="N91" s="208">
        <v>45870</v>
      </c>
      <c r="O91" s="208">
        <f>N91+364</f>
        <v>46234</v>
      </c>
      <c r="P91" s="277">
        <v>15000</v>
      </c>
      <c r="Q91" s="210">
        <v>4000</v>
      </c>
      <c r="R91" s="211">
        <v>45950</v>
      </c>
      <c r="S91" s="212">
        <v>2400</v>
      </c>
      <c r="T91" s="211">
        <v>45950</v>
      </c>
      <c r="U91" s="214">
        <v>2400</v>
      </c>
      <c r="V91" s="215">
        <v>45981</v>
      </c>
      <c r="W91" s="214">
        <v>2400</v>
      </c>
      <c r="X91" s="215">
        <v>46011</v>
      </c>
      <c r="Y91" s="214">
        <f t="shared" si="67"/>
        <v>2400</v>
      </c>
      <c r="Z91" s="215" t="s">
        <v>1195</v>
      </c>
      <c r="AA91" s="214">
        <v>2400</v>
      </c>
      <c r="AB91" s="215" t="s">
        <v>1200</v>
      </c>
      <c r="AC91" s="214">
        <v>2400</v>
      </c>
      <c r="AD91" s="215">
        <v>46101</v>
      </c>
      <c r="AE91" s="214">
        <v>2400</v>
      </c>
      <c r="AF91" s="215">
        <v>46132</v>
      </c>
      <c r="AG91" s="214">
        <v>2400</v>
      </c>
      <c r="AH91" s="216">
        <v>46162</v>
      </c>
      <c r="AI91" s="214">
        <f t="shared" si="68"/>
        <v>2400</v>
      </c>
      <c r="AJ91" s="215">
        <v>46195</v>
      </c>
      <c r="AK91" s="270">
        <v>2400</v>
      </c>
      <c r="AL91" s="271">
        <v>46223</v>
      </c>
      <c r="AM91" s="723">
        <v>2400</v>
      </c>
      <c r="AN91" s="726" t="s">
        <v>1274</v>
      </c>
      <c r="CM91" s="283" t="s">
        <v>328</v>
      </c>
      <c r="CN91" s="284" t="s">
        <v>329</v>
      </c>
      <c r="CO91" s="305">
        <v>8080211</v>
      </c>
      <c r="CP91" s="285" t="s">
        <v>330</v>
      </c>
      <c r="CQ91" s="227" t="s">
        <v>331</v>
      </c>
      <c r="DH91" s="235">
        <v>10000</v>
      </c>
      <c r="EA91" s="296" t="s">
        <v>402</v>
      </c>
      <c r="EB91" s="248" t="s">
        <v>403</v>
      </c>
      <c r="EC91" s="248">
        <v>8220060</v>
      </c>
      <c r="ED91" s="248" t="s">
        <v>404</v>
      </c>
    </row>
    <row r="92" spans="1:276">
      <c r="A92" s="199">
        <f t="shared" si="2"/>
        <v>88</v>
      </c>
      <c r="B92" s="273" t="s">
        <v>206</v>
      </c>
      <c r="C92" s="201" t="s">
        <v>1243</v>
      </c>
      <c r="D92" s="274" t="s">
        <v>1161</v>
      </c>
      <c r="G92" s="205" t="s">
        <v>273</v>
      </c>
      <c r="H92" s="206" t="str">
        <f t="shared" ref="H92:H101" si="70">MID(G92,4,3)</f>
        <v>北投區</v>
      </c>
      <c r="I92" s="206" t="s">
        <v>942</v>
      </c>
      <c r="J92" s="206" t="s">
        <v>943</v>
      </c>
      <c r="K92" s="206" t="s">
        <v>944</v>
      </c>
      <c r="L92" s="207">
        <v>78.09</v>
      </c>
      <c r="M92" s="206" t="s">
        <v>228</v>
      </c>
      <c r="N92" s="208">
        <v>45930</v>
      </c>
      <c r="O92" s="208">
        <f t="shared" ref="O92" si="71">N92+364</f>
        <v>46294</v>
      </c>
      <c r="P92" s="277">
        <v>20000</v>
      </c>
      <c r="Q92" s="210">
        <v>4000</v>
      </c>
      <c r="R92" s="215">
        <v>45981</v>
      </c>
      <c r="S92" s="214">
        <v>2400</v>
      </c>
      <c r="T92" s="215">
        <v>45981</v>
      </c>
      <c r="U92" s="214">
        <v>2400</v>
      </c>
      <c r="V92" s="215">
        <v>46011</v>
      </c>
      <c r="W92" s="214">
        <f>U92</f>
        <v>2400</v>
      </c>
      <c r="X92" s="215" t="s">
        <v>1195</v>
      </c>
      <c r="Y92" s="214">
        <v>2400</v>
      </c>
      <c r="Z92" s="215" t="s">
        <v>1200</v>
      </c>
      <c r="AA92" s="214">
        <v>2400</v>
      </c>
      <c r="AB92" s="215">
        <v>46101</v>
      </c>
      <c r="AC92" s="214">
        <v>2400</v>
      </c>
      <c r="AD92" s="215">
        <v>46132</v>
      </c>
      <c r="AE92" s="214">
        <v>2400</v>
      </c>
      <c r="AF92" s="216">
        <v>46162</v>
      </c>
      <c r="AG92" s="214">
        <f>AE92</f>
        <v>2400</v>
      </c>
      <c r="AH92" s="215">
        <v>46195</v>
      </c>
      <c r="AI92" s="270">
        <v>2400</v>
      </c>
      <c r="AJ92" s="271">
        <v>46223</v>
      </c>
      <c r="AK92" s="723">
        <v>2400</v>
      </c>
      <c r="AL92" s="726" t="s">
        <v>1274</v>
      </c>
      <c r="AM92" s="212"/>
      <c r="AN92" s="213"/>
      <c r="AO92" s="212"/>
      <c r="AP92" s="211"/>
      <c r="CM92" s="283" t="s">
        <v>347</v>
      </c>
      <c r="CN92" s="284" t="s">
        <v>348</v>
      </c>
      <c r="CO92" s="284">
        <v>7000021</v>
      </c>
      <c r="CP92" s="285" t="s">
        <v>945</v>
      </c>
      <c r="CQ92" s="227" t="s">
        <v>946</v>
      </c>
      <c r="CV92" s="286"/>
      <c r="CW92" s="287"/>
      <c r="CX92" s="287"/>
      <c r="CY92" s="288"/>
      <c r="CZ92" s="289">
        <v>1250</v>
      </c>
      <c r="DA92" s="236">
        <v>46011</v>
      </c>
      <c r="DE92" s="290"/>
      <c r="DF92" s="291"/>
      <c r="DG92" s="290"/>
      <c r="DH92" s="240">
        <f>10000-DF92-DD92-DB92-CZ92</f>
        <v>8750</v>
      </c>
      <c r="DI92" s="292"/>
      <c r="DJ92" s="293"/>
      <c r="DK92" s="293"/>
      <c r="DL92" s="293"/>
      <c r="DM92" s="293"/>
      <c r="DN92" s="293"/>
      <c r="DO92" s="293"/>
      <c r="DP92" s="293"/>
      <c r="DQ92" s="294"/>
      <c r="DR92" s="292"/>
      <c r="DS92" s="293"/>
      <c r="DT92" s="293"/>
      <c r="DU92" s="293"/>
      <c r="DV92" s="293"/>
      <c r="DW92" s="293"/>
      <c r="DX92" s="293"/>
      <c r="DY92" s="293"/>
      <c r="DZ92" s="295"/>
      <c r="EA92" s="296" t="s">
        <v>431</v>
      </c>
      <c r="EB92" s="272" t="s">
        <v>432</v>
      </c>
      <c r="EC92" s="272" t="s">
        <v>433</v>
      </c>
      <c r="ED92" s="248" t="s">
        <v>947</v>
      </c>
      <c r="EE92" s="272" t="s">
        <v>435</v>
      </c>
      <c r="EF92" s="272" t="s">
        <v>436</v>
      </c>
      <c r="EG92" s="272" t="s">
        <v>437</v>
      </c>
      <c r="EH92" s="272" t="s">
        <v>438</v>
      </c>
      <c r="EI92" s="248" t="s">
        <v>439</v>
      </c>
      <c r="EJ92" s="248" t="s">
        <v>410</v>
      </c>
      <c r="EK92" s="248" t="s">
        <v>440</v>
      </c>
      <c r="EL92" s="248" t="s">
        <v>441</v>
      </c>
      <c r="EM92" s="297" t="s">
        <v>442</v>
      </c>
      <c r="EW92" s="300"/>
      <c r="EX92" s="300"/>
      <c r="EY92" s="300"/>
      <c r="EZ92" s="301"/>
      <c r="FA92" s="302"/>
      <c r="FC92" s="303"/>
      <c r="FD92" s="300"/>
      <c r="FE92" s="303"/>
      <c r="FG92" s="303"/>
      <c r="FH92" s="300"/>
      <c r="FI92" s="263"/>
      <c r="FJ92" s="263"/>
      <c r="FN92" s="256"/>
      <c r="FO92" s="265"/>
      <c r="FP92" s="256"/>
      <c r="FQ92" s="265"/>
      <c r="FS92" s="304"/>
      <c r="FT92" s="256"/>
      <c r="FV92" s="300"/>
      <c r="FW92" s="262"/>
      <c r="FX92" s="301"/>
      <c r="IG92" s="588"/>
      <c r="IH92" s="588"/>
      <c r="II92" s="588"/>
      <c r="IJ92" s="588"/>
      <c r="IK92" s="588"/>
      <c r="IL92" s="588"/>
      <c r="IM92" s="588"/>
      <c r="IN92" s="588"/>
      <c r="IO92" s="588"/>
      <c r="IP92" s="588"/>
      <c r="IQ92" s="588"/>
      <c r="IR92" s="588"/>
      <c r="JD92" s="588"/>
      <c r="JE92" s="588"/>
      <c r="JF92" s="588"/>
      <c r="JG92" s="588"/>
      <c r="JH92" s="588"/>
      <c r="JI92" s="588"/>
      <c r="JJ92" s="588"/>
      <c r="JK92" s="588"/>
      <c r="JL92" s="588"/>
      <c r="JM92" s="588"/>
      <c r="JN92" s="588"/>
      <c r="JO92" s="588"/>
      <c r="JP92" s="588"/>
    </row>
    <row r="93" spans="1:276">
      <c r="A93" s="199">
        <f t="shared" si="2"/>
        <v>89</v>
      </c>
      <c r="B93" s="273" t="s">
        <v>206</v>
      </c>
      <c r="C93" s="201" t="s">
        <v>1235</v>
      </c>
      <c r="D93" s="274" t="s">
        <v>1180</v>
      </c>
      <c r="G93" s="205" t="s">
        <v>277</v>
      </c>
      <c r="H93" s="206" t="str">
        <f t="shared" si="70"/>
        <v>萬華區</v>
      </c>
      <c r="I93" s="206" t="s">
        <v>1174</v>
      </c>
      <c r="J93" s="206" t="s">
        <v>1175</v>
      </c>
      <c r="K93" s="206" t="s">
        <v>1176</v>
      </c>
      <c r="L93" s="207">
        <v>65.010000000000005</v>
      </c>
      <c r="M93" s="206" t="s">
        <v>228</v>
      </c>
      <c r="N93" s="208">
        <v>45940</v>
      </c>
      <c r="O93" s="208">
        <f t="shared" ref="O93:O101" si="72">N93+364</f>
        <v>46304</v>
      </c>
      <c r="P93" s="277">
        <v>15000</v>
      </c>
      <c r="Q93" s="210">
        <v>4000</v>
      </c>
      <c r="R93" s="215">
        <v>46011</v>
      </c>
      <c r="S93" s="214">
        <v>2400</v>
      </c>
      <c r="T93" s="215">
        <v>46011</v>
      </c>
      <c r="U93" s="214">
        <f t="shared" ref="U93:U94" si="73">S93</f>
        <v>2400</v>
      </c>
      <c r="V93" s="215" t="s">
        <v>1195</v>
      </c>
      <c r="W93" s="214">
        <v>2400</v>
      </c>
      <c r="X93" s="215" t="s">
        <v>1200</v>
      </c>
      <c r="Y93" s="214">
        <v>2400</v>
      </c>
      <c r="Z93" s="215">
        <v>46101</v>
      </c>
      <c r="AA93" s="214">
        <v>2400</v>
      </c>
      <c r="AB93" s="215">
        <v>46132</v>
      </c>
      <c r="AC93" s="214">
        <v>2400</v>
      </c>
      <c r="AD93" s="216">
        <v>46162</v>
      </c>
      <c r="AE93" s="214">
        <f t="shared" ref="AE93:AE95" si="74">AC93</f>
        <v>2400</v>
      </c>
      <c r="AF93" s="215">
        <v>46195</v>
      </c>
      <c r="AG93" s="270">
        <v>2400</v>
      </c>
      <c r="AH93" s="271">
        <v>46223</v>
      </c>
      <c r="AI93" s="723">
        <v>2400</v>
      </c>
      <c r="AJ93" s="726" t="s">
        <v>1274</v>
      </c>
      <c r="AM93" s="212"/>
      <c r="AN93" s="213"/>
      <c r="AO93" s="212"/>
      <c r="AP93" s="211"/>
      <c r="CM93" s="283" t="s">
        <v>351</v>
      </c>
      <c r="CN93" s="284" t="s">
        <v>352</v>
      </c>
      <c r="CO93" s="284">
        <v>7000021</v>
      </c>
      <c r="CP93" s="285" t="s">
        <v>1177</v>
      </c>
      <c r="CQ93" s="227" t="s">
        <v>1178</v>
      </c>
      <c r="CV93" s="286"/>
      <c r="CW93" s="287"/>
      <c r="CX93" s="287"/>
      <c r="CY93" s="288"/>
      <c r="CZ93" s="289">
        <v>850</v>
      </c>
      <c r="DA93" s="236">
        <v>46011</v>
      </c>
      <c r="DE93" s="290"/>
      <c r="DF93" s="291"/>
      <c r="DG93" s="290"/>
      <c r="DH93" s="240">
        <f>10000-DF93-DD93-DB93-CZ93</f>
        <v>9150</v>
      </c>
      <c r="DI93" s="292"/>
      <c r="DJ93" s="293"/>
      <c r="DK93" s="293"/>
      <c r="DL93" s="293"/>
      <c r="DM93" s="293"/>
      <c r="DN93" s="293"/>
      <c r="DO93" s="293"/>
      <c r="DP93" s="293"/>
      <c r="DQ93" s="294"/>
      <c r="DR93" s="292"/>
      <c r="DS93" s="293"/>
      <c r="DT93" s="293"/>
      <c r="DU93" s="293"/>
      <c r="DV93" s="293"/>
      <c r="DW93" s="293"/>
      <c r="DX93" s="293"/>
      <c r="DY93" s="293"/>
      <c r="DZ93" s="295"/>
      <c r="EA93" s="296" t="s">
        <v>443</v>
      </c>
      <c r="EB93" s="272" t="s">
        <v>444</v>
      </c>
      <c r="EC93" s="272">
        <v>8080417</v>
      </c>
      <c r="ED93" s="248" t="s">
        <v>1179</v>
      </c>
      <c r="EW93" s="300"/>
      <c r="EX93" s="300"/>
      <c r="EY93" s="300"/>
      <c r="EZ93" s="301"/>
      <c r="FA93" s="302"/>
      <c r="FC93" s="303"/>
      <c r="FD93" s="300"/>
      <c r="FE93" s="303"/>
      <c r="FG93" s="303"/>
      <c r="FH93" s="300"/>
      <c r="FI93" s="263"/>
      <c r="FJ93" s="263"/>
      <c r="FN93" s="256"/>
      <c r="FO93" s="265"/>
      <c r="FP93" s="256"/>
      <c r="FQ93" s="265"/>
      <c r="FS93" s="304"/>
      <c r="FT93" s="256"/>
      <c r="FV93" s="300"/>
      <c r="FW93" s="262"/>
      <c r="FX93" s="301"/>
      <c r="IG93" s="588"/>
      <c r="IH93" s="588"/>
      <c r="II93" s="588"/>
      <c r="IJ93" s="588"/>
      <c r="IK93" s="588"/>
      <c r="IL93" s="588"/>
      <c r="IM93" s="588"/>
      <c r="IN93" s="588"/>
      <c r="IO93" s="588"/>
      <c r="IP93" s="588"/>
      <c r="IQ93" s="588"/>
      <c r="IR93" s="588"/>
      <c r="JD93" s="588"/>
      <c r="JE93" s="588"/>
      <c r="JF93" s="588"/>
      <c r="JG93" s="588"/>
      <c r="JH93" s="588"/>
      <c r="JI93" s="588"/>
      <c r="JJ93" s="588"/>
      <c r="JK93" s="588"/>
      <c r="JL93" s="588"/>
      <c r="JM93" s="588"/>
      <c r="JN93" s="588"/>
      <c r="JO93" s="588"/>
      <c r="JP93" s="588"/>
    </row>
    <row r="94" spans="1:276">
      <c r="A94" s="199">
        <f t="shared" si="2"/>
        <v>90</v>
      </c>
      <c r="B94" s="273" t="s">
        <v>206</v>
      </c>
      <c r="C94" s="201" t="s">
        <v>1235</v>
      </c>
      <c r="D94" s="274" t="s">
        <v>1181</v>
      </c>
      <c r="G94" s="205" t="s">
        <v>282</v>
      </c>
      <c r="H94" s="206" t="str">
        <f t="shared" si="70"/>
        <v>內湖區</v>
      </c>
      <c r="I94" s="206" t="s">
        <v>250</v>
      </c>
      <c r="J94" s="206" t="s">
        <v>283</v>
      </c>
      <c r="K94" s="206" t="s">
        <v>284</v>
      </c>
      <c r="L94" s="207">
        <v>79.7</v>
      </c>
      <c r="M94" s="206" t="s">
        <v>228</v>
      </c>
      <c r="N94" s="208">
        <v>45954</v>
      </c>
      <c r="O94" s="208">
        <f t="shared" si="72"/>
        <v>46318</v>
      </c>
      <c r="P94" s="277">
        <v>18000</v>
      </c>
      <c r="Q94" s="210">
        <v>4000</v>
      </c>
      <c r="R94" s="215">
        <v>46011</v>
      </c>
      <c r="S94" s="214">
        <v>2400</v>
      </c>
      <c r="T94" s="215">
        <v>46011</v>
      </c>
      <c r="U94" s="214">
        <f t="shared" si="73"/>
        <v>2400</v>
      </c>
      <c r="V94" s="215" t="s">
        <v>1195</v>
      </c>
      <c r="W94" s="214">
        <v>2400</v>
      </c>
      <c r="X94" s="215" t="s">
        <v>1200</v>
      </c>
      <c r="Y94" s="214">
        <v>2400</v>
      </c>
      <c r="Z94" s="215">
        <v>46101</v>
      </c>
      <c r="AA94" s="214">
        <v>2400</v>
      </c>
      <c r="AB94" s="215">
        <v>46132</v>
      </c>
      <c r="AC94" s="214">
        <v>2400</v>
      </c>
      <c r="AD94" s="216">
        <v>46162</v>
      </c>
      <c r="AE94" s="214">
        <f t="shared" si="74"/>
        <v>2400</v>
      </c>
      <c r="AF94" s="215">
        <v>46195</v>
      </c>
      <c r="AG94" s="270">
        <v>2400</v>
      </c>
      <c r="AH94" s="271">
        <v>46223</v>
      </c>
      <c r="AI94" s="723">
        <v>2400</v>
      </c>
      <c r="AJ94" s="726" t="s">
        <v>1274</v>
      </c>
      <c r="AK94" s="212"/>
      <c r="AL94" s="213"/>
      <c r="AM94" s="212"/>
      <c r="AN94" s="211"/>
      <c r="CM94" s="283" t="s">
        <v>354</v>
      </c>
      <c r="CN94" s="284" t="s">
        <v>355</v>
      </c>
      <c r="CO94" s="305">
        <v>8220266</v>
      </c>
      <c r="CP94" s="285" t="s">
        <v>356</v>
      </c>
      <c r="CQ94" s="227" t="s">
        <v>357</v>
      </c>
      <c r="DH94" s="240">
        <f t="shared" ref="DH94:DH101" si="75">10000-DF94-DD94-DB94-CZ94</f>
        <v>10000</v>
      </c>
      <c r="EA94" s="296" t="s">
        <v>446</v>
      </c>
      <c r="EB94" s="248" t="s">
        <v>447</v>
      </c>
      <c r="EC94" s="248">
        <v>7000021</v>
      </c>
      <c r="ED94" s="248" t="s">
        <v>448</v>
      </c>
      <c r="JD94" s="588"/>
      <c r="JE94" s="588"/>
      <c r="JF94" s="588"/>
      <c r="JG94" s="588"/>
      <c r="JH94" s="588"/>
      <c r="JI94" s="588"/>
      <c r="JJ94" s="588"/>
      <c r="JK94" s="588"/>
      <c r="JL94" s="588"/>
      <c r="JM94" s="588"/>
      <c r="JN94" s="588"/>
      <c r="JO94" s="588"/>
    </row>
    <row r="95" spans="1:276">
      <c r="A95" s="199">
        <f t="shared" si="2"/>
        <v>91</v>
      </c>
      <c r="B95" s="273" t="s">
        <v>206</v>
      </c>
      <c r="C95" s="201" t="s">
        <v>1244</v>
      </c>
      <c r="D95" s="274" t="s">
        <v>1182</v>
      </c>
      <c r="G95" s="205" t="s">
        <v>285</v>
      </c>
      <c r="H95" s="206" t="str">
        <f t="shared" si="70"/>
        <v>中山區</v>
      </c>
      <c r="I95" s="206" t="s">
        <v>286</v>
      </c>
      <c r="J95" s="206" t="s">
        <v>287</v>
      </c>
      <c r="K95" s="206" t="s">
        <v>288</v>
      </c>
      <c r="L95" s="207">
        <v>37.340000000000003</v>
      </c>
      <c r="M95" s="206" t="s">
        <v>228</v>
      </c>
      <c r="N95" s="208">
        <v>45945</v>
      </c>
      <c r="O95" s="208">
        <f t="shared" si="72"/>
        <v>46309</v>
      </c>
      <c r="P95" s="277">
        <v>23500</v>
      </c>
      <c r="Q95" s="210">
        <v>4000</v>
      </c>
      <c r="R95" s="215">
        <v>46011</v>
      </c>
      <c r="S95" s="214">
        <v>2400</v>
      </c>
      <c r="T95" s="215">
        <v>46011</v>
      </c>
      <c r="U95" s="214">
        <f>S95</f>
        <v>2400</v>
      </c>
      <c r="V95" s="215" t="s">
        <v>1195</v>
      </c>
      <c r="W95" s="214">
        <v>2400</v>
      </c>
      <c r="X95" s="215" t="s">
        <v>1200</v>
      </c>
      <c r="Y95" s="214">
        <v>2400</v>
      </c>
      <c r="Z95" s="215">
        <v>46101</v>
      </c>
      <c r="AA95" s="214">
        <v>2400</v>
      </c>
      <c r="AB95" s="215">
        <v>46132</v>
      </c>
      <c r="AC95" s="214">
        <v>2400</v>
      </c>
      <c r="AD95" s="216">
        <v>46162</v>
      </c>
      <c r="AE95" s="214">
        <f t="shared" si="74"/>
        <v>2400</v>
      </c>
      <c r="AF95" s="215">
        <v>46195</v>
      </c>
      <c r="AG95" s="270">
        <v>2400</v>
      </c>
      <c r="AH95" s="271">
        <v>46223</v>
      </c>
      <c r="AI95" s="723">
        <v>2400</v>
      </c>
      <c r="AJ95" s="726" t="s">
        <v>1274</v>
      </c>
      <c r="AK95" s="212"/>
      <c r="AL95" s="213"/>
      <c r="AM95" s="212"/>
      <c r="AN95" s="211"/>
      <c r="CM95" s="283" t="s">
        <v>358</v>
      </c>
      <c r="CN95" s="284" t="s">
        <v>359</v>
      </c>
      <c r="CO95" s="305" t="s">
        <v>360</v>
      </c>
      <c r="CP95" s="285" t="s">
        <v>361</v>
      </c>
      <c r="CQ95" s="227" t="s">
        <v>362</v>
      </c>
      <c r="CZ95" s="237">
        <v>850</v>
      </c>
      <c r="DA95" s="238" t="s">
        <v>1195</v>
      </c>
      <c r="DB95" s="237">
        <v>821</v>
      </c>
      <c r="DC95" s="239" t="s">
        <v>1273</v>
      </c>
      <c r="DH95" s="240">
        <f t="shared" si="75"/>
        <v>8329</v>
      </c>
      <c r="EA95" s="296" t="s">
        <v>449</v>
      </c>
      <c r="EB95" s="248" t="s">
        <v>450</v>
      </c>
      <c r="EC95" s="248">
        <v>7000021</v>
      </c>
      <c r="ED95" s="248" t="s">
        <v>451</v>
      </c>
      <c r="EE95" s="272" t="s">
        <v>452</v>
      </c>
      <c r="EF95" s="272" t="s">
        <v>453</v>
      </c>
      <c r="EG95" s="272" t="s">
        <v>392</v>
      </c>
      <c r="JD95" s="588"/>
      <c r="JE95" s="588"/>
      <c r="JF95" s="588"/>
      <c r="JG95" s="588"/>
      <c r="JH95" s="588"/>
      <c r="JI95" s="588"/>
      <c r="JJ95" s="588"/>
      <c r="JK95" s="588"/>
      <c r="JL95" s="588"/>
      <c r="JM95" s="588"/>
      <c r="JN95" s="588"/>
      <c r="JO95" s="588"/>
    </row>
    <row r="96" spans="1:276">
      <c r="A96" s="199">
        <f t="shared" si="2"/>
        <v>92</v>
      </c>
      <c r="B96" s="200" t="s">
        <v>206</v>
      </c>
      <c r="C96" s="201" t="s">
        <v>1232</v>
      </c>
      <c r="D96" s="202" t="s">
        <v>1196</v>
      </c>
      <c r="F96" s="204"/>
      <c r="G96" s="205" t="s">
        <v>289</v>
      </c>
      <c r="H96" s="206" t="str">
        <f t="shared" si="70"/>
        <v>士林區</v>
      </c>
      <c r="I96" s="206" t="s">
        <v>555</v>
      </c>
      <c r="J96" s="206" t="s">
        <v>542</v>
      </c>
      <c r="K96" s="206" t="s">
        <v>994</v>
      </c>
      <c r="L96" s="207">
        <v>47.21</v>
      </c>
      <c r="M96" s="206" t="s">
        <v>482</v>
      </c>
      <c r="N96" s="208">
        <v>45991</v>
      </c>
      <c r="O96" s="208">
        <f t="shared" si="72"/>
        <v>46355</v>
      </c>
      <c r="P96" s="209">
        <v>17500</v>
      </c>
      <c r="Q96" s="210">
        <v>4000</v>
      </c>
      <c r="R96" s="211" t="s">
        <v>1195</v>
      </c>
      <c r="S96" s="212">
        <v>2400</v>
      </c>
      <c r="T96" s="211" t="s">
        <v>1197</v>
      </c>
      <c r="U96" s="214">
        <v>2400</v>
      </c>
      <c r="V96" s="215" t="s">
        <v>1200</v>
      </c>
      <c r="W96" s="214">
        <v>2400</v>
      </c>
      <c r="X96" s="215">
        <v>46101</v>
      </c>
      <c r="Y96" s="367">
        <f>W96</f>
        <v>2400</v>
      </c>
      <c r="Z96" s="271">
        <v>46132</v>
      </c>
      <c r="AA96" s="214">
        <v>2400</v>
      </c>
      <c r="AB96" s="216">
        <v>46162</v>
      </c>
      <c r="AC96" s="214">
        <f>AA96</f>
        <v>2400</v>
      </c>
      <c r="AD96" s="215">
        <v>46195</v>
      </c>
      <c r="AE96" s="270">
        <v>2400</v>
      </c>
      <c r="AF96" s="271">
        <v>46223</v>
      </c>
      <c r="AG96" s="723">
        <v>2400</v>
      </c>
      <c r="AH96" s="726" t="s">
        <v>1274</v>
      </c>
      <c r="AI96" s="212"/>
      <c r="AJ96" s="213"/>
      <c r="AK96" s="212"/>
      <c r="AL96" s="211"/>
      <c r="AQ96" s="218"/>
      <c r="AR96" s="219"/>
      <c r="AS96" s="220"/>
      <c r="AT96" s="219"/>
      <c r="AU96" s="219"/>
      <c r="AV96" s="219"/>
      <c r="AW96" s="219"/>
      <c r="AX96" s="219"/>
      <c r="AY96" s="219"/>
      <c r="AZ96" s="219"/>
      <c r="BA96" s="219"/>
      <c r="BB96" s="219"/>
      <c r="BC96" s="219"/>
      <c r="BD96" s="219"/>
      <c r="BE96" s="219"/>
      <c r="BF96" s="219"/>
      <c r="BG96" s="219"/>
      <c r="BH96" s="219"/>
      <c r="BI96" s="219"/>
      <c r="BJ96" s="219"/>
      <c r="BK96" s="219"/>
      <c r="BL96" s="219"/>
      <c r="BM96" s="219"/>
      <c r="BN96" s="221"/>
      <c r="BO96" s="218"/>
      <c r="BP96" s="219"/>
      <c r="BQ96" s="219"/>
      <c r="BR96" s="219"/>
      <c r="BS96" s="219"/>
      <c r="BT96" s="219"/>
      <c r="BU96" s="219"/>
      <c r="BV96" s="219"/>
      <c r="BW96" s="219"/>
      <c r="BX96" s="219"/>
      <c r="BY96" s="219"/>
      <c r="BZ96" s="219"/>
      <c r="CA96" s="219"/>
      <c r="CB96" s="219"/>
      <c r="CC96" s="219"/>
      <c r="CD96" s="219"/>
      <c r="CE96" s="219"/>
      <c r="CF96" s="219"/>
      <c r="CG96" s="219"/>
      <c r="CH96" s="219"/>
      <c r="CI96" s="219"/>
      <c r="CJ96" s="219"/>
      <c r="CK96" s="219"/>
      <c r="CL96" s="222"/>
      <c r="CM96" s="223" t="s">
        <v>363</v>
      </c>
      <c r="CN96" s="224" t="s">
        <v>364</v>
      </c>
      <c r="CO96" s="225">
        <v>1080014</v>
      </c>
      <c r="CP96" s="226" t="s">
        <v>365</v>
      </c>
      <c r="CQ96" s="227" t="s">
        <v>366</v>
      </c>
      <c r="CZ96" s="235"/>
      <c r="DC96" s="238"/>
      <c r="DH96" s="240">
        <f t="shared" si="75"/>
        <v>10000</v>
      </c>
      <c r="DI96" s="241"/>
      <c r="DJ96" s="242"/>
      <c r="DK96" s="242"/>
      <c r="DL96" s="242"/>
      <c r="DM96" s="242"/>
      <c r="DN96" s="242"/>
      <c r="DO96" s="242"/>
      <c r="DP96" s="242"/>
      <c r="DQ96" s="243"/>
      <c r="DR96" s="241"/>
      <c r="DS96" s="242"/>
      <c r="DT96" s="242"/>
      <c r="DU96" s="242"/>
      <c r="DV96" s="242"/>
      <c r="DW96" s="242"/>
      <c r="DX96" s="242"/>
      <c r="DY96" s="242"/>
      <c r="DZ96" s="244"/>
      <c r="EA96" s="245" t="s">
        <v>454</v>
      </c>
      <c r="EB96" s="246" t="s">
        <v>455</v>
      </c>
      <c r="EC96" s="247" t="s">
        <v>456</v>
      </c>
      <c r="ED96" s="248" t="s">
        <v>469</v>
      </c>
      <c r="EE96" s="249" t="s">
        <v>457</v>
      </c>
      <c r="EF96" s="249" t="s">
        <v>458</v>
      </c>
      <c r="EG96" s="249" t="s">
        <v>437</v>
      </c>
      <c r="EH96" s="249"/>
      <c r="EI96" s="250"/>
      <c r="EJ96" s="250"/>
      <c r="EK96" s="250"/>
      <c r="EL96" s="250"/>
      <c r="EM96" s="251"/>
      <c r="EN96" s="252"/>
      <c r="EO96" s="249"/>
      <c r="EP96" s="249"/>
      <c r="EQ96" s="250"/>
      <c r="ER96" s="253"/>
      <c r="ES96" s="253"/>
      <c r="ET96" s="254"/>
      <c r="EU96" s="255"/>
      <c r="EV96" s="256"/>
      <c r="EW96" s="256"/>
      <c r="EX96" s="256"/>
      <c r="EY96" s="256"/>
      <c r="EZ96" s="257"/>
      <c r="FA96" s="258"/>
      <c r="FB96" s="259"/>
      <c r="FG96" s="262"/>
      <c r="FH96" s="256"/>
      <c r="FI96" s="263"/>
      <c r="FJ96" s="264"/>
      <c r="FK96" s="265"/>
      <c r="FL96" s="266"/>
      <c r="FN96" s="266"/>
      <c r="FO96" s="265"/>
      <c r="FP96" s="266"/>
      <c r="FQ96" s="265"/>
      <c r="FR96" s="266"/>
      <c r="FU96" s="262"/>
      <c r="FV96" s="256"/>
      <c r="FX96" s="257"/>
      <c r="IG96" s="588"/>
      <c r="IH96" s="588"/>
      <c r="II96" s="588"/>
      <c r="IJ96" s="588"/>
      <c r="IK96" s="588"/>
      <c r="IL96" s="588"/>
      <c r="IM96" s="588"/>
      <c r="IN96" s="588"/>
      <c r="IO96" s="588"/>
      <c r="IP96" s="588"/>
      <c r="IQ96" s="588"/>
      <c r="IR96" s="588"/>
      <c r="JE96" s="588"/>
      <c r="JF96" s="588"/>
      <c r="JG96" s="588"/>
      <c r="JH96" s="588"/>
      <c r="JI96" s="588"/>
      <c r="JJ96" s="588"/>
      <c r="JK96" s="588"/>
      <c r="JL96" s="588"/>
      <c r="JM96" s="588"/>
      <c r="JN96" s="588"/>
      <c r="JO96" s="588"/>
      <c r="JP96" s="588"/>
    </row>
    <row r="97" spans="1:276">
      <c r="A97" s="199">
        <f t="shared" si="2"/>
        <v>93</v>
      </c>
      <c r="B97" s="273" t="s">
        <v>206</v>
      </c>
      <c r="C97" s="201" t="s">
        <v>1245</v>
      </c>
      <c r="D97" s="274" t="s">
        <v>1199</v>
      </c>
      <c r="G97" s="205" t="s">
        <v>294</v>
      </c>
      <c r="H97" s="206" t="str">
        <f t="shared" si="70"/>
        <v>中正區</v>
      </c>
      <c r="I97" s="206" t="s">
        <v>295</v>
      </c>
      <c r="J97" s="206" t="s">
        <v>296</v>
      </c>
      <c r="K97" s="206" t="s">
        <v>297</v>
      </c>
      <c r="L97" s="207">
        <v>93.31</v>
      </c>
      <c r="M97" s="206" t="s">
        <v>228</v>
      </c>
      <c r="N97" s="208">
        <v>46022</v>
      </c>
      <c r="O97" s="208">
        <f t="shared" si="72"/>
        <v>46386</v>
      </c>
      <c r="P97" s="277">
        <v>29000</v>
      </c>
      <c r="Q97" s="210">
        <v>4000</v>
      </c>
      <c r="R97" s="215" t="s">
        <v>1200</v>
      </c>
      <c r="S97" s="214">
        <v>2400</v>
      </c>
      <c r="T97" s="215" t="s">
        <v>1200</v>
      </c>
      <c r="U97" s="214">
        <v>2400</v>
      </c>
      <c r="V97" s="215">
        <v>46101</v>
      </c>
      <c r="W97" s="367">
        <f>U97</f>
        <v>2400</v>
      </c>
      <c r="X97" s="271">
        <v>46132</v>
      </c>
      <c r="Y97" s="214">
        <v>2400</v>
      </c>
      <c r="Z97" s="216">
        <v>46162</v>
      </c>
      <c r="AA97" s="214">
        <f>Y97</f>
        <v>2400</v>
      </c>
      <c r="AB97" s="215">
        <v>46195</v>
      </c>
      <c r="AC97" s="270">
        <v>2400</v>
      </c>
      <c r="AD97" s="271">
        <v>46223</v>
      </c>
      <c r="AE97" s="723">
        <v>2400</v>
      </c>
      <c r="AF97" s="726" t="s">
        <v>1274</v>
      </c>
      <c r="AG97" s="212"/>
      <c r="AH97" s="213"/>
      <c r="AI97" s="212"/>
      <c r="AJ97" s="211"/>
      <c r="CM97" s="283" t="s">
        <v>367</v>
      </c>
      <c r="CN97" s="284" t="s">
        <v>368</v>
      </c>
      <c r="CO97" s="305" t="s">
        <v>369</v>
      </c>
      <c r="CP97" s="285" t="s">
        <v>370</v>
      </c>
      <c r="CQ97" s="227" t="s">
        <v>294</v>
      </c>
      <c r="DH97" s="240">
        <f t="shared" si="75"/>
        <v>10000</v>
      </c>
      <c r="EA97" s="296" t="s">
        <v>459</v>
      </c>
      <c r="EB97" s="248" t="s">
        <v>460</v>
      </c>
      <c r="EC97" s="248" t="s">
        <v>456</v>
      </c>
      <c r="ED97" s="248" t="s">
        <v>461</v>
      </c>
      <c r="EE97" s="272" t="s">
        <v>462</v>
      </c>
      <c r="EF97" s="272" t="s">
        <v>463</v>
      </c>
      <c r="EG97" s="272" t="s">
        <v>437</v>
      </c>
      <c r="HU97" s="588"/>
      <c r="HV97" s="588"/>
      <c r="HW97" s="588"/>
      <c r="HX97" s="588"/>
      <c r="HY97" s="588"/>
      <c r="HZ97" s="588"/>
      <c r="IA97" s="588"/>
      <c r="IB97" s="588"/>
      <c r="IC97" s="588"/>
      <c r="ID97" s="588"/>
      <c r="IE97" s="588"/>
      <c r="IF97" s="588"/>
      <c r="IR97" s="588"/>
      <c r="IS97" s="588"/>
      <c r="IT97" s="588"/>
      <c r="IU97" s="588"/>
      <c r="IV97" s="588"/>
      <c r="IW97" s="588"/>
      <c r="IX97" s="588"/>
      <c r="IY97" s="588"/>
      <c r="IZ97" s="588"/>
      <c r="JA97" s="588"/>
      <c r="JB97" s="588"/>
      <c r="JC97" s="588"/>
    </row>
    <row r="98" spans="1:276">
      <c r="A98" s="199">
        <f t="shared" si="2"/>
        <v>94</v>
      </c>
      <c r="B98" s="200" t="s">
        <v>206</v>
      </c>
      <c r="C98" s="201" t="s">
        <v>1214</v>
      </c>
      <c r="D98" s="202" t="s">
        <v>1260</v>
      </c>
      <c r="E98" s="203"/>
      <c r="F98" s="204"/>
      <c r="G98" s="205" t="s">
        <v>305</v>
      </c>
      <c r="H98" s="206" t="str">
        <f t="shared" si="70"/>
        <v>北投區</v>
      </c>
      <c r="I98" s="206" t="s">
        <v>573</v>
      </c>
      <c r="J98" s="206" t="s">
        <v>308</v>
      </c>
      <c r="K98" s="206" t="s">
        <v>1030</v>
      </c>
      <c r="L98" s="207">
        <v>107.19</v>
      </c>
      <c r="M98" s="206" t="s">
        <v>482</v>
      </c>
      <c r="N98" s="208">
        <v>46054</v>
      </c>
      <c r="O98" s="208">
        <f t="shared" si="72"/>
        <v>46418</v>
      </c>
      <c r="P98" s="209">
        <v>18000</v>
      </c>
      <c r="Q98" s="210">
        <v>4000</v>
      </c>
      <c r="R98" s="211">
        <v>46132</v>
      </c>
      <c r="S98" s="212">
        <v>2400</v>
      </c>
      <c r="T98" s="211">
        <v>46132</v>
      </c>
      <c r="U98" s="214">
        <v>2400</v>
      </c>
      <c r="V98" s="216">
        <v>46162</v>
      </c>
      <c r="W98" s="214">
        <f>U98</f>
        <v>2400</v>
      </c>
      <c r="X98" s="215">
        <v>46195</v>
      </c>
      <c r="Y98" s="270">
        <v>2400</v>
      </c>
      <c r="Z98" s="271">
        <v>46223</v>
      </c>
      <c r="AA98" s="723">
        <v>2400</v>
      </c>
      <c r="AB98" s="726" t="s">
        <v>1274</v>
      </c>
      <c r="AC98" s="212"/>
      <c r="AD98" s="213"/>
      <c r="AE98" s="212"/>
      <c r="AF98" s="211"/>
      <c r="AQ98" s="218"/>
      <c r="AR98" s="219"/>
      <c r="AS98" s="220"/>
      <c r="AT98" s="219"/>
      <c r="AU98" s="219"/>
      <c r="AV98" s="219"/>
      <c r="AW98" s="219"/>
      <c r="AX98" s="219"/>
      <c r="AY98" s="219"/>
      <c r="AZ98" s="219"/>
      <c r="BA98" s="219"/>
      <c r="BB98" s="219"/>
      <c r="BC98" s="219"/>
      <c r="BD98" s="219"/>
      <c r="BE98" s="219"/>
      <c r="BF98" s="219"/>
      <c r="BG98" s="219"/>
      <c r="BH98" s="219"/>
      <c r="BI98" s="219"/>
      <c r="BJ98" s="219"/>
      <c r="BK98" s="219"/>
      <c r="BL98" s="219"/>
      <c r="BM98" s="219"/>
      <c r="BN98" s="221"/>
      <c r="BO98" s="218"/>
      <c r="BP98" s="219"/>
      <c r="BQ98" s="219"/>
      <c r="BR98" s="219"/>
      <c r="BS98" s="219"/>
      <c r="BT98" s="219"/>
      <c r="BU98" s="219"/>
      <c r="BV98" s="219"/>
      <c r="BW98" s="219"/>
      <c r="BX98" s="219"/>
      <c r="BY98" s="219"/>
      <c r="BZ98" s="219"/>
      <c r="CA98" s="219"/>
      <c r="CB98" s="219"/>
      <c r="CC98" s="219"/>
      <c r="CD98" s="219"/>
      <c r="CE98" s="219"/>
      <c r="CF98" s="219"/>
      <c r="CG98" s="219"/>
      <c r="CH98" s="219"/>
      <c r="CI98" s="219"/>
      <c r="CJ98" s="219"/>
      <c r="CK98" s="219"/>
      <c r="CL98" s="222"/>
      <c r="CM98" s="223" t="s">
        <v>375</v>
      </c>
      <c r="CN98" s="224" t="s">
        <v>376</v>
      </c>
      <c r="CO98" s="225" t="s">
        <v>377</v>
      </c>
      <c r="CP98" s="226" t="s">
        <v>378</v>
      </c>
      <c r="CQ98" s="227" t="s">
        <v>379</v>
      </c>
      <c r="CZ98" s="235">
        <v>800</v>
      </c>
      <c r="DA98" s="236" t="s">
        <v>1262</v>
      </c>
      <c r="DC98" s="238"/>
      <c r="DH98" s="240">
        <f t="shared" si="75"/>
        <v>9200</v>
      </c>
      <c r="DI98" s="241"/>
      <c r="DJ98" s="242"/>
      <c r="DK98" s="242"/>
      <c r="DL98" s="242"/>
      <c r="DM98" s="242"/>
      <c r="DN98" s="242"/>
      <c r="DO98" s="242"/>
      <c r="DP98" s="242"/>
      <c r="DQ98" s="243"/>
      <c r="DR98" s="241"/>
      <c r="DS98" s="242"/>
      <c r="DT98" s="242"/>
      <c r="DU98" s="242"/>
      <c r="DV98" s="242"/>
      <c r="DW98" s="242"/>
      <c r="DX98" s="242"/>
      <c r="DY98" s="242"/>
      <c r="DZ98" s="244"/>
      <c r="EA98" s="245" t="s">
        <v>467</v>
      </c>
      <c r="EB98" s="246" t="s">
        <v>468</v>
      </c>
      <c r="EC98" s="247" t="s">
        <v>470</v>
      </c>
      <c r="ED98" s="248" t="s">
        <v>471</v>
      </c>
      <c r="EE98" s="249" t="s">
        <v>472</v>
      </c>
      <c r="EF98" s="249" t="s">
        <v>473</v>
      </c>
      <c r="EG98" s="249" t="s">
        <v>474</v>
      </c>
      <c r="EH98" s="249" t="s">
        <v>475</v>
      </c>
      <c r="EI98" s="250" t="s">
        <v>476</v>
      </c>
      <c r="EJ98" s="250" t="s">
        <v>474</v>
      </c>
      <c r="EK98" s="250"/>
      <c r="EL98" s="250"/>
      <c r="EM98" s="251"/>
      <c r="EN98" s="252"/>
      <c r="EO98" s="249"/>
      <c r="EP98" s="249"/>
      <c r="EQ98" s="250"/>
      <c r="ER98" s="253"/>
      <c r="ES98" s="260"/>
      <c r="ET98" s="261"/>
      <c r="EU98" s="260"/>
      <c r="EW98" s="260"/>
      <c r="EY98" s="260"/>
      <c r="EZ98" s="261"/>
      <c r="FA98" s="260"/>
      <c r="FI98" s="263"/>
      <c r="FJ98" s="264"/>
      <c r="FK98" s="265"/>
      <c r="FL98" s="266"/>
      <c r="FN98" s="266"/>
      <c r="FO98" s="265"/>
      <c r="FP98" s="266"/>
      <c r="FQ98" s="265"/>
      <c r="FR98" s="266"/>
      <c r="FX98" s="261"/>
      <c r="IG98" s="588"/>
      <c r="IH98" s="588"/>
      <c r="II98" s="588"/>
      <c r="IJ98" s="588"/>
      <c r="IK98" s="588"/>
      <c r="IL98" s="588"/>
      <c r="IM98" s="588"/>
      <c r="IN98" s="588"/>
      <c r="IO98" s="588"/>
      <c r="IP98" s="588"/>
      <c r="IQ98" s="588"/>
      <c r="IR98" s="588"/>
      <c r="JE98" s="588"/>
      <c r="JF98" s="588"/>
      <c r="JG98" s="588"/>
      <c r="JH98" s="588"/>
      <c r="JI98" s="588"/>
      <c r="JJ98" s="588"/>
      <c r="JK98" s="588"/>
      <c r="JL98" s="588"/>
      <c r="JM98" s="588"/>
      <c r="JN98" s="588"/>
      <c r="JO98" s="588"/>
      <c r="JP98" s="588"/>
    </row>
    <row r="99" spans="1:276">
      <c r="A99" s="199">
        <f t="shared" si="2"/>
        <v>95</v>
      </c>
      <c r="B99" s="200" t="s">
        <v>206</v>
      </c>
      <c r="C99" s="201" t="s">
        <v>1216</v>
      </c>
      <c r="D99" s="202" t="s">
        <v>1263</v>
      </c>
      <c r="E99" s="203"/>
      <c r="F99" s="204"/>
      <c r="G99" s="205" t="s">
        <v>507</v>
      </c>
      <c r="H99" s="206" t="str">
        <f t="shared" si="70"/>
        <v>文山區</v>
      </c>
      <c r="I99" s="206" t="s">
        <v>554</v>
      </c>
      <c r="J99" s="206" t="s">
        <v>531</v>
      </c>
      <c r="K99" s="206" t="s">
        <v>532</v>
      </c>
      <c r="L99" s="207">
        <v>76.709999999999994</v>
      </c>
      <c r="M99" s="206" t="s">
        <v>482</v>
      </c>
      <c r="N99" s="208">
        <v>46106</v>
      </c>
      <c r="O99" s="208">
        <f t="shared" si="72"/>
        <v>46470</v>
      </c>
      <c r="P99" s="209">
        <v>24000</v>
      </c>
      <c r="Q99" s="210">
        <v>4000</v>
      </c>
      <c r="R99" s="211">
        <v>46162</v>
      </c>
      <c r="S99" s="212">
        <v>2400</v>
      </c>
      <c r="T99" s="211">
        <v>46162</v>
      </c>
      <c r="U99" s="214">
        <f>S99</f>
        <v>2400</v>
      </c>
      <c r="V99" s="215">
        <v>46195</v>
      </c>
      <c r="W99" s="270">
        <v>2400</v>
      </c>
      <c r="X99" s="271">
        <v>46223</v>
      </c>
      <c r="Y99" s="723">
        <v>2400</v>
      </c>
      <c r="Z99" s="726" t="s">
        <v>1274</v>
      </c>
      <c r="AA99" s="212"/>
      <c r="AB99" s="213"/>
      <c r="AC99" s="212"/>
      <c r="AD99" s="211"/>
      <c r="AQ99" s="218"/>
      <c r="AR99" s="219"/>
      <c r="AS99" s="220"/>
      <c r="AT99" s="219"/>
      <c r="AU99" s="219"/>
      <c r="AV99" s="219"/>
      <c r="AW99" s="219"/>
      <c r="AX99" s="219"/>
      <c r="AY99" s="219"/>
      <c r="AZ99" s="219"/>
      <c r="BA99" s="219"/>
      <c r="BB99" s="219"/>
      <c r="BC99" s="219"/>
      <c r="BD99" s="219"/>
      <c r="BE99" s="219"/>
      <c r="BF99" s="219"/>
      <c r="BG99" s="219"/>
      <c r="BH99" s="219"/>
      <c r="BI99" s="219"/>
      <c r="BJ99" s="219"/>
      <c r="BK99" s="219"/>
      <c r="BL99" s="219"/>
      <c r="BM99" s="219"/>
      <c r="BN99" s="221"/>
      <c r="BO99" s="218"/>
      <c r="BP99" s="219"/>
      <c r="BQ99" s="219"/>
      <c r="BR99" s="219"/>
      <c r="BS99" s="219"/>
      <c r="BT99" s="219"/>
      <c r="BU99" s="219"/>
      <c r="BV99" s="219"/>
      <c r="BW99" s="219"/>
      <c r="BX99" s="219"/>
      <c r="BY99" s="219"/>
      <c r="BZ99" s="219"/>
      <c r="CA99" s="219"/>
      <c r="CB99" s="219"/>
      <c r="CC99" s="219"/>
      <c r="CD99" s="219"/>
      <c r="CE99" s="219"/>
      <c r="CF99" s="219"/>
      <c r="CG99" s="219"/>
      <c r="CH99" s="219"/>
      <c r="CI99" s="219"/>
      <c r="CJ99" s="219"/>
      <c r="CK99" s="219"/>
      <c r="CL99" s="222"/>
      <c r="CM99" s="223" t="s">
        <v>533</v>
      </c>
      <c r="CN99" s="224" t="s">
        <v>534</v>
      </c>
      <c r="CO99" s="225" t="s">
        <v>470</v>
      </c>
      <c r="CP99" s="226" t="s">
        <v>535</v>
      </c>
      <c r="CQ99" s="227" t="s">
        <v>536</v>
      </c>
      <c r="CT99" s="230">
        <v>3300</v>
      </c>
      <c r="CU99" s="231">
        <v>46195</v>
      </c>
      <c r="CZ99" s="235"/>
      <c r="DC99" s="238"/>
      <c r="DH99" s="240">
        <f t="shared" si="75"/>
        <v>10000</v>
      </c>
      <c r="DI99" s="241"/>
      <c r="DJ99" s="242"/>
      <c r="DK99" s="242"/>
      <c r="DL99" s="242"/>
      <c r="DM99" s="242"/>
      <c r="DN99" s="242"/>
      <c r="DO99" s="242"/>
      <c r="DP99" s="242"/>
      <c r="DQ99" s="243"/>
      <c r="DR99" s="241"/>
      <c r="DS99" s="242"/>
      <c r="DT99" s="242"/>
      <c r="DU99" s="242"/>
      <c r="DV99" s="242"/>
      <c r="DW99" s="242"/>
      <c r="DX99" s="242"/>
      <c r="DY99" s="242"/>
      <c r="DZ99" s="244"/>
      <c r="EA99" s="245" t="s">
        <v>537</v>
      </c>
      <c r="EB99" s="246" t="s">
        <v>538</v>
      </c>
      <c r="EC99" s="247" t="s">
        <v>539</v>
      </c>
      <c r="ED99" s="248" t="s">
        <v>540</v>
      </c>
      <c r="EE99" s="249"/>
      <c r="EF99" s="249"/>
      <c r="EG99" s="249"/>
      <c r="EH99" s="249"/>
      <c r="EI99" s="250"/>
      <c r="EJ99" s="250"/>
      <c r="EK99" s="250"/>
      <c r="EL99" s="250"/>
      <c r="EM99" s="251"/>
      <c r="EN99" s="252"/>
      <c r="EO99" s="249"/>
      <c r="EP99" s="249"/>
      <c r="EQ99" s="250"/>
      <c r="ER99" s="253"/>
      <c r="ES99" s="260"/>
      <c r="ET99" s="261"/>
      <c r="EU99" s="260"/>
      <c r="EW99" s="260"/>
      <c r="EY99" s="260"/>
      <c r="EZ99" s="261"/>
      <c r="FA99" s="260"/>
      <c r="FI99" s="263"/>
      <c r="FJ99" s="264"/>
      <c r="FK99" s="265"/>
      <c r="FL99" s="266"/>
      <c r="FN99" s="266"/>
      <c r="FO99" s="265"/>
      <c r="FP99" s="266"/>
      <c r="FQ99" s="265"/>
      <c r="FR99" s="266"/>
      <c r="FX99" s="261"/>
      <c r="IG99" s="588"/>
      <c r="IH99" s="588"/>
      <c r="II99" s="588"/>
      <c r="IJ99" s="588"/>
      <c r="IK99" s="588"/>
      <c r="IL99" s="588"/>
      <c r="IM99" s="588"/>
      <c r="IN99" s="588"/>
      <c r="IO99" s="588"/>
      <c r="IP99" s="588"/>
      <c r="IQ99" s="588"/>
      <c r="IR99" s="588"/>
      <c r="JE99" s="588"/>
      <c r="JF99" s="588"/>
      <c r="JG99" s="588"/>
      <c r="JH99" s="588"/>
      <c r="JI99" s="588"/>
      <c r="JJ99" s="588"/>
      <c r="JK99" s="588"/>
      <c r="JL99" s="588"/>
      <c r="JM99" s="588"/>
      <c r="JN99" s="588"/>
      <c r="JO99" s="588"/>
      <c r="JP99" s="588"/>
    </row>
    <row r="100" spans="1:276">
      <c r="A100" s="199">
        <f t="shared" si="2"/>
        <v>96</v>
      </c>
      <c r="B100" s="200" t="s">
        <v>206</v>
      </c>
      <c r="C100" s="201" t="s">
        <v>1218</v>
      </c>
      <c r="D100" s="202" t="s">
        <v>1264</v>
      </c>
      <c r="E100" s="203"/>
      <c r="F100" s="204"/>
      <c r="G100" s="205" t="s">
        <v>557</v>
      </c>
      <c r="H100" s="206" t="str">
        <f t="shared" si="70"/>
        <v>大同區</v>
      </c>
      <c r="I100" s="206" t="s">
        <v>559</v>
      </c>
      <c r="J100" s="206" t="s">
        <v>558</v>
      </c>
      <c r="K100" s="206" t="s">
        <v>576</v>
      </c>
      <c r="L100" s="207">
        <v>53.28</v>
      </c>
      <c r="M100" s="206" t="s">
        <v>482</v>
      </c>
      <c r="N100" s="208">
        <v>46106</v>
      </c>
      <c r="O100" s="208">
        <f t="shared" si="72"/>
        <v>46470</v>
      </c>
      <c r="P100" s="209">
        <v>25000</v>
      </c>
      <c r="Q100" s="210">
        <v>4000</v>
      </c>
      <c r="R100" s="211">
        <v>46162</v>
      </c>
      <c r="S100" s="212">
        <v>2400</v>
      </c>
      <c r="T100" s="211">
        <v>46162</v>
      </c>
      <c r="U100" s="214">
        <f>S100</f>
        <v>2400</v>
      </c>
      <c r="V100" s="215">
        <v>46195</v>
      </c>
      <c r="W100" s="270">
        <v>2400</v>
      </c>
      <c r="X100" s="271">
        <v>46223</v>
      </c>
      <c r="Y100" s="723">
        <v>2400</v>
      </c>
      <c r="Z100" s="726" t="s">
        <v>1274</v>
      </c>
      <c r="AA100" s="212"/>
      <c r="AB100" s="213"/>
      <c r="AC100" s="212"/>
      <c r="AD100" s="211"/>
      <c r="AQ100" s="218"/>
      <c r="AR100" s="219"/>
      <c r="AS100" s="220"/>
      <c r="AT100" s="219"/>
      <c r="AU100" s="219"/>
      <c r="AV100" s="219"/>
      <c r="AW100" s="219"/>
      <c r="AX100" s="219"/>
      <c r="AY100" s="219"/>
      <c r="AZ100" s="219"/>
      <c r="BA100" s="219"/>
      <c r="BB100" s="219"/>
      <c r="BC100" s="219"/>
      <c r="BD100" s="219"/>
      <c r="BE100" s="219"/>
      <c r="BF100" s="219"/>
      <c r="BG100" s="219"/>
      <c r="BH100" s="219"/>
      <c r="BI100" s="219"/>
      <c r="BJ100" s="219"/>
      <c r="BK100" s="219"/>
      <c r="BL100" s="219"/>
      <c r="BM100" s="219"/>
      <c r="BN100" s="221"/>
      <c r="BO100" s="218"/>
      <c r="BP100" s="219"/>
      <c r="BQ100" s="219"/>
      <c r="BR100" s="219"/>
      <c r="BS100" s="219"/>
      <c r="BT100" s="219"/>
      <c r="BU100" s="219"/>
      <c r="BV100" s="219"/>
      <c r="BW100" s="219"/>
      <c r="BX100" s="219"/>
      <c r="BY100" s="219"/>
      <c r="BZ100" s="219"/>
      <c r="CA100" s="219"/>
      <c r="CB100" s="219"/>
      <c r="CC100" s="219"/>
      <c r="CD100" s="219"/>
      <c r="CE100" s="219"/>
      <c r="CF100" s="219"/>
      <c r="CG100" s="219"/>
      <c r="CH100" s="219"/>
      <c r="CI100" s="219"/>
      <c r="CJ100" s="219"/>
      <c r="CK100" s="219"/>
      <c r="CL100" s="222"/>
      <c r="CM100" s="223" t="s">
        <v>560</v>
      </c>
      <c r="CN100" s="224" t="s">
        <v>561</v>
      </c>
      <c r="CO100" s="225" t="s">
        <v>562</v>
      </c>
      <c r="CP100" s="226" t="s">
        <v>563</v>
      </c>
      <c r="CQ100" s="227" t="s">
        <v>564</v>
      </c>
      <c r="CZ100" s="235"/>
      <c r="DC100" s="238"/>
      <c r="DH100" s="240">
        <f t="shared" si="75"/>
        <v>10000</v>
      </c>
      <c r="DI100" s="241"/>
      <c r="DJ100" s="242"/>
      <c r="DK100" s="242"/>
      <c r="DL100" s="242"/>
      <c r="DM100" s="242"/>
      <c r="DN100" s="242"/>
      <c r="DO100" s="242"/>
      <c r="DP100" s="242"/>
      <c r="DQ100" s="243"/>
      <c r="DR100" s="241"/>
      <c r="DS100" s="242"/>
      <c r="DT100" s="242"/>
      <c r="DU100" s="242"/>
      <c r="DV100" s="242"/>
      <c r="DW100" s="242"/>
      <c r="DX100" s="242"/>
      <c r="DY100" s="242"/>
      <c r="DZ100" s="244"/>
      <c r="EA100" s="245" t="s">
        <v>565</v>
      </c>
      <c r="EB100" s="246" t="s">
        <v>566</v>
      </c>
      <c r="EC100" s="247" t="s">
        <v>567</v>
      </c>
      <c r="ED100" s="248" t="s">
        <v>568</v>
      </c>
      <c r="EE100" s="249"/>
      <c r="EF100" s="249"/>
      <c r="EG100" s="249"/>
      <c r="EH100" s="249"/>
      <c r="EI100" s="250"/>
      <c r="EJ100" s="250"/>
      <c r="EK100" s="250"/>
      <c r="EL100" s="250"/>
      <c r="EM100" s="251"/>
      <c r="EN100" s="252"/>
      <c r="EO100" s="249"/>
      <c r="EP100" s="249"/>
      <c r="EQ100" s="250"/>
      <c r="ER100" s="253"/>
      <c r="ES100" s="260"/>
      <c r="ET100" s="261"/>
      <c r="EU100" s="260"/>
      <c r="EW100" s="260"/>
      <c r="EY100" s="260"/>
      <c r="EZ100" s="261"/>
      <c r="FA100" s="260"/>
      <c r="FI100" s="263"/>
      <c r="FJ100" s="264"/>
      <c r="FK100" s="265"/>
      <c r="FL100" s="266"/>
      <c r="FN100" s="266"/>
      <c r="FO100" s="265"/>
      <c r="FP100" s="266"/>
      <c r="FQ100" s="265"/>
      <c r="FR100" s="266"/>
      <c r="FX100" s="261"/>
      <c r="IG100" s="588"/>
      <c r="IH100" s="588"/>
      <c r="II100" s="588"/>
      <c r="IJ100" s="588"/>
      <c r="IK100" s="588"/>
      <c r="IL100" s="588"/>
      <c r="IM100" s="588"/>
      <c r="IN100" s="588"/>
      <c r="IO100" s="588"/>
      <c r="IP100" s="588"/>
      <c r="IQ100" s="588"/>
      <c r="IR100" s="588"/>
      <c r="JE100" s="588"/>
      <c r="JF100" s="588"/>
      <c r="JG100" s="588"/>
      <c r="JH100" s="588"/>
      <c r="JI100" s="588"/>
      <c r="JJ100" s="588"/>
      <c r="JK100" s="588"/>
      <c r="JL100" s="588"/>
      <c r="JM100" s="588"/>
      <c r="JN100" s="588"/>
      <c r="JO100" s="588"/>
      <c r="JP100" s="588"/>
    </row>
    <row r="101" spans="1:276">
      <c r="A101" s="199">
        <f t="shared" si="2"/>
        <v>97</v>
      </c>
      <c r="B101" s="200" t="s">
        <v>206</v>
      </c>
      <c r="C101" s="201" t="s">
        <v>1218</v>
      </c>
      <c r="D101" s="202" t="s">
        <v>1266</v>
      </c>
      <c r="E101" s="203"/>
      <c r="F101" s="204"/>
      <c r="G101" s="205" t="s">
        <v>572</v>
      </c>
      <c r="H101" s="206" t="str">
        <f t="shared" si="70"/>
        <v>北投區</v>
      </c>
      <c r="I101" s="206" t="s">
        <v>573</v>
      </c>
      <c r="J101" s="206" t="s">
        <v>574</v>
      </c>
      <c r="K101" s="206" t="s">
        <v>575</v>
      </c>
      <c r="L101" s="207">
        <v>85.76</v>
      </c>
      <c r="M101" s="206" t="s">
        <v>482</v>
      </c>
      <c r="N101" s="208">
        <v>46113</v>
      </c>
      <c r="O101" s="208">
        <f t="shared" si="72"/>
        <v>46477</v>
      </c>
      <c r="P101" s="209">
        <v>15000</v>
      </c>
      <c r="Q101" s="210">
        <v>4000</v>
      </c>
      <c r="R101" s="215">
        <v>46195</v>
      </c>
      <c r="S101" s="212">
        <v>2400</v>
      </c>
      <c r="T101" s="215">
        <v>46195</v>
      </c>
      <c r="U101" s="270">
        <v>2400</v>
      </c>
      <c r="V101" s="271">
        <v>46223</v>
      </c>
      <c r="W101" s="723">
        <v>2400</v>
      </c>
      <c r="X101" s="726" t="s">
        <v>1274</v>
      </c>
      <c r="Y101" s="212"/>
      <c r="Z101" s="213"/>
      <c r="AA101" s="212"/>
      <c r="AB101" s="211"/>
      <c r="AL101" s="216"/>
      <c r="AP101" s="216"/>
      <c r="AQ101" s="218"/>
      <c r="AR101" s="219"/>
      <c r="AS101" s="220"/>
      <c r="AT101" s="219"/>
      <c r="AU101" s="219"/>
      <c r="AV101" s="219"/>
      <c r="AW101" s="219"/>
      <c r="AX101" s="219"/>
      <c r="AY101" s="219"/>
      <c r="AZ101" s="219"/>
      <c r="BA101" s="219"/>
      <c r="BB101" s="219"/>
      <c r="BC101" s="219"/>
      <c r="BD101" s="219"/>
      <c r="BE101" s="219"/>
      <c r="BF101" s="219"/>
      <c r="BG101" s="219"/>
      <c r="BH101" s="219"/>
      <c r="BI101" s="219"/>
      <c r="BJ101" s="219"/>
      <c r="BK101" s="219"/>
      <c r="BL101" s="219"/>
      <c r="BM101" s="219"/>
      <c r="BN101" s="221"/>
      <c r="BO101" s="218"/>
      <c r="BP101" s="219"/>
      <c r="BQ101" s="219"/>
      <c r="BR101" s="219"/>
      <c r="BS101" s="219"/>
      <c r="BT101" s="219"/>
      <c r="BU101" s="219"/>
      <c r="BV101" s="219"/>
      <c r="BW101" s="219"/>
      <c r="BX101" s="219"/>
      <c r="BY101" s="219"/>
      <c r="BZ101" s="219"/>
      <c r="CA101" s="219"/>
      <c r="CB101" s="219"/>
      <c r="CC101" s="219"/>
      <c r="CD101" s="219"/>
      <c r="CE101" s="219"/>
      <c r="CF101" s="219"/>
      <c r="CG101" s="219"/>
      <c r="CH101" s="219"/>
      <c r="CI101" s="219"/>
      <c r="CJ101" s="219"/>
      <c r="CK101" s="219"/>
      <c r="CL101" s="222"/>
      <c r="CM101" s="223" t="s">
        <v>577</v>
      </c>
      <c r="CN101" s="224" t="s">
        <v>578</v>
      </c>
      <c r="CO101" s="225" t="s">
        <v>580</v>
      </c>
      <c r="CP101" s="226" t="s">
        <v>579</v>
      </c>
      <c r="CQ101" s="227" t="s">
        <v>572</v>
      </c>
      <c r="CZ101" s="235"/>
      <c r="DC101" s="238"/>
      <c r="DH101" s="240">
        <f t="shared" si="75"/>
        <v>10000</v>
      </c>
      <c r="DI101" s="241"/>
      <c r="DJ101" s="242"/>
      <c r="DK101" s="242"/>
      <c r="DL101" s="242"/>
      <c r="DM101" s="242"/>
      <c r="DN101" s="242"/>
      <c r="DO101" s="242"/>
      <c r="DP101" s="242"/>
      <c r="DQ101" s="243"/>
      <c r="DR101" s="241"/>
      <c r="DS101" s="242"/>
      <c r="DT101" s="242"/>
      <c r="DU101" s="242"/>
      <c r="DV101" s="242"/>
      <c r="DW101" s="242"/>
      <c r="DX101" s="242"/>
      <c r="DY101" s="242"/>
      <c r="DZ101" s="244"/>
      <c r="EA101" s="245" t="s">
        <v>581</v>
      </c>
      <c r="EB101" s="246" t="s">
        <v>582</v>
      </c>
      <c r="EC101" s="247" t="s">
        <v>584</v>
      </c>
      <c r="ED101" s="248" t="s">
        <v>583</v>
      </c>
      <c r="EE101" s="249" t="s">
        <v>1269</v>
      </c>
      <c r="EF101" s="249" t="s">
        <v>1270</v>
      </c>
      <c r="EG101" s="249" t="s">
        <v>1271</v>
      </c>
      <c r="EH101" s="249"/>
      <c r="EI101" s="250"/>
      <c r="EJ101" s="250"/>
      <c r="EK101" s="250"/>
      <c r="EL101" s="250"/>
      <c r="EM101" s="251"/>
      <c r="EN101" s="252"/>
      <c r="EO101" s="249"/>
      <c r="EP101" s="249"/>
      <c r="EQ101" s="250"/>
      <c r="ER101" s="253"/>
      <c r="ES101" s="260"/>
      <c r="ET101" s="261"/>
      <c r="EU101" s="260"/>
      <c r="EW101" s="260"/>
      <c r="EY101" s="260"/>
      <c r="EZ101" s="261"/>
      <c r="FA101" s="260"/>
      <c r="FI101" s="263"/>
      <c r="FJ101" s="264"/>
      <c r="FK101" s="265"/>
      <c r="FL101" s="266"/>
      <c r="FN101" s="266"/>
      <c r="FO101" s="265"/>
      <c r="FP101" s="266"/>
      <c r="FQ101" s="265"/>
      <c r="FR101" s="266"/>
      <c r="FX101" s="261"/>
      <c r="IG101" s="588"/>
      <c r="IH101" s="588"/>
      <c r="II101" s="588"/>
      <c r="IJ101" s="588"/>
      <c r="IK101" s="588"/>
      <c r="IL101" s="588"/>
      <c r="IM101" s="588"/>
      <c r="IN101" s="588"/>
      <c r="IO101" s="588"/>
      <c r="IP101" s="588"/>
      <c r="IQ101" s="588"/>
      <c r="IR101" s="588"/>
      <c r="JE101" s="588"/>
      <c r="JF101" s="588"/>
      <c r="JG101" s="588"/>
      <c r="JH101" s="588"/>
      <c r="JI101" s="588"/>
      <c r="JJ101" s="588"/>
      <c r="JK101" s="588"/>
      <c r="JL101" s="588"/>
      <c r="JM101" s="588"/>
      <c r="JN101" s="588"/>
      <c r="JO101" s="588"/>
      <c r="JP101" s="588"/>
    </row>
    <row r="102" spans="1:276">
      <c r="A102" s="199">
        <f t="shared" si="2"/>
        <v>98</v>
      </c>
      <c r="B102" s="200" t="s">
        <v>206</v>
      </c>
      <c r="C102" s="201" t="s">
        <v>1219</v>
      </c>
      <c r="D102" s="202" t="s">
        <v>1267</v>
      </c>
      <c r="E102" s="203"/>
      <c r="F102" s="204"/>
      <c r="G102" s="205" t="s">
        <v>589</v>
      </c>
      <c r="H102" s="206" t="str">
        <f>MID(G102,4,3)</f>
        <v>萬華區</v>
      </c>
      <c r="I102" s="206" t="s">
        <v>586</v>
      </c>
      <c r="J102" s="206" t="s">
        <v>587</v>
      </c>
      <c r="K102" s="206" t="s">
        <v>588</v>
      </c>
      <c r="L102" s="207">
        <v>75.73</v>
      </c>
      <c r="M102" s="206" t="s">
        <v>482</v>
      </c>
      <c r="N102" s="208">
        <v>46127</v>
      </c>
      <c r="O102" s="208">
        <f>N102+364</f>
        <v>46491</v>
      </c>
      <c r="P102" s="209">
        <v>22000</v>
      </c>
      <c r="Q102" s="210">
        <v>4000</v>
      </c>
      <c r="R102" s="215">
        <v>46195</v>
      </c>
      <c r="S102" s="212">
        <v>2400</v>
      </c>
      <c r="T102" s="215">
        <v>46195</v>
      </c>
      <c r="U102" s="270">
        <v>2400</v>
      </c>
      <c r="V102" s="271">
        <v>46223</v>
      </c>
      <c r="W102" s="723">
        <v>2400</v>
      </c>
      <c r="X102" s="726" t="s">
        <v>1274</v>
      </c>
      <c r="Y102" s="212"/>
      <c r="Z102" s="213"/>
      <c r="AA102" s="212"/>
      <c r="AB102" s="211"/>
      <c r="AL102" s="216"/>
      <c r="AP102" s="216"/>
      <c r="AQ102" s="218"/>
      <c r="AR102" s="219"/>
      <c r="AS102" s="220"/>
      <c r="AT102" s="219"/>
      <c r="AU102" s="219"/>
      <c r="AV102" s="219"/>
      <c r="AW102" s="219"/>
      <c r="AX102" s="219"/>
      <c r="AY102" s="219"/>
      <c r="AZ102" s="219"/>
      <c r="BA102" s="219"/>
      <c r="BB102" s="219"/>
      <c r="BC102" s="219"/>
      <c r="BD102" s="219"/>
      <c r="BE102" s="219"/>
      <c r="BF102" s="219"/>
      <c r="BG102" s="219"/>
      <c r="BH102" s="219"/>
      <c r="BI102" s="219"/>
      <c r="BJ102" s="219"/>
      <c r="BK102" s="219"/>
      <c r="BL102" s="219"/>
      <c r="BM102" s="219"/>
      <c r="BN102" s="221"/>
      <c r="BO102" s="218"/>
      <c r="BP102" s="219"/>
      <c r="BQ102" s="219"/>
      <c r="BR102" s="219"/>
      <c r="BS102" s="219"/>
      <c r="BT102" s="219"/>
      <c r="BU102" s="219"/>
      <c r="BV102" s="219"/>
      <c r="BW102" s="219"/>
      <c r="BX102" s="219"/>
      <c r="BY102" s="219"/>
      <c r="BZ102" s="219"/>
      <c r="CA102" s="219"/>
      <c r="CB102" s="219"/>
      <c r="CC102" s="219"/>
      <c r="CD102" s="219"/>
      <c r="CE102" s="219"/>
      <c r="CF102" s="219"/>
      <c r="CG102" s="219"/>
      <c r="CH102" s="219"/>
      <c r="CI102" s="219"/>
      <c r="CJ102" s="219"/>
      <c r="CK102" s="219"/>
      <c r="CL102" s="222"/>
      <c r="CM102" s="223" t="s">
        <v>590</v>
      </c>
      <c r="CN102" s="224" t="s">
        <v>591</v>
      </c>
      <c r="CO102" s="225" t="s">
        <v>592</v>
      </c>
      <c r="CP102" s="226" t="s">
        <v>593</v>
      </c>
      <c r="CQ102" s="227" t="s">
        <v>1272</v>
      </c>
      <c r="CZ102" s="235"/>
      <c r="DC102" s="238"/>
      <c r="DH102" s="240">
        <f>10000-DF102-DD102-DB102-CZ102</f>
        <v>10000</v>
      </c>
      <c r="DI102" s="241"/>
      <c r="DJ102" s="242"/>
      <c r="DK102" s="242"/>
      <c r="DL102" s="242"/>
      <c r="DM102" s="242"/>
      <c r="DN102" s="242"/>
      <c r="DO102" s="242"/>
      <c r="DP102" s="242"/>
      <c r="DQ102" s="243"/>
      <c r="DR102" s="241"/>
      <c r="DS102" s="242"/>
      <c r="DT102" s="242"/>
      <c r="DU102" s="242"/>
      <c r="DV102" s="242"/>
      <c r="DW102" s="242"/>
      <c r="DX102" s="242"/>
      <c r="DY102" s="242"/>
      <c r="DZ102" s="244"/>
      <c r="EA102" s="245" t="s">
        <v>595</v>
      </c>
      <c r="EB102" s="246" t="s">
        <v>596</v>
      </c>
      <c r="EC102" s="247" t="s">
        <v>470</v>
      </c>
      <c r="ED102" s="248" t="s">
        <v>597</v>
      </c>
      <c r="EE102" s="249" t="s">
        <v>598</v>
      </c>
      <c r="EF102" s="249" t="s">
        <v>600</v>
      </c>
      <c r="EG102" s="249" t="s">
        <v>599</v>
      </c>
      <c r="EH102" s="249" t="s">
        <v>601</v>
      </c>
      <c r="EI102" s="250" t="s">
        <v>602</v>
      </c>
      <c r="EJ102" s="250" t="s">
        <v>474</v>
      </c>
      <c r="EK102" s="250"/>
      <c r="EL102" s="250"/>
      <c r="EM102" s="251"/>
      <c r="EN102" s="252"/>
      <c r="EO102" s="249"/>
      <c r="EP102" s="249"/>
      <c r="EQ102" s="250"/>
      <c r="ER102" s="253"/>
      <c r="ES102" s="260"/>
      <c r="ET102" s="261"/>
      <c r="EU102" s="260"/>
      <c r="EW102" s="260"/>
      <c r="EY102" s="260"/>
      <c r="EZ102" s="261"/>
      <c r="FA102" s="260"/>
      <c r="FI102" s="263"/>
      <c r="FJ102" s="264"/>
      <c r="FK102" s="265"/>
      <c r="FL102" s="266"/>
      <c r="FN102" s="266"/>
      <c r="FO102" s="265"/>
      <c r="FP102" s="266"/>
      <c r="FQ102" s="265"/>
      <c r="FR102" s="266"/>
      <c r="FX102" s="261"/>
      <c r="IG102" s="588"/>
      <c r="IH102" s="588"/>
      <c r="II102" s="588"/>
      <c r="IJ102" s="588"/>
      <c r="IK102" s="588"/>
      <c r="IL102" s="588"/>
      <c r="IM102" s="588"/>
      <c r="IN102" s="588"/>
      <c r="IO102" s="588"/>
      <c r="IP102" s="588"/>
      <c r="IQ102" s="588"/>
      <c r="IR102" s="588"/>
      <c r="JE102" s="588"/>
      <c r="JF102" s="588"/>
      <c r="JG102" s="588"/>
      <c r="JH102" s="588"/>
      <c r="JI102" s="588"/>
      <c r="JJ102" s="588"/>
      <c r="JK102" s="588"/>
      <c r="JL102" s="588"/>
      <c r="JM102" s="588"/>
      <c r="JN102" s="588"/>
      <c r="JO102" s="588"/>
      <c r="JP102" s="588"/>
    </row>
    <row r="103" spans="1:276">
      <c r="A103" s="199">
        <f t="shared" si="2"/>
        <v>99</v>
      </c>
      <c r="B103" s="200" t="s">
        <v>206</v>
      </c>
      <c r="C103" s="201" t="s">
        <v>1218</v>
      </c>
      <c r="D103" s="202" t="s">
        <v>1268</v>
      </c>
      <c r="E103" s="203"/>
      <c r="F103" s="204"/>
      <c r="G103" s="205" t="s">
        <v>604</v>
      </c>
      <c r="H103" s="206" t="str">
        <f t="shared" ref="H103:H105" si="76">MID(G103,4,3)</f>
        <v>內湖區</v>
      </c>
      <c r="I103" s="206" t="s">
        <v>605</v>
      </c>
      <c r="J103" s="206" t="s">
        <v>606</v>
      </c>
      <c r="K103" s="206" t="s">
        <v>607</v>
      </c>
      <c r="L103" s="207">
        <v>80.47</v>
      </c>
      <c r="M103" s="206" t="s">
        <v>482</v>
      </c>
      <c r="N103" s="208">
        <v>46127</v>
      </c>
      <c r="O103" s="208">
        <f t="shared" ref="O103:O105" si="77">N103+364</f>
        <v>46491</v>
      </c>
      <c r="P103" s="209">
        <v>33000</v>
      </c>
      <c r="Q103" s="210">
        <v>4000</v>
      </c>
      <c r="R103" s="215">
        <v>46195</v>
      </c>
      <c r="S103" s="212">
        <v>2400</v>
      </c>
      <c r="T103" s="215">
        <v>46195</v>
      </c>
      <c r="U103" s="270">
        <v>2400</v>
      </c>
      <c r="V103" s="271">
        <v>46223</v>
      </c>
      <c r="W103" s="723">
        <v>2400</v>
      </c>
      <c r="X103" s="726" t="s">
        <v>1274</v>
      </c>
      <c r="Y103" s="212"/>
      <c r="Z103" s="213"/>
      <c r="AA103" s="212"/>
      <c r="AB103" s="211"/>
      <c r="AL103" s="216"/>
      <c r="AP103" s="216"/>
      <c r="AQ103" s="218"/>
      <c r="AR103" s="219"/>
      <c r="AS103" s="220"/>
      <c r="AT103" s="219"/>
      <c r="AU103" s="219"/>
      <c r="AV103" s="219"/>
      <c r="AW103" s="219"/>
      <c r="AX103" s="219"/>
      <c r="AY103" s="219"/>
      <c r="AZ103" s="219"/>
      <c r="BA103" s="219"/>
      <c r="BB103" s="219"/>
      <c r="BC103" s="219"/>
      <c r="BD103" s="219"/>
      <c r="BE103" s="219"/>
      <c r="BF103" s="219"/>
      <c r="BG103" s="219"/>
      <c r="BH103" s="219"/>
      <c r="BI103" s="219"/>
      <c r="BJ103" s="219"/>
      <c r="BK103" s="219"/>
      <c r="BL103" s="219"/>
      <c r="BM103" s="219"/>
      <c r="BN103" s="221"/>
      <c r="BO103" s="218"/>
      <c r="BP103" s="219"/>
      <c r="BQ103" s="219"/>
      <c r="BR103" s="219"/>
      <c r="BS103" s="219"/>
      <c r="BT103" s="219"/>
      <c r="BU103" s="219"/>
      <c r="BV103" s="219"/>
      <c r="BW103" s="219"/>
      <c r="BX103" s="219"/>
      <c r="BY103" s="219"/>
      <c r="BZ103" s="219"/>
      <c r="CA103" s="219"/>
      <c r="CB103" s="219"/>
      <c r="CC103" s="219"/>
      <c r="CD103" s="219"/>
      <c r="CE103" s="219"/>
      <c r="CF103" s="219"/>
      <c r="CG103" s="219"/>
      <c r="CH103" s="219"/>
      <c r="CI103" s="219"/>
      <c r="CJ103" s="219"/>
      <c r="CK103" s="219"/>
      <c r="CL103" s="222"/>
      <c r="CM103" s="223" t="s">
        <v>608</v>
      </c>
      <c r="CN103" s="224" t="s">
        <v>609</v>
      </c>
      <c r="CO103" s="225" t="s">
        <v>611</v>
      </c>
      <c r="CP103" s="226" t="s">
        <v>610</v>
      </c>
      <c r="CQ103" s="227" t="s">
        <v>612</v>
      </c>
      <c r="CZ103" s="235"/>
      <c r="DC103" s="238"/>
      <c r="DH103" s="240">
        <f t="shared" ref="DH103:DH105" si="78">10000-DF103-DD103-DB103-CZ103</f>
        <v>10000</v>
      </c>
      <c r="DI103" s="241"/>
      <c r="DJ103" s="242"/>
      <c r="DK103" s="242"/>
      <c r="DL103" s="242"/>
      <c r="DM103" s="242"/>
      <c r="DN103" s="242"/>
      <c r="DO103" s="242"/>
      <c r="DP103" s="242"/>
      <c r="DQ103" s="243"/>
      <c r="DR103" s="241"/>
      <c r="DS103" s="242"/>
      <c r="DT103" s="242"/>
      <c r="DU103" s="242"/>
      <c r="DV103" s="242"/>
      <c r="DW103" s="242"/>
      <c r="DX103" s="242"/>
      <c r="DY103" s="242"/>
      <c r="DZ103" s="244"/>
      <c r="EA103" s="245" t="s">
        <v>613</v>
      </c>
      <c r="EB103" s="246" t="s">
        <v>614</v>
      </c>
      <c r="EC103" s="247" t="s">
        <v>470</v>
      </c>
      <c r="ED103" s="248" t="s">
        <v>615</v>
      </c>
      <c r="EE103" s="249" t="s">
        <v>616</v>
      </c>
      <c r="EF103" s="249" t="s">
        <v>617</v>
      </c>
      <c r="EG103" s="249" t="s">
        <v>599</v>
      </c>
      <c r="EH103" s="249" t="s">
        <v>619</v>
      </c>
      <c r="EI103" s="250" t="s">
        <v>618</v>
      </c>
      <c r="EJ103" s="250" t="s">
        <v>474</v>
      </c>
      <c r="EK103" s="250" t="s">
        <v>620</v>
      </c>
      <c r="EL103" s="250" t="s">
        <v>621</v>
      </c>
      <c r="EM103" s="251" t="s">
        <v>528</v>
      </c>
      <c r="EN103" s="252"/>
      <c r="EO103" s="249"/>
      <c r="EP103" s="249"/>
      <c r="EQ103" s="250"/>
      <c r="ER103" s="253"/>
      <c r="ES103" s="260"/>
      <c r="ET103" s="261"/>
      <c r="EU103" s="260"/>
      <c r="EW103" s="260"/>
      <c r="EY103" s="260"/>
      <c r="EZ103" s="261"/>
      <c r="FA103" s="260"/>
      <c r="FI103" s="263"/>
      <c r="FJ103" s="264"/>
      <c r="FK103" s="265"/>
      <c r="FL103" s="266"/>
      <c r="FN103" s="266"/>
      <c r="FO103" s="265"/>
      <c r="FP103" s="266"/>
      <c r="FQ103" s="265"/>
      <c r="FR103" s="266"/>
      <c r="FX103" s="261"/>
      <c r="IG103" s="588"/>
      <c r="IH103" s="588"/>
      <c r="II103" s="588"/>
      <c r="IJ103" s="588"/>
      <c r="IK103" s="588"/>
      <c r="IL103" s="588"/>
      <c r="IM103" s="588"/>
      <c r="IN103" s="588"/>
      <c r="IO103" s="588"/>
      <c r="IP103" s="588"/>
      <c r="IQ103" s="588"/>
      <c r="IR103" s="588"/>
      <c r="JE103" s="588"/>
      <c r="JF103" s="588"/>
      <c r="JG103" s="588"/>
      <c r="JH103" s="588"/>
      <c r="JI103" s="588"/>
      <c r="JJ103" s="588"/>
      <c r="JK103" s="588"/>
      <c r="JL103" s="588"/>
      <c r="JM103" s="588"/>
      <c r="JN103" s="588"/>
      <c r="JO103" s="588"/>
      <c r="JP103" s="588"/>
    </row>
    <row r="104" spans="1:276" s="795" customFormat="1">
      <c r="A104" s="731">
        <f t="shared" si="2"/>
        <v>100</v>
      </c>
      <c r="B104" s="732" t="s">
        <v>206</v>
      </c>
      <c r="C104" s="733" t="s">
        <v>1221</v>
      </c>
      <c r="D104" s="734" t="s">
        <v>1275</v>
      </c>
      <c r="E104" s="735"/>
      <c r="F104" s="736"/>
      <c r="G104" s="737" t="s">
        <v>735</v>
      </c>
      <c r="H104" s="738" t="str">
        <f t="shared" si="76"/>
        <v>大同區</v>
      </c>
      <c r="I104" s="738" t="s">
        <v>725</v>
      </c>
      <c r="J104" s="738" t="s">
        <v>728</v>
      </c>
      <c r="K104" s="738" t="s">
        <v>1049</v>
      </c>
      <c r="L104" s="739">
        <v>59.72</v>
      </c>
      <c r="M104" s="738" t="s">
        <v>482</v>
      </c>
      <c r="N104" s="740">
        <v>46188</v>
      </c>
      <c r="O104" s="740">
        <f t="shared" si="77"/>
        <v>46552</v>
      </c>
      <c r="P104" s="741">
        <v>22000</v>
      </c>
      <c r="Q104" s="742">
        <v>4000</v>
      </c>
      <c r="R104" s="726" t="s">
        <v>1274</v>
      </c>
      <c r="S104" s="744">
        <v>2400</v>
      </c>
      <c r="T104" s="726" t="s">
        <v>1274</v>
      </c>
      <c r="U104" s="744"/>
      <c r="V104" s="745"/>
      <c r="W104" s="744"/>
      <c r="X104" s="743"/>
      <c r="Y104" s="746"/>
      <c r="Z104" s="726"/>
      <c r="AA104" s="746"/>
      <c r="AB104" s="726"/>
      <c r="AC104" s="746"/>
      <c r="AD104" s="726"/>
      <c r="AE104" s="746"/>
      <c r="AF104" s="726"/>
      <c r="AG104" s="746"/>
      <c r="AH104" s="747"/>
      <c r="AI104" s="746"/>
      <c r="AJ104" s="747"/>
      <c r="AK104" s="746"/>
      <c r="AL104" s="747"/>
      <c r="AM104" s="746"/>
      <c r="AN104" s="726"/>
      <c r="AO104" s="723"/>
      <c r="AP104" s="748"/>
      <c r="AQ104" s="749"/>
      <c r="AR104" s="750"/>
      <c r="AS104" s="751"/>
      <c r="AT104" s="750"/>
      <c r="AU104" s="750"/>
      <c r="AV104" s="750"/>
      <c r="AW104" s="750"/>
      <c r="AX104" s="750"/>
      <c r="AY104" s="750"/>
      <c r="AZ104" s="750"/>
      <c r="BA104" s="750"/>
      <c r="BB104" s="750"/>
      <c r="BC104" s="750"/>
      <c r="BD104" s="750"/>
      <c r="BE104" s="750"/>
      <c r="BF104" s="750"/>
      <c r="BG104" s="750"/>
      <c r="BH104" s="750"/>
      <c r="BI104" s="750"/>
      <c r="BJ104" s="750"/>
      <c r="BK104" s="750"/>
      <c r="BL104" s="750"/>
      <c r="BM104" s="750"/>
      <c r="BN104" s="752"/>
      <c r="BO104" s="749"/>
      <c r="BP104" s="750"/>
      <c r="BQ104" s="750"/>
      <c r="BR104" s="750"/>
      <c r="BS104" s="750"/>
      <c r="BT104" s="750"/>
      <c r="BU104" s="750"/>
      <c r="BV104" s="750"/>
      <c r="BW104" s="750"/>
      <c r="BX104" s="750"/>
      <c r="BY104" s="750"/>
      <c r="BZ104" s="750"/>
      <c r="CA104" s="750"/>
      <c r="CB104" s="750"/>
      <c r="CC104" s="750"/>
      <c r="CD104" s="750"/>
      <c r="CE104" s="750"/>
      <c r="CF104" s="750"/>
      <c r="CG104" s="750"/>
      <c r="CH104" s="750"/>
      <c r="CI104" s="750"/>
      <c r="CJ104" s="750"/>
      <c r="CK104" s="750"/>
      <c r="CL104" s="753"/>
      <c r="CM104" s="754" t="s">
        <v>1050</v>
      </c>
      <c r="CN104" s="755" t="s">
        <v>1051</v>
      </c>
      <c r="CO104" s="756" t="s">
        <v>733</v>
      </c>
      <c r="CP104" s="757" t="s">
        <v>734</v>
      </c>
      <c r="CQ104" s="758" t="s">
        <v>735</v>
      </c>
      <c r="CR104" s="759"/>
      <c r="CS104" s="760"/>
      <c r="CT104" s="761"/>
      <c r="CU104" s="762"/>
      <c r="CV104" s="763"/>
      <c r="CW104" s="764"/>
      <c r="CX104" s="764"/>
      <c r="CY104" s="765"/>
      <c r="CZ104" s="766"/>
      <c r="DA104" s="767"/>
      <c r="DB104" s="768"/>
      <c r="DC104" s="769"/>
      <c r="DD104" s="768"/>
      <c r="DE104" s="770"/>
      <c r="DF104" s="768"/>
      <c r="DG104" s="770"/>
      <c r="DH104" s="771">
        <f t="shared" si="78"/>
        <v>10000</v>
      </c>
      <c r="DI104" s="772"/>
      <c r="DJ104" s="773"/>
      <c r="DK104" s="773"/>
      <c r="DL104" s="773"/>
      <c r="DM104" s="773"/>
      <c r="DN104" s="773"/>
      <c r="DO104" s="773"/>
      <c r="DP104" s="773"/>
      <c r="DQ104" s="774"/>
      <c r="DR104" s="772"/>
      <c r="DS104" s="773"/>
      <c r="DT104" s="773"/>
      <c r="DU104" s="773"/>
      <c r="DV104" s="773"/>
      <c r="DW104" s="773"/>
      <c r="DX104" s="773"/>
      <c r="DY104" s="773"/>
      <c r="DZ104" s="775"/>
      <c r="EA104" s="776" t="s">
        <v>741</v>
      </c>
      <c r="EB104" s="777" t="s">
        <v>1052</v>
      </c>
      <c r="EC104" s="778" t="s">
        <v>737</v>
      </c>
      <c r="ED104" s="779" t="s">
        <v>736</v>
      </c>
      <c r="EE104" s="780" t="s">
        <v>738</v>
      </c>
      <c r="EF104" s="780" t="s">
        <v>739</v>
      </c>
      <c r="EG104" s="780" t="s">
        <v>525</v>
      </c>
      <c r="EH104" s="780"/>
      <c r="EI104" s="781"/>
      <c r="EJ104" s="781"/>
      <c r="EK104" s="781"/>
      <c r="EL104" s="781"/>
      <c r="EM104" s="782"/>
      <c r="EN104" s="783"/>
      <c r="EO104" s="780"/>
      <c r="EP104" s="780"/>
      <c r="EQ104" s="781"/>
      <c r="ER104" s="784"/>
      <c r="ES104" s="785"/>
      <c r="ET104" s="786"/>
      <c r="EU104" s="785"/>
      <c r="EV104" s="786"/>
      <c r="EW104" s="785"/>
      <c r="EX104" s="786"/>
      <c r="EY104" s="785"/>
      <c r="EZ104" s="786"/>
      <c r="FA104" s="785"/>
      <c r="FB104" s="786"/>
      <c r="FC104" s="785"/>
      <c r="FD104" s="786"/>
      <c r="FE104" s="785"/>
      <c r="FF104" s="786"/>
      <c r="FG104" s="785"/>
      <c r="FH104" s="786"/>
      <c r="FI104" s="787"/>
      <c r="FJ104" s="788"/>
      <c r="FK104" s="789"/>
      <c r="FL104" s="790"/>
      <c r="FM104" s="785"/>
      <c r="FN104" s="790"/>
      <c r="FO104" s="789"/>
      <c r="FP104" s="790"/>
      <c r="FQ104" s="789"/>
      <c r="FR104" s="790"/>
      <c r="FS104" s="785"/>
      <c r="FT104" s="786"/>
      <c r="FU104" s="785"/>
      <c r="FV104" s="786"/>
      <c r="FW104" s="785"/>
      <c r="FX104" s="786"/>
      <c r="FY104" s="791"/>
      <c r="FZ104" s="792"/>
      <c r="GA104" s="792"/>
      <c r="GB104" s="792"/>
      <c r="GC104" s="792"/>
      <c r="GD104" s="792"/>
      <c r="GE104" s="792"/>
      <c r="GF104" s="792"/>
      <c r="GG104" s="792"/>
      <c r="GH104" s="792"/>
      <c r="GI104" s="792"/>
      <c r="GJ104" s="792"/>
      <c r="GK104" s="792"/>
      <c r="GL104" s="792"/>
      <c r="GM104" s="792"/>
      <c r="GN104" s="792"/>
      <c r="GO104" s="792"/>
      <c r="GP104" s="792"/>
      <c r="GQ104" s="792"/>
      <c r="GR104" s="792"/>
      <c r="GS104" s="792"/>
      <c r="GT104" s="792"/>
      <c r="GU104" s="792"/>
      <c r="GV104" s="793"/>
      <c r="GW104" s="791"/>
      <c r="GX104" s="792"/>
      <c r="GY104" s="792"/>
      <c r="GZ104" s="792"/>
      <c r="HA104" s="792"/>
      <c r="HB104" s="792"/>
      <c r="HC104" s="792"/>
      <c r="HD104" s="792"/>
      <c r="HE104" s="792"/>
      <c r="HF104" s="792"/>
      <c r="HG104" s="792"/>
      <c r="HH104" s="792"/>
      <c r="HI104" s="792"/>
      <c r="HJ104" s="792"/>
      <c r="HK104" s="792"/>
      <c r="HL104" s="792"/>
      <c r="HM104" s="792"/>
      <c r="HN104" s="792"/>
      <c r="HO104" s="792"/>
      <c r="HP104" s="792"/>
      <c r="HQ104" s="792"/>
      <c r="HR104" s="792"/>
      <c r="HS104" s="792"/>
      <c r="HT104" s="794"/>
      <c r="IG104" s="796"/>
      <c r="IH104" s="796"/>
      <c r="II104" s="796"/>
      <c r="IJ104" s="796"/>
      <c r="IK104" s="796"/>
      <c r="IL104" s="796"/>
      <c r="IM104" s="796"/>
      <c r="IN104" s="796"/>
      <c r="IO104" s="796"/>
      <c r="IP104" s="796"/>
      <c r="IQ104" s="796"/>
      <c r="IR104" s="796"/>
      <c r="JE104" s="796"/>
      <c r="JF104" s="796"/>
      <c r="JG104" s="796"/>
      <c r="JH104" s="796"/>
      <c r="JI104" s="796"/>
      <c r="JJ104" s="796"/>
      <c r="JK104" s="796"/>
      <c r="JL104" s="796"/>
      <c r="JM104" s="796"/>
      <c r="JN104" s="796"/>
      <c r="JO104" s="796"/>
      <c r="JP104" s="796"/>
    </row>
    <row r="105" spans="1:276" s="795" customFormat="1">
      <c r="A105" s="731">
        <f t="shared" si="2"/>
        <v>101</v>
      </c>
      <c r="B105" s="732" t="s">
        <v>206</v>
      </c>
      <c r="C105" s="733" t="s">
        <v>1218</v>
      </c>
      <c r="D105" s="734" t="s">
        <v>1276</v>
      </c>
      <c r="E105" s="735"/>
      <c r="F105" s="736"/>
      <c r="G105" s="737" t="s">
        <v>745</v>
      </c>
      <c r="H105" s="738" t="str">
        <f t="shared" si="76"/>
        <v>北投區</v>
      </c>
      <c r="I105" s="738" t="s">
        <v>746</v>
      </c>
      <c r="J105" s="738" t="s">
        <v>758</v>
      </c>
      <c r="K105" s="738" t="s">
        <v>1054</v>
      </c>
      <c r="L105" s="739">
        <v>32.44</v>
      </c>
      <c r="M105" s="738" t="s">
        <v>482</v>
      </c>
      <c r="N105" s="740">
        <v>46183</v>
      </c>
      <c r="O105" s="740">
        <f t="shared" si="77"/>
        <v>46547</v>
      </c>
      <c r="P105" s="741">
        <v>9700</v>
      </c>
      <c r="Q105" s="742">
        <v>4000</v>
      </c>
      <c r="R105" s="726" t="s">
        <v>1274</v>
      </c>
      <c r="S105" s="744">
        <v>2400</v>
      </c>
      <c r="T105" s="726" t="s">
        <v>1274</v>
      </c>
      <c r="U105" s="744"/>
      <c r="V105" s="745"/>
      <c r="W105" s="744"/>
      <c r="X105" s="743"/>
      <c r="Y105" s="746"/>
      <c r="Z105" s="726"/>
      <c r="AA105" s="746"/>
      <c r="AB105" s="726"/>
      <c r="AC105" s="746"/>
      <c r="AD105" s="726"/>
      <c r="AE105" s="746"/>
      <c r="AF105" s="726"/>
      <c r="AG105" s="746"/>
      <c r="AH105" s="747"/>
      <c r="AI105" s="746"/>
      <c r="AJ105" s="747"/>
      <c r="AK105" s="746"/>
      <c r="AL105" s="747"/>
      <c r="AM105" s="746"/>
      <c r="AN105" s="726"/>
      <c r="AO105" s="723"/>
      <c r="AP105" s="748"/>
      <c r="AQ105" s="749"/>
      <c r="AR105" s="750"/>
      <c r="AS105" s="751"/>
      <c r="AT105" s="750"/>
      <c r="AU105" s="750"/>
      <c r="AV105" s="750"/>
      <c r="AW105" s="750"/>
      <c r="AX105" s="750"/>
      <c r="AY105" s="750"/>
      <c r="AZ105" s="750"/>
      <c r="BA105" s="750"/>
      <c r="BB105" s="750"/>
      <c r="BC105" s="750"/>
      <c r="BD105" s="750"/>
      <c r="BE105" s="750"/>
      <c r="BF105" s="750"/>
      <c r="BG105" s="750"/>
      <c r="BH105" s="750"/>
      <c r="BI105" s="750"/>
      <c r="BJ105" s="750"/>
      <c r="BK105" s="750"/>
      <c r="BL105" s="750"/>
      <c r="BM105" s="750"/>
      <c r="BN105" s="752"/>
      <c r="BO105" s="749"/>
      <c r="BP105" s="750"/>
      <c r="BQ105" s="750"/>
      <c r="BR105" s="750"/>
      <c r="BS105" s="750"/>
      <c r="BT105" s="750"/>
      <c r="BU105" s="750"/>
      <c r="BV105" s="750"/>
      <c r="BW105" s="750"/>
      <c r="BX105" s="750"/>
      <c r="BY105" s="750"/>
      <c r="BZ105" s="750"/>
      <c r="CA105" s="750"/>
      <c r="CB105" s="750"/>
      <c r="CC105" s="750"/>
      <c r="CD105" s="750"/>
      <c r="CE105" s="750"/>
      <c r="CF105" s="750"/>
      <c r="CG105" s="750"/>
      <c r="CH105" s="750"/>
      <c r="CI105" s="750"/>
      <c r="CJ105" s="750"/>
      <c r="CK105" s="750"/>
      <c r="CL105" s="753"/>
      <c r="CM105" s="754" t="s">
        <v>1055</v>
      </c>
      <c r="CN105" s="755" t="s">
        <v>1056</v>
      </c>
      <c r="CO105" s="756" t="s">
        <v>763</v>
      </c>
      <c r="CP105" s="757" t="s">
        <v>764</v>
      </c>
      <c r="CQ105" s="758" t="s">
        <v>745</v>
      </c>
      <c r="CR105" s="759"/>
      <c r="CS105" s="760"/>
      <c r="CT105" s="761"/>
      <c r="CU105" s="762"/>
      <c r="CV105" s="763"/>
      <c r="CW105" s="764"/>
      <c r="CX105" s="764"/>
      <c r="CY105" s="765"/>
      <c r="CZ105" s="766"/>
      <c r="DA105" s="767"/>
      <c r="DB105" s="768"/>
      <c r="DC105" s="769"/>
      <c r="DD105" s="768"/>
      <c r="DE105" s="770"/>
      <c r="DF105" s="768"/>
      <c r="DG105" s="770"/>
      <c r="DH105" s="771">
        <f t="shared" si="78"/>
        <v>10000</v>
      </c>
      <c r="DI105" s="772"/>
      <c r="DJ105" s="773"/>
      <c r="DK105" s="773"/>
      <c r="DL105" s="773"/>
      <c r="DM105" s="773"/>
      <c r="DN105" s="773"/>
      <c r="DO105" s="773"/>
      <c r="DP105" s="773"/>
      <c r="DQ105" s="774"/>
      <c r="DR105" s="772"/>
      <c r="DS105" s="773"/>
      <c r="DT105" s="773"/>
      <c r="DU105" s="773"/>
      <c r="DV105" s="773"/>
      <c r="DW105" s="773"/>
      <c r="DX105" s="773"/>
      <c r="DY105" s="773"/>
      <c r="DZ105" s="775"/>
      <c r="EA105" s="776" t="s">
        <v>755</v>
      </c>
      <c r="EB105" s="777" t="s">
        <v>1057</v>
      </c>
      <c r="EC105" s="778" t="s">
        <v>766</v>
      </c>
      <c r="ED105" s="779" t="s">
        <v>765</v>
      </c>
      <c r="EE105" s="780" t="s">
        <v>767</v>
      </c>
      <c r="EF105" s="780" t="s">
        <v>768</v>
      </c>
      <c r="EG105" s="780" t="s">
        <v>771</v>
      </c>
      <c r="EH105" s="780" t="s">
        <v>769</v>
      </c>
      <c r="EI105" s="781" t="s">
        <v>770</v>
      </c>
      <c r="EJ105" s="781" t="s">
        <v>525</v>
      </c>
      <c r="EK105" s="781"/>
      <c r="EL105" s="781"/>
      <c r="EM105" s="782"/>
      <c r="EN105" s="783"/>
      <c r="EO105" s="780"/>
      <c r="EP105" s="780"/>
      <c r="EQ105" s="781"/>
      <c r="ER105" s="784"/>
      <c r="ES105" s="785"/>
      <c r="ET105" s="786"/>
      <c r="EU105" s="785"/>
      <c r="EV105" s="786"/>
      <c r="EW105" s="785"/>
      <c r="EX105" s="786"/>
      <c r="EY105" s="785"/>
      <c r="EZ105" s="786"/>
      <c r="FA105" s="785"/>
      <c r="FB105" s="786"/>
      <c r="FC105" s="785"/>
      <c r="FD105" s="786"/>
      <c r="FE105" s="785"/>
      <c r="FF105" s="786"/>
      <c r="FG105" s="785"/>
      <c r="FH105" s="786"/>
      <c r="FI105" s="787"/>
      <c r="FJ105" s="788"/>
      <c r="FK105" s="789"/>
      <c r="FL105" s="790"/>
      <c r="FM105" s="785"/>
      <c r="FN105" s="790"/>
      <c r="FO105" s="789"/>
      <c r="FP105" s="790"/>
      <c r="FQ105" s="789"/>
      <c r="FR105" s="790"/>
      <c r="FS105" s="785"/>
      <c r="FT105" s="786"/>
      <c r="FU105" s="785"/>
      <c r="FV105" s="786"/>
      <c r="FW105" s="785"/>
      <c r="FX105" s="786"/>
      <c r="FY105" s="791"/>
      <c r="FZ105" s="792"/>
      <c r="GA105" s="792"/>
      <c r="GB105" s="792"/>
      <c r="GC105" s="792"/>
      <c r="GD105" s="792"/>
      <c r="GE105" s="792"/>
      <c r="GF105" s="792"/>
      <c r="GG105" s="792"/>
      <c r="GH105" s="792"/>
      <c r="GI105" s="792"/>
      <c r="GJ105" s="792"/>
      <c r="GK105" s="792"/>
      <c r="GL105" s="792"/>
      <c r="GM105" s="792"/>
      <c r="GN105" s="792"/>
      <c r="GO105" s="792"/>
      <c r="GP105" s="792"/>
      <c r="GQ105" s="792"/>
      <c r="GR105" s="792"/>
      <c r="GS105" s="792"/>
      <c r="GT105" s="792"/>
      <c r="GU105" s="792"/>
      <c r="GV105" s="793"/>
      <c r="GW105" s="791"/>
      <c r="GX105" s="792"/>
      <c r="GY105" s="792"/>
      <c r="GZ105" s="792"/>
      <c r="HA105" s="792"/>
      <c r="HB105" s="792"/>
      <c r="HC105" s="792"/>
      <c r="HD105" s="792"/>
      <c r="HE105" s="792"/>
      <c r="HF105" s="792"/>
      <c r="HG105" s="792"/>
      <c r="HH105" s="792"/>
      <c r="HI105" s="792"/>
      <c r="HJ105" s="792"/>
      <c r="HK105" s="792"/>
      <c r="HL105" s="792"/>
      <c r="HM105" s="792"/>
      <c r="HN105" s="792"/>
      <c r="HO105" s="792"/>
      <c r="HP105" s="792"/>
      <c r="HQ105" s="792"/>
      <c r="HR105" s="792"/>
      <c r="HS105" s="792"/>
      <c r="HT105" s="794"/>
      <c r="IG105" s="796"/>
      <c r="IH105" s="796"/>
      <c r="II105" s="796"/>
      <c r="IJ105" s="796"/>
      <c r="IK105" s="796"/>
      <c r="IL105" s="796"/>
      <c r="IM105" s="796"/>
      <c r="IN105" s="796"/>
      <c r="IO105" s="796"/>
      <c r="IP105" s="796"/>
      <c r="IQ105" s="796"/>
      <c r="IR105" s="796"/>
      <c r="JE105" s="796"/>
      <c r="JF105" s="796"/>
      <c r="JG105" s="796"/>
      <c r="JH105" s="796"/>
      <c r="JI105" s="796"/>
      <c r="JJ105" s="796"/>
      <c r="JK105" s="796"/>
      <c r="JL105" s="796"/>
      <c r="JM105" s="796"/>
      <c r="JN105" s="796"/>
      <c r="JO105" s="796"/>
      <c r="JP105" s="796"/>
    </row>
    <row r="106" spans="1:276">
      <c r="A106" s="199">
        <f t="shared" ref="A106" si="79">ROW()-4</f>
        <v>102</v>
      </c>
      <c r="B106" s="273" t="s">
        <v>206</v>
      </c>
    </row>
    <row r="255" spans="1:276">
      <c r="A255" s="591"/>
      <c r="B255" s="462"/>
      <c r="C255" s="444"/>
      <c r="D255" s="419" t="s">
        <v>79</v>
      </c>
      <c r="E255" s="421"/>
      <c r="F255" s="592"/>
      <c r="G255" s="593"/>
      <c r="H255" s="594"/>
      <c r="I255" s="594"/>
      <c r="J255" s="595"/>
      <c r="K255" s="595"/>
      <c r="L255" s="594"/>
      <c r="M255" s="594"/>
      <c r="N255" s="596"/>
      <c r="O255" s="596"/>
      <c r="P255" s="597"/>
      <c r="Q255" s="598">
        <f>SUM(Q5:Q254)</f>
        <v>808000</v>
      </c>
      <c r="R255" s="428"/>
      <c r="S255" s="598">
        <f>SUM(S5:S254)</f>
        <v>242400</v>
      </c>
      <c r="T255" s="428"/>
      <c r="U255" s="598">
        <f>SUM(U5:U254)</f>
        <v>237600</v>
      </c>
      <c r="V255" s="599"/>
      <c r="W255" s="598">
        <f>SUM(W5:W254)</f>
        <v>237600</v>
      </c>
      <c r="X255" s="599"/>
      <c r="Y255" s="598">
        <f>SUM(Y5:Y254)</f>
        <v>228000</v>
      </c>
      <c r="Z255" s="599"/>
      <c r="AA255" s="598">
        <f>SUM(AA5:AA254)</f>
        <v>220800</v>
      </c>
      <c r="AB255" s="599"/>
      <c r="AC255" s="598">
        <f>SUM(AC5:AC254)</f>
        <v>218400</v>
      </c>
      <c r="AD255" s="599"/>
      <c r="AE255" s="598">
        <f>SUM(AE5:AE254)</f>
        <v>208800</v>
      </c>
      <c r="AF255" s="599"/>
      <c r="AG255" s="598">
        <f>SUM(AG5:AG254)</f>
        <v>201600</v>
      </c>
      <c r="AH255" s="599"/>
      <c r="AI255" s="598">
        <f>SUM(AI5:AI254)</f>
        <v>199200</v>
      </c>
      <c r="AJ255" s="599"/>
      <c r="AK255" s="598">
        <f>SUM(AK5:AK254)</f>
        <v>184800</v>
      </c>
      <c r="AL255" s="599"/>
      <c r="AM255" s="598">
        <f>SUM(AM5:AM254)</f>
        <v>170400</v>
      </c>
      <c r="AN255" s="599"/>
      <c r="AO255" s="598">
        <f>SUM(AO5:AO254)</f>
        <v>153600</v>
      </c>
      <c r="AP255" s="599"/>
      <c r="AQ255" s="433"/>
      <c r="AR255" s="440"/>
      <c r="AS255" s="600"/>
      <c r="AT255" s="440"/>
      <c r="AU255" s="440"/>
      <c r="AV255" s="440"/>
      <c r="AW255" s="440"/>
      <c r="AX255" s="440"/>
      <c r="AY255" s="440"/>
      <c r="AZ255" s="440"/>
      <c r="BA255" s="440"/>
      <c r="BB255" s="440"/>
      <c r="BC255" s="440"/>
      <c r="BD255" s="440"/>
      <c r="BE255" s="440"/>
      <c r="BF255" s="440"/>
      <c r="BG255" s="440"/>
      <c r="BH255" s="440"/>
      <c r="BI255" s="440"/>
      <c r="BJ255" s="440"/>
      <c r="BK255" s="440"/>
      <c r="BL255" s="440"/>
      <c r="BM255" s="440"/>
      <c r="BN255" s="452"/>
      <c r="BO255" s="433"/>
      <c r="BP255" s="440"/>
      <c r="BQ255" s="440"/>
      <c r="BR255" s="440"/>
      <c r="BS255" s="440"/>
      <c r="BT255" s="440"/>
      <c r="BU255" s="440"/>
      <c r="BV255" s="440"/>
      <c r="BW255" s="440"/>
      <c r="BX255" s="440"/>
      <c r="BY255" s="440"/>
      <c r="BZ255" s="440"/>
      <c r="CA255" s="440"/>
      <c r="CB255" s="440"/>
      <c r="CC255" s="440"/>
      <c r="CD255" s="440"/>
      <c r="CE255" s="440"/>
      <c r="CF255" s="440"/>
      <c r="CG255" s="440"/>
      <c r="CH255" s="440"/>
      <c r="CI255" s="440"/>
      <c r="CJ255" s="440"/>
      <c r="CK255" s="440"/>
      <c r="CL255" s="461"/>
      <c r="CM255" s="601"/>
      <c r="CN255" s="594"/>
      <c r="CO255" s="602"/>
      <c r="CP255" s="603"/>
      <c r="CQ255" s="604"/>
      <c r="CR255" s="605"/>
      <c r="CS255" s="606"/>
      <c r="CT255" s="607">
        <f>SUM(CT5:CT254)</f>
        <v>87750</v>
      </c>
      <c r="CU255" s="599"/>
      <c r="CV255" s="600"/>
      <c r="CW255" s="440"/>
      <c r="CX255" s="440"/>
      <c r="CY255" s="452"/>
      <c r="CZ255" s="458">
        <f>SUM(CZ5:CZ254)</f>
        <v>331056</v>
      </c>
      <c r="DA255" s="430"/>
      <c r="DB255" s="460">
        <f>SUM(DB5:DB254)</f>
        <v>112466</v>
      </c>
      <c r="DC255" s="435"/>
      <c r="DD255" s="460">
        <f>SUM(DD5:DD254)</f>
        <v>25338</v>
      </c>
      <c r="DE255" s="435"/>
      <c r="DF255" s="460">
        <f>SUM(DF5:DF254)</f>
        <v>0</v>
      </c>
      <c r="DG255" s="435"/>
      <c r="DH255" s="608"/>
      <c r="DI255" s="609"/>
      <c r="DJ255" s="610"/>
      <c r="DK255" s="610"/>
      <c r="DL255" s="610"/>
      <c r="DM255" s="610"/>
      <c r="DN255" s="610"/>
      <c r="DO255" s="610"/>
      <c r="DP255" s="610"/>
      <c r="DQ255" s="611"/>
      <c r="DR255" s="609"/>
      <c r="DS255" s="610"/>
      <c r="DT255" s="610"/>
      <c r="DU255" s="610"/>
      <c r="DV255" s="610"/>
      <c r="DW255" s="610"/>
      <c r="DX255" s="610"/>
      <c r="DY255" s="610"/>
      <c r="DZ255" s="612"/>
      <c r="EA255" s="613"/>
      <c r="EB255" s="601"/>
      <c r="EC255" s="594"/>
      <c r="ED255" s="603"/>
      <c r="EE255" s="595"/>
      <c r="EF255" s="595"/>
      <c r="EG255" s="595"/>
      <c r="EH255" s="595"/>
      <c r="EI255" s="614"/>
      <c r="EJ255" s="614"/>
      <c r="EK255" s="614"/>
      <c r="EL255" s="614"/>
      <c r="EM255" s="615"/>
      <c r="EN255" s="602"/>
      <c r="EO255" s="595"/>
      <c r="EP255" s="595"/>
      <c r="EQ255" s="614"/>
      <c r="ER255" s="595"/>
      <c r="ES255" s="595"/>
      <c r="ET255" s="614"/>
      <c r="EU255" s="607">
        <f>SUM(EU5:EU254)</f>
        <v>0</v>
      </c>
      <c r="EV255" s="440"/>
      <c r="EW255" s="440"/>
      <c r="EX255" s="440"/>
      <c r="EY255" s="440"/>
      <c r="EZ255" s="452"/>
      <c r="FA255" s="616">
        <f>SUM(FA5:FA254)</f>
        <v>0</v>
      </c>
      <c r="FB255" s="440"/>
      <c r="FC255" s="460">
        <f>SUM(FC5:FC254)</f>
        <v>0</v>
      </c>
      <c r="FD255" s="440"/>
      <c r="FE255" s="460">
        <f>SUM(FE5:FE254)</f>
        <v>0</v>
      </c>
      <c r="FF255" s="440"/>
      <c r="FG255" s="460">
        <f>SUM(FG5:FG254)</f>
        <v>0</v>
      </c>
      <c r="FH255" s="440"/>
      <c r="FI255" s="460">
        <f>SUM(FI5:FI254)</f>
        <v>0</v>
      </c>
      <c r="FJ255" s="440"/>
      <c r="FK255" s="460">
        <f>SUM(FK5:FK254)</f>
        <v>0</v>
      </c>
      <c r="FL255" s="440"/>
      <c r="FM255" s="460">
        <f>SUM(FM5:FM254)</f>
        <v>0</v>
      </c>
      <c r="FN255" s="440"/>
      <c r="FO255" s="460">
        <f>SUM(FO5:FO254)</f>
        <v>0</v>
      </c>
      <c r="FP255" s="440"/>
      <c r="FQ255" s="460">
        <f>SUM(FQ5:FQ254)</f>
        <v>0</v>
      </c>
      <c r="FR255" s="440"/>
      <c r="FS255" s="460">
        <f>SUM(FS5:FS254)</f>
        <v>0</v>
      </c>
      <c r="FT255" s="440"/>
      <c r="FU255" s="460">
        <f>SUM(FU5:FU254)</f>
        <v>0</v>
      </c>
      <c r="FV255" s="440"/>
      <c r="FW255" s="460">
        <f>SUM(FW5:FW254)</f>
        <v>0</v>
      </c>
      <c r="FX255" s="452"/>
      <c r="HU255" s="588"/>
      <c r="HV255" s="588"/>
      <c r="HW255" s="588"/>
      <c r="HX255" s="588"/>
      <c r="HY255" s="588"/>
      <c r="HZ255" s="588"/>
      <c r="IA255" s="588"/>
      <c r="IB255" s="588"/>
      <c r="IC255" s="588"/>
      <c r="ID255" s="588"/>
      <c r="IE255" s="588"/>
      <c r="IF255" s="588"/>
      <c r="IG255" s="588"/>
      <c r="IH255" s="588"/>
      <c r="II255" s="588"/>
      <c r="IJ255" s="588"/>
      <c r="IK255" s="588"/>
      <c r="IL255" s="588"/>
      <c r="IM255" s="588"/>
      <c r="IN255" s="588"/>
      <c r="IO255" s="588"/>
      <c r="IP255" s="588"/>
      <c r="IQ255" s="588"/>
      <c r="IR255" s="588"/>
      <c r="IS255" s="588"/>
      <c r="IT255" s="588"/>
      <c r="IU255" s="588"/>
      <c r="IV255" s="588"/>
      <c r="IW255" s="588"/>
      <c r="IX255" s="588"/>
      <c r="IY255" s="588"/>
      <c r="IZ255" s="588"/>
      <c r="JA255" s="588"/>
      <c r="JB255" s="588"/>
      <c r="JC255" s="588"/>
      <c r="JD255" s="588"/>
      <c r="JE255" s="588"/>
      <c r="JF255" s="588"/>
      <c r="JG255" s="588"/>
      <c r="JH255" s="588"/>
      <c r="JI255" s="588"/>
      <c r="JJ255" s="588"/>
      <c r="JK255" s="588"/>
      <c r="JL255" s="588"/>
      <c r="JM255" s="588"/>
      <c r="JN255" s="588"/>
      <c r="JO255" s="588"/>
      <c r="JP255" s="588"/>
    </row>
    <row r="256" spans="1:276">
      <c r="A256" s="591"/>
      <c r="B256" s="462"/>
      <c r="C256" s="444"/>
      <c r="D256" s="419" t="s">
        <v>77</v>
      </c>
      <c r="E256" s="421"/>
      <c r="F256" s="592"/>
      <c r="G256" s="593"/>
      <c r="H256" s="594"/>
      <c r="I256" s="594"/>
      <c r="J256" s="595"/>
      <c r="K256" s="595"/>
      <c r="L256" s="594"/>
      <c r="M256" s="594"/>
      <c r="N256" s="596"/>
      <c r="O256" s="596"/>
      <c r="P256" s="597"/>
      <c r="Q256" s="598"/>
      <c r="R256" s="428"/>
      <c r="S256" s="617">
        <f>SUM(S255:AP255)</f>
        <v>2503200</v>
      </c>
      <c r="T256" s="428"/>
      <c r="U256" s="458"/>
      <c r="V256" s="599"/>
      <c r="W256" s="458"/>
      <c r="X256" s="599"/>
      <c r="Y256" s="458"/>
      <c r="Z256" s="599"/>
      <c r="AA256" s="458"/>
      <c r="AB256" s="599"/>
      <c r="AC256" s="458"/>
      <c r="AD256" s="599"/>
      <c r="AE256" s="458"/>
      <c r="AF256" s="599"/>
      <c r="AG256" s="458"/>
      <c r="AH256" s="599"/>
      <c r="AI256" s="458"/>
      <c r="AJ256" s="599"/>
      <c r="AK256" s="458"/>
      <c r="AL256" s="599"/>
      <c r="AM256" s="458"/>
      <c r="AN256" s="599"/>
      <c r="AO256" s="458"/>
      <c r="AP256" s="599"/>
      <c r="AQ256" s="433"/>
      <c r="AR256" s="440"/>
      <c r="AS256" s="600"/>
      <c r="AT256" s="440"/>
      <c r="AU256" s="440"/>
      <c r="AV256" s="440"/>
      <c r="AW256" s="440"/>
      <c r="AX256" s="440"/>
      <c r="AY256" s="440"/>
      <c r="AZ256" s="440"/>
      <c r="BA256" s="440"/>
      <c r="BB256" s="440"/>
      <c r="BC256" s="440"/>
      <c r="BD256" s="440"/>
      <c r="BE256" s="440"/>
      <c r="BF256" s="440"/>
      <c r="BG256" s="440"/>
      <c r="BH256" s="440"/>
      <c r="BI256" s="440"/>
      <c r="BJ256" s="440"/>
      <c r="BK256" s="440"/>
      <c r="BL256" s="440"/>
      <c r="BM256" s="440"/>
      <c r="BN256" s="452"/>
      <c r="BO256" s="433"/>
      <c r="BP256" s="440"/>
      <c r="BQ256" s="440"/>
      <c r="BR256" s="440"/>
      <c r="BS256" s="440"/>
      <c r="BT256" s="440"/>
      <c r="BU256" s="440"/>
      <c r="BV256" s="440"/>
      <c r="BW256" s="440"/>
      <c r="BX256" s="440"/>
      <c r="BY256" s="440"/>
      <c r="BZ256" s="440"/>
      <c r="CA256" s="440"/>
      <c r="CB256" s="440"/>
      <c r="CC256" s="440"/>
      <c r="CD256" s="440"/>
      <c r="CE256" s="440"/>
      <c r="CF256" s="440"/>
      <c r="CG256" s="440"/>
      <c r="CH256" s="440"/>
      <c r="CI256" s="440"/>
      <c r="CJ256" s="440"/>
      <c r="CK256" s="440"/>
      <c r="CL256" s="461"/>
      <c r="CM256" s="601"/>
      <c r="CN256" s="594"/>
      <c r="CO256" s="602"/>
      <c r="CP256" s="603"/>
      <c r="CQ256" s="604"/>
      <c r="CR256" s="605"/>
      <c r="CS256" s="606"/>
      <c r="CT256" s="607"/>
      <c r="CU256" s="599"/>
      <c r="CV256" s="600"/>
      <c r="CW256" s="440"/>
      <c r="CX256" s="440"/>
      <c r="CY256" s="452"/>
      <c r="CZ256" s="458">
        <f>SUM(CZ255:DG255)</f>
        <v>468860</v>
      </c>
      <c r="DA256" s="430"/>
      <c r="DB256" s="460"/>
      <c r="DC256" s="435"/>
      <c r="DD256" s="460"/>
      <c r="DE256" s="435"/>
      <c r="DF256" s="460"/>
      <c r="DG256" s="435"/>
      <c r="DH256" s="608"/>
      <c r="DI256" s="609"/>
      <c r="DJ256" s="610"/>
      <c r="DK256" s="610"/>
      <c r="DL256" s="610"/>
      <c r="DM256" s="610"/>
      <c r="DN256" s="610"/>
      <c r="DO256" s="610"/>
      <c r="DP256" s="610"/>
      <c r="DQ256" s="611"/>
      <c r="DR256" s="609"/>
      <c r="DS256" s="610"/>
      <c r="DT256" s="610"/>
      <c r="DU256" s="610"/>
      <c r="DV256" s="610"/>
      <c r="DW256" s="610"/>
      <c r="DX256" s="610"/>
      <c r="DY256" s="610"/>
      <c r="DZ256" s="612"/>
      <c r="EA256" s="613"/>
      <c r="EB256" s="601"/>
      <c r="EC256" s="594"/>
      <c r="ED256" s="603"/>
      <c r="EE256" s="595"/>
      <c r="EF256" s="595"/>
      <c r="EG256" s="595"/>
      <c r="EH256" s="595"/>
      <c r="EI256" s="614"/>
      <c r="EJ256" s="614"/>
      <c r="EK256" s="614"/>
      <c r="EL256" s="614"/>
      <c r="EM256" s="615"/>
      <c r="EN256" s="602"/>
      <c r="EO256" s="595"/>
      <c r="EP256" s="595"/>
      <c r="EQ256" s="614"/>
      <c r="ER256" s="595"/>
      <c r="ES256" s="595"/>
      <c r="ET256" s="614"/>
      <c r="EU256" s="607">
        <f>SUM(EU255,CT255)</f>
        <v>87750</v>
      </c>
      <c r="EV256" s="440"/>
      <c r="EW256" s="440"/>
      <c r="EX256" s="440"/>
      <c r="EY256" s="440"/>
      <c r="EZ256" s="452"/>
      <c r="FA256" s="618">
        <f>SUM(FA255:FX255)</f>
        <v>0</v>
      </c>
      <c r="FB256" s="619"/>
      <c r="FC256" s="460"/>
      <c r="FD256" s="440"/>
      <c r="FE256" s="460"/>
      <c r="FF256" s="440"/>
      <c r="FG256" s="460"/>
      <c r="FH256" s="440"/>
      <c r="FI256" s="460"/>
      <c r="FJ256" s="440"/>
      <c r="FK256" s="460"/>
      <c r="FL256" s="440"/>
      <c r="FM256" s="460"/>
      <c r="FN256" s="440"/>
      <c r="FO256" s="460"/>
      <c r="FP256" s="440"/>
      <c r="FQ256" s="460"/>
      <c r="FR256" s="440"/>
      <c r="FS256" s="460"/>
      <c r="FT256" s="440"/>
      <c r="FU256" s="460"/>
      <c r="FV256" s="440"/>
      <c r="FW256" s="460"/>
      <c r="FX256" s="452"/>
      <c r="HU256" s="588"/>
      <c r="HV256" s="588"/>
      <c r="HW256" s="588"/>
      <c r="HX256" s="588"/>
      <c r="HY256" s="588"/>
      <c r="HZ256" s="588"/>
      <c r="IA256" s="588"/>
      <c r="IB256" s="588"/>
      <c r="IC256" s="588"/>
      <c r="ID256" s="588"/>
      <c r="IE256" s="588"/>
      <c r="IF256" s="588"/>
      <c r="IG256" s="588"/>
      <c r="IH256" s="588"/>
      <c r="II256" s="588"/>
      <c r="IJ256" s="588"/>
      <c r="IK256" s="588"/>
      <c r="IL256" s="588"/>
      <c r="IM256" s="588"/>
      <c r="IN256" s="588"/>
      <c r="IO256" s="588"/>
      <c r="IP256" s="588"/>
      <c r="IQ256" s="588"/>
      <c r="IR256" s="588"/>
      <c r="IS256" s="588"/>
      <c r="IT256" s="588"/>
      <c r="IU256" s="588"/>
      <c r="IV256" s="588"/>
      <c r="IW256" s="588"/>
      <c r="IX256" s="588"/>
      <c r="IY256" s="588"/>
      <c r="IZ256" s="588"/>
      <c r="JA256" s="588"/>
      <c r="JB256" s="588"/>
      <c r="JC256" s="588"/>
      <c r="JD256" s="588"/>
      <c r="JE256" s="588"/>
      <c r="JF256" s="588"/>
      <c r="JG256" s="588"/>
      <c r="JH256" s="588"/>
      <c r="JI256" s="588"/>
      <c r="JJ256" s="588"/>
      <c r="JK256" s="588"/>
      <c r="JL256" s="588"/>
      <c r="JM256" s="588"/>
      <c r="JN256" s="588"/>
      <c r="JO256" s="588"/>
      <c r="JP256" s="588"/>
    </row>
    <row r="257" spans="1:276" s="665" customFormat="1">
      <c r="A257" s="620"/>
      <c r="B257" s="621"/>
      <c r="C257" s="622"/>
      <c r="D257" s="623" t="s">
        <v>125</v>
      </c>
      <c r="E257" s="624"/>
      <c r="F257" s="625"/>
      <c r="G257" s="626"/>
      <c r="H257" s="562"/>
      <c r="I257" s="562"/>
      <c r="J257" s="541"/>
      <c r="K257" s="541"/>
      <c r="L257" s="562"/>
      <c r="M257" s="562"/>
      <c r="N257" s="627"/>
      <c r="O257" s="627"/>
      <c r="P257" s="628"/>
      <c r="Q257" s="629">
        <f>SUM(Q7)</f>
        <v>8000</v>
      </c>
      <c r="R257" s="630"/>
      <c r="S257" s="631">
        <f>SUM(S7,W5)</f>
        <v>4800</v>
      </c>
      <c r="T257" s="630"/>
      <c r="U257" s="632"/>
      <c r="V257" s="633"/>
      <c r="W257" s="632"/>
      <c r="X257" s="633"/>
      <c r="Y257" s="632"/>
      <c r="Z257" s="633"/>
      <c r="AA257" s="632"/>
      <c r="AB257" s="633"/>
      <c r="AC257" s="632"/>
      <c r="AD257" s="633"/>
      <c r="AE257" s="632"/>
      <c r="AF257" s="633"/>
      <c r="AG257" s="632"/>
      <c r="AH257" s="633"/>
      <c r="AI257" s="632"/>
      <c r="AJ257" s="633"/>
      <c r="AK257" s="632"/>
      <c r="AL257" s="633"/>
      <c r="AM257" s="632"/>
      <c r="AN257" s="633"/>
      <c r="AO257" s="632"/>
      <c r="AP257" s="633"/>
      <c r="AQ257" s="634"/>
      <c r="AR257" s="635"/>
      <c r="AS257" s="636"/>
      <c r="AT257" s="635"/>
      <c r="AU257" s="635"/>
      <c r="AV257" s="635"/>
      <c r="AW257" s="635"/>
      <c r="AX257" s="635"/>
      <c r="AY257" s="635"/>
      <c r="AZ257" s="635"/>
      <c r="BA257" s="635"/>
      <c r="BB257" s="635"/>
      <c r="BC257" s="635"/>
      <c r="BD257" s="635"/>
      <c r="BE257" s="635"/>
      <c r="BF257" s="635"/>
      <c r="BG257" s="635"/>
      <c r="BH257" s="635"/>
      <c r="BI257" s="635"/>
      <c r="BJ257" s="635"/>
      <c r="BK257" s="635"/>
      <c r="BL257" s="635"/>
      <c r="BM257" s="635"/>
      <c r="BN257" s="637"/>
      <c r="BO257" s="634"/>
      <c r="BP257" s="635"/>
      <c r="BQ257" s="635"/>
      <c r="BR257" s="635"/>
      <c r="BS257" s="635"/>
      <c r="BT257" s="635"/>
      <c r="BU257" s="635"/>
      <c r="BV257" s="635"/>
      <c r="BW257" s="635"/>
      <c r="BX257" s="635"/>
      <c r="BY257" s="635"/>
      <c r="BZ257" s="635"/>
      <c r="CA257" s="635"/>
      <c r="CB257" s="635"/>
      <c r="CC257" s="635"/>
      <c r="CD257" s="635"/>
      <c r="CE257" s="635"/>
      <c r="CF257" s="635"/>
      <c r="CG257" s="635"/>
      <c r="CH257" s="635"/>
      <c r="CI257" s="635"/>
      <c r="CJ257" s="635"/>
      <c r="CK257" s="635"/>
      <c r="CL257" s="638"/>
      <c r="CM257" s="639"/>
      <c r="CN257" s="640"/>
      <c r="CO257" s="641"/>
      <c r="CP257" s="642"/>
      <c r="CQ257" s="643"/>
      <c r="CR257" s="644"/>
      <c r="CS257" s="645"/>
      <c r="CT257" s="646"/>
      <c r="CU257" s="633"/>
      <c r="CV257" s="636"/>
      <c r="CW257" s="635"/>
      <c r="CX257" s="635"/>
      <c r="CY257" s="637"/>
      <c r="CZ257" s="632"/>
      <c r="DA257" s="647"/>
      <c r="DB257" s="648"/>
      <c r="DC257" s="649"/>
      <c r="DD257" s="648"/>
      <c r="DE257" s="649"/>
      <c r="DF257" s="648"/>
      <c r="DG257" s="649"/>
      <c r="DH257" s="650"/>
      <c r="DI257" s="651"/>
      <c r="DJ257" s="652"/>
      <c r="DK257" s="652"/>
      <c r="DL257" s="652"/>
      <c r="DM257" s="652"/>
      <c r="DN257" s="652"/>
      <c r="DO257" s="652"/>
      <c r="DP257" s="652"/>
      <c r="DQ257" s="653"/>
      <c r="DR257" s="651"/>
      <c r="DS257" s="652"/>
      <c r="DT257" s="652"/>
      <c r="DU257" s="652"/>
      <c r="DV257" s="652"/>
      <c r="DW257" s="652"/>
      <c r="DX257" s="652"/>
      <c r="DY257" s="652"/>
      <c r="DZ257" s="654"/>
      <c r="EA257" s="655"/>
      <c r="EB257" s="639"/>
      <c r="EC257" s="640"/>
      <c r="ED257" s="642"/>
      <c r="EE257" s="656"/>
      <c r="EF257" s="656"/>
      <c r="EG257" s="656"/>
      <c r="EH257" s="656"/>
      <c r="EI257" s="657"/>
      <c r="EJ257" s="657"/>
      <c r="EK257" s="657"/>
      <c r="EL257" s="657"/>
      <c r="EM257" s="658"/>
      <c r="EN257" s="641"/>
      <c r="EO257" s="656"/>
      <c r="EP257" s="656"/>
      <c r="EQ257" s="657"/>
      <c r="ER257" s="656"/>
      <c r="ES257" s="656"/>
      <c r="ET257" s="657"/>
      <c r="EU257" s="646"/>
      <c r="EV257" s="635"/>
      <c r="EW257" s="635"/>
      <c r="EX257" s="635"/>
      <c r="EY257" s="635"/>
      <c r="EZ257" s="637"/>
      <c r="FA257" s="659">
        <f>SUM(FA7)</f>
        <v>0</v>
      </c>
      <c r="FB257" s="660"/>
      <c r="FC257" s="648"/>
      <c r="FD257" s="635"/>
      <c r="FE257" s="648"/>
      <c r="FF257" s="635"/>
      <c r="FG257" s="648"/>
      <c r="FH257" s="635"/>
      <c r="FI257" s="648"/>
      <c r="FJ257" s="635"/>
      <c r="FK257" s="648"/>
      <c r="FL257" s="635"/>
      <c r="FM257" s="648"/>
      <c r="FN257" s="635"/>
      <c r="FO257" s="648"/>
      <c r="FP257" s="635"/>
      <c r="FQ257" s="648"/>
      <c r="FR257" s="635"/>
      <c r="FS257" s="648"/>
      <c r="FT257" s="635"/>
      <c r="FU257" s="648"/>
      <c r="FV257" s="635"/>
      <c r="FW257" s="648"/>
      <c r="FX257" s="637"/>
      <c r="FY257" s="661"/>
      <c r="FZ257" s="662"/>
      <c r="GA257" s="662"/>
      <c r="GB257" s="662"/>
      <c r="GC257" s="662"/>
      <c r="GD257" s="662"/>
      <c r="GE257" s="662"/>
      <c r="GF257" s="662"/>
      <c r="GG257" s="662"/>
      <c r="GH257" s="662"/>
      <c r="GI257" s="662"/>
      <c r="GJ257" s="662"/>
      <c r="GK257" s="662"/>
      <c r="GL257" s="662"/>
      <c r="GM257" s="662"/>
      <c r="GN257" s="662"/>
      <c r="GO257" s="662"/>
      <c r="GP257" s="662"/>
      <c r="GQ257" s="662"/>
      <c r="GR257" s="662"/>
      <c r="GS257" s="662"/>
      <c r="GT257" s="662"/>
      <c r="GU257" s="662"/>
      <c r="GV257" s="663"/>
      <c r="GW257" s="661"/>
      <c r="GX257" s="662"/>
      <c r="GY257" s="662"/>
      <c r="GZ257" s="662"/>
      <c r="HA257" s="662"/>
      <c r="HB257" s="662"/>
      <c r="HC257" s="662"/>
      <c r="HD257" s="662"/>
      <c r="HE257" s="662"/>
      <c r="HF257" s="662"/>
      <c r="HG257" s="662"/>
      <c r="HH257" s="662"/>
      <c r="HI257" s="662"/>
      <c r="HJ257" s="662"/>
      <c r="HK257" s="662"/>
      <c r="HL257" s="662"/>
      <c r="HM257" s="662"/>
      <c r="HN257" s="662"/>
      <c r="HO257" s="662"/>
      <c r="HP257" s="662"/>
      <c r="HQ257" s="662"/>
      <c r="HR257" s="662"/>
      <c r="HS257" s="662"/>
      <c r="HT257" s="664"/>
      <c r="HU257" s="588"/>
      <c r="HV257" s="588"/>
      <c r="HW257" s="588"/>
      <c r="HX257" s="588"/>
      <c r="HY257" s="588"/>
      <c r="HZ257" s="588"/>
      <c r="IA257" s="588"/>
      <c r="IB257" s="588"/>
      <c r="IC257" s="588"/>
      <c r="ID257" s="588"/>
      <c r="IE257" s="588"/>
      <c r="IF257" s="588"/>
      <c r="IG257" s="588"/>
      <c r="IH257" s="588"/>
      <c r="II257" s="588"/>
      <c r="IJ257" s="588"/>
      <c r="IK257" s="588"/>
      <c r="IL257" s="588"/>
      <c r="IM257" s="588"/>
      <c r="IN257" s="588"/>
      <c r="IO257" s="588"/>
      <c r="IP257" s="588"/>
      <c r="IQ257" s="588"/>
      <c r="IR257" s="588"/>
      <c r="IS257" s="588"/>
      <c r="IT257" s="588"/>
      <c r="IU257" s="588"/>
      <c r="IV257" s="588"/>
      <c r="IW257" s="588"/>
      <c r="IX257" s="588"/>
      <c r="IY257" s="588"/>
      <c r="IZ257" s="588"/>
      <c r="JA257" s="588"/>
      <c r="JB257" s="588"/>
      <c r="JC257" s="588"/>
      <c r="JD257" s="588"/>
      <c r="JE257" s="588"/>
      <c r="JF257" s="588"/>
      <c r="JG257" s="588"/>
      <c r="JH257" s="588"/>
      <c r="JI257" s="588"/>
      <c r="JJ257" s="588"/>
      <c r="JK257" s="588"/>
      <c r="JL257" s="588"/>
      <c r="JM257" s="588"/>
      <c r="JN257" s="588"/>
      <c r="JO257" s="588"/>
      <c r="JP257" s="588"/>
    </row>
    <row r="258" spans="1:276" ht="16.8" thickBot="1">
      <c r="A258" s="666"/>
      <c r="B258" s="667"/>
      <c r="C258" s="668"/>
      <c r="D258" s="669"/>
      <c r="E258" s="670"/>
      <c r="F258" s="671"/>
      <c r="G258" s="672"/>
      <c r="H258" s="673"/>
      <c r="I258" s="673"/>
      <c r="J258" s="674"/>
      <c r="K258" s="674"/>
      <c r="L258" s="673"/>
      <c r="M258" s="673"/>
      <c r="N258" s="675"/>
      <c r="O258" s="675"/>
      <c r="P258" s="676"/>
      <c r="Q258" s="677"/>
      <c r="R258" s="678"/>
      <c r="S258" s="679"/>
      <c r="T258" s="678"/>
      <c r="U258" s="680"/>
      <c r="V258" s="681"/>
      <c r="W258" s="680"/>
      <c r="X258" s="681"/>
      <c r="Y258" s="680"/>
      <c r="Z258" s="681"/>
      <c r="AA258" s="680"/>
      <c r="AB258" s="681"/>
      <c r="AC258" s="680"/>
      <c r="AD258" s="681"/>
      <c r="AE258" s="680"/>
      <c r="AF258" s="681"/>
      <c r="AG258" s="680"/>
      <c r="AH258" s="681"/>
      <c r="AI258" s="680"/>
      <c r="AJ258" s="681"/>
      <c r="AK258" s="680"/>
      <c r="AL258" s="681"/>
      <c r="AM258" s="680"/>
      <c r="AN258" s="681"/>
      <c r="AO258" s="680"/>
      <c r="AP258" s="681"/>
      <c r="AQ258" s="682"/>
      <c r="AR258" s="683"/>
      <c r="AS258" s="684"/>
      <c r="AT258" s="683"/>
      <c r="AU258" s="683"/>
      <c r="AV258" s="683"/>
      <c r="AW258" s="683"/>
      <c r="AX258" s="683"/>
      <c r="AY258" s="683"/>
      <c r="AZ258" s="683"/>
      <c r="BA258" s="683"/>
      <c r="BB258" s="683"/>
      <c r="BC258" s="683"/>
      <c r="BD258" s="683"/>
      <c r="BE258" s="683"/>
      <c r="BF258" s="683"/>
      <c r="BG258" s="683"/>
      <c r="BH258" s="683"/>
      <c r="BI258" s="683"/>
      <c r="BJ258" s="683"/>
      <c r="BK258" s="683"/>
      <c r="BL258" s="683"/>
      <c r="BM258" s="683"/>
      <c r="BN258" s="685"/>
      <c r="BO258" s="682"/>
      <c r="BP258" s="683"/>
      <c r="BQ258" s="683"/>
      <c r="BR258" s="683"/>
      <c r="BS258" s="683"/>
      <c r="BT258" s="683"/>
      <c r="BU258" s="683"/>
      <c r="BV258" s="683"/>
      <c r="BW258" s="683"/>
      <c r="BX258" s="683"/>
      <c r="BY258" s="683"/>
      <c r="BZ258" s="683"/>
      <c r="CA258" s="683"/>
      <c r="CB258" s="683"/>
      <c r="CC258" s="683"/>
      <c r="CD258" s="683"/>
      <c r="CE258" s="683"/>
      <c r="CF258" s="683"/>
      <c r="CG258" s="683"/>
      <c r="CH258" s="683"/>
      <c r="CI258" s="683"/>
      <c r="CJ258" s="683"/>
      <c r="CK258" s="683"/>
      <c r="CL258" s="686"/>
      <c r="CM258" s="687"/>
      <c r="CN258" s="688"/>
      <c r="CO258" s="689"/>
      <c r="CP258" s="690"/>
      <c r="CQ258" s="691"/>
      <c r="CR258" s="692"/>
      <c r="CS258" s="693"/>
      <c r="CT258" s="694"/>
      <c r="CU258" s="695"/>
      <c r="CV258" s="696"/>
      <c r="CW258" s="697"/>
      <c r="CX258" s="697"/>
      <c r="CY258" s="698"/>
      <c r="CZ258" s="699"/>
      <c r="DA258" s="700"/>
      <c r="DB258" s="701"/>
      <c r="DC258" s="702"/>
      <c r="DD258" s="701"/>
      <c r="DE258" s="702"/>
      <c r="DF258" s="701"/>
      <c r="DG258" s="702"/>
      <c r="DH258" s="703"/>
      <c r="DI258" s="704"/>
      <c r="DJ258" s="705"/>
      <c r="DK258" s="705"/>
      <c r="DL258" s="705"/>
      <c r="DM258" s="705"/>
      <c r="DN258" s="705"/>
      <c r="DO258" s="705"/>
      <c r="DP258" s="705"/>
      <c r="DQ258" s="706"/>
      <c r="DR258" s="704"/>
      <c r="DS258" s="705"/>
      <c r="DT258" s="705"/>
      <c r="DU258" s="705"/>
      <c r="DV258" s="705"/>
      <c r="DW258" s="705"/>
      <c r="DX258" s="705"/>
      <c r="DY258" s="705"/>
      <c r="DZ258" s="707"/>
      <c r="EA258" s="708"/>
      <c r="EB258" s="709"/>
      <c r="EC258" s="710"/>
      <c r="ED258" s="711"/>
      <c r="EE258" s="712"/>
      <c r="EF258" s="712"/>
      <c r="EG258" s="712"/>
      <c r="EH258" s="712"/>
      <c r="EI258" s="713"/>
      <c r="EJ258" s="713"/>
      <c r="EK258" s="713"/>
      <c r="EL258" s="713"/>
      <c r="EM258" s="714"/>
      <c r="EN258" s="715"/>
      <c r="EO258" s="712"/>
      <c r="EP258" s="712"/>
      <c r="EQ258" s="713"/>
      <c r="ER258" s="712"/>
      <c r="ES258" s="712"/>
      <c r="ET258" s="713"/>
      <c r="EU258" s="716"/>
      <c r="EV258" s="717"/>
      <c r="EW258" s="717"/>
      <c r="EX258" s="717"/>
      <c r="EY258" s="717"/>
      <c r="EZ258" s="718"/>
      <c r="FA258" s="719"/>
      <c r="FB258" s="720"/>
      <c r="FC258" s="721"/>
      <c r="FD258" s="717"/>
      <c r="FE258" s="721"/>
      <c r="FF258" s="717"/>
      <c r="FG258" s="721"/>
      <c r="FH258" s="717"/>
      <c r="FI258" s="721"/>
      <c r="FJ258" s="717"/>
      <c r="FK258" s="721"/>
      <c r="FL258" s="717"/>
      <c r="FM258" s="721"/>
      <c r="FN258" s="717"/>
      <c r="FO258" s="721"/>
      <c r="FP258" s="717"/>
      <c r="FQ258" s="721"/>
      <c r="FR258" s="717"/>
      <c r="FS258" s="721"/>
      <c r="FT258" s="717"/>
      <c r="FU258" s="721"/>
      <c r="FV258" s="717"/>
      <c r="FW258" s="721"/>
      <c r="FX258" s="718"/>
      <c r="HU258" s="588"/>
      <c r="HV258" s="588"/>
      <c r="HW258" s="588"/>
      <c r="HX258" s="588"/>
      <c r="HY258" s="588"/>
      <c r="HZ258" s="588"/>
      <c r="IA258" s="588"/>
      <c r="IB258" s="588"/>
      <c r="IC258" s="588"/>
      <c r="ID258" s="588"/>
      <c r="IE258" s="588"/>
      <c r="IF258" s="588"/>
      <c r="IG258" s="588"/>
      <c r="IH258" s="588"/>
      <c r="II258" s="588"/>
      <c r="IJ258" s="588"/>
      <c r="IK258" s="588"/>
      <c r="IL258" s="588"/>
      <c r="IM258" s="588"/>
      <c r="IN258" s="588"/>
      <c r="IO258" s="588"/>
      <c r="IP258" s="588"/>
      <c r="IQ258" s="588"/>
      <c r="IR258" s="588"/>
      <c r="IS258" s="588"/>
      <c r="IT258" s="588"/>
      <c r="IU258" s="588"/>
      <c r="IV258" s="588"/>
      <c r="IW258" s="588"/>
      <c r="IX258" s="588"/>
      <c r="IY258" s="588"/>
      <c r="IZ258" s="588"/>
      <c r="JA258" s="588"/>
      <c r="JB258" s="588"/>
      <c r="JC258" s="588"/>
      <c r="JD258" s="588"/>
      <c r="JE258" s="588"/>
      <c r="JF258" s="588"/>
      <c r="JG258" s="588"/>
      <c r="JH258" s="588"/>
      <c r="JI258" s="588"/>
      <c r="JJ258" s="588"/>
      <c r="JK258" s="588"/>
      <c r="JL258" s="588"/>
      <c r="JM258" s="588"/>
      <c r="JN258" s="588"/>
      <c r="JO258" s="588"/>
    </row>
    <row r="259" spans="1:276" ht="16.8" thickTop="1">
      <c r="HU259" s="588"/>
      <c r="HV259" s="588"/>
      <c r="HW259" s="588"/>
      <c r="HX259" s="588"/>
      <c r="HY259" s="588"/>
      <c r="HZ259" s="588"/>
      <c r="IA259" s="588"/>
      <c r="IB259" s="588"/>
      <c r="IC259" s="588"/>
      <c r="ID259" s="588"/>
      <c r="IE259" s="588"/>
      <c r="IF259" s="588"/>
      <c r="IR259" s="588"/>
      <c r="IS259" s="588"/>
      <c r="IT259" s="588"/>
      <c r="IU259" s="588"/>
      <c r="IV259" s="588"/>
      <c r="IW259" s="588"/>
      <c r="IX259" s="588"/>
      <c r="IY259" s="588"/>
      <c r="IZ259" s="588"/>
      <c r="JA259" s="588"/>
      <c r="JB259" s="588"/>
      <c r="JC259" s="588"/>
      <c r="JD259" s="588"/>
      <c r="JE259" s="588"/>
      <c r="JF259" s="588"/>
      <c r="JG259" s="588"/>
      <c r="JH259" s="588"/>
      <c r="JI259" s="588"/>
      <c r="JJ259" s="588"/>
      <c r="JK259" s="588"/>
      <c r="JL259" s="588"/>
      <c r="JM259" s="588"/>
      <c r="JN259" s="588"/>
      <c r="JO259" s="588"/>
    </row>
    <row r="260" spans="1:276">
      <c r="HU260" s="588"/>
      <c r="HV260" s="588"/>
      <c r="HW260" s="588"/>
      <c r="HX260" s="588"/>
      <c r="HY260" s="588"/>
      <c r="HZ260" s="588"/>
      <c r="IA260" s="588"/>
      <c r="IB260" s="588"/>
      <c r="IC260" s="588"/>
      <c r="ID260" s="588"/>
      <c r="IE260" s="588"/>
      <c r="IF260" s="588"/>
      <c r="IR260" s="588"/>
      <c r="IS260" s="588"/>
      <c r="IT260" s="588"/>
      <c r="IU260" s="588"/>
      <c r="IV260" s="588"/>
      <c r="IW260" s="588"/>
      <c r="IX260" s="588"/>
      <c r="IY260" s="588"/>
      <c r="IZ260" s="588"/>
      <c r="JA260" s="588"/>
      <c r="JB260" s="588"/>
      <c r="JC260" s="588"/>
      <c r="JD260" s="588"/>
      <c r="JE260" s="588"/>
      <c r="JF260" s="588"/>
      <c r="JG260" s="588"/>
      <c r="JH260" s="588"/>
      <c r="JI260" s="588"/>
      <c r="JJ260" s="588"/>
      <c r="JK260" s="588"/>
      <c r="JL260" s="588"/>
      <c r="JM260" s="588"/>
      <c r="JN260" s="588"/>
      <c r="JO260" s="588"/>
    </row>
    <row r="261" spans="1:276">
      <c r="HU261" s="588"/>
      <c r="HV261" s="588"/>
      <c r="HW261" s="588"/>
      <c r="HX261" s="588"/>
      <c r="HY261" s="588"/>
      <c r="HZ261" s="588"/>
      <c r="IA261" s="588"/>
      <c r="IB261" s="588"/>
      <c r="IC261" s="588"/>
      <c r="ID261" s="588"/>
      <c r="IE261" s="588"/>
      <c r="IF261" s="588"/>
      <c r="IR261" s="588"/>
      <c r="IS261" s="588"/>
      <c r="IT261" s="588"/>
      <c r="IU261" s="588"/>
      <c r="IV261" s="588"/>
      <c r="IW261" s="588"/>
      <c r="IX261" s="588"/>
      <c r="IY261" s="588"/>
      <c r="IZ261" s="588"/>
      <c r="JA261" s="588"/>
      <c r="JB261" s="588"/>
      <c r="JC261" s="588"/>
      <c r="JP261" s="588"/>
    </row>
    <row r="262" spans="1:276">
      <c r="HU262" s="588"/>
      <c r="HV262" s="588"/>
      <c r="HW262" s="588"/>
      <c r="HX262" s="588"/>
      <c r="HY262" s="588"/>
      <c r="HZ262" s="588"/>
      <c r="IA262" s="588"/>
      <c r="IB262" s="588"/>
      <c r="IC262" s="588"/>
      <c r="ID262" s="588"/>
      <c r="IE262" s="588"/>
      <c r="IF262" s="588"/>
      <c r="IG262" s="588"/>
      <c r="IH262" s="588"/>
      <c r="II262" s="588"/>
      <c r="IJ262" s="588"/>
      <c r="IK262" s="588"/>
      <c r="IL262" s="588"/>
      <c r="IM262" s="588"/>
      <c r="IN262" s="588"/>
      <c r="IO262" s="588"/>
      <c r="IP262" s="588"/>
      <c r="IQ262" s="588"/>
      <c r="IR262" s="588"/>
      <c r="IS262" s="588"/>
      <c r="IT262" s="588"/>
      <c r="IU262" s="588"/>
      <c r="IV262" s="588"/>
      <c r="IW262" s="588"/>
      <c r="IX262" s="588"/>
      <c r="IY262" s="588"/>
      <c r="IZ262" s="588"/>
      <c r="JA262" s="588"/>
      <c r="JB262" s="588"/>
      <c r="JC262" s="588"/>
      <c r="JP262" s="588"/>
    </row>
    <row r="263" spans="1:276">
      <c r="HU263" s="588"/>
      <c r="HV263" s="588"/>
      <c r="HW263" s="588"/>
      <c r="HX263" s="588"/>
      <c r="HY263" s="588"/>
      <c r="HZ263" s="588"/>
      <c r="IA263" s="588"/>
      <c r="IB263" s="588"/>
      <c r="IC263" s="588"/>
      <c r="ID263" s="588"/>
      <c r="IE263" s="588"/>
      <c r="IF263" s="588"/>
      <c r="IG263" s="588"/>
      <c r="IH263" s="588"/>
      <c r="II263" s="588"/>
      <c r="IJ263" s="588"/>
      <c r="IK263" s="588"/>
      <c r="IL263" s="588"/>
      <c r="IM263" s="588"/>
      <c r="IN263" s="588"/>
      <c r="IO263" s="588"/>
      <c r="IP263" s="588"/>
      <c r="IQ263" s="588"/>
      <c r="IR263" s="588"/>
      <c r="IS263" s="588"/>
      <c r="IT263" s="588"/>
      <c r="IU263" s="588"/>
      <c r="IV263" s="588"/>
      <c r="IW263" s="588"/>
      <c r="IX263" s="588"/>
      <c r="IY263" s="588"/>
      <c r="IZ263" s="588"/>
      <c r="JA263" s="588"/>
      <c r="JB263" s="588"/>
      <c r="JC263" s="588"/>
      <c r="JP263" s="588"/>
    </row>
    <row r="264" spans="1:276">
      <c r="IG264" s="588"/>
      <c r="IH264" s="588"/>
      <c r="II264" s="588"/>
      <c r="IJ264" s="588"/>
      <c r="IK264" s="588"/>
      <c r="IL264" s="588"/>
      <c r="IM264" s="588"/>
      <c r="IN264" s="588"/>
      <c r="IO264" s="588"/>
      <c r="IP264" s="588"/>
      <c r="IQ264" s="588"/>
      <c r="IR264" s="588"/>
      <c r="IS264" s="588"/>
      <c r="IT264" s="588"/>
      <c r="IU264" s="588"/>
      <c r="IV264" s="588"/>
      <c r="IW264" s="588"/>
      <c r="IX264" s="588"/>
      <c r="IY264" s="588"/>
      <c r="IZ264" s="588"/>
      <c r="JA264" s="588"/>
      <c r="JB264" s="588"/>
      <c r="JC264" s="588"/>
      <c r="JD264" s="588"/>
      <c r="JE264" s="588"/>
      <c r="JF264" s="588"/>
      <c r="JG264" s="588"/>
      <c r="JH264" s="588"/>
      <c r="JI264" s="588"/>
      <c r="JJ264" s="588"/>
      <c r="JK264" s="588"/>
      <c r="JL264" s="588"/>
      <c r="JM264" s="588"/>
      <c r="JN264" s="588"/>
      <c r="JO264" s="588"/>
      <c r="JP264" s="588"/>
    </row>
    <row r="265" spans="1:276">
      <c r="IG265" s="588"/>
      <c r="IH265" s="588"/>
      <c r="II265" s="588"/>
      <c r="IJ265" s="588"/>
      <c r="IK265" s="588"/>
      <c r="IL265" s="588"/>
      <c r="IM265" s="588"/>
      <c r="IN265" s="588"/>
      <c r="IO265" s="588"/>
      <c r="IP265" s="588"/>
      <c r="IQ265" s="588"/>
      <c r="JD265" s="588"/>
      <c r="JE265" s="588"/>
      <c r="JF265" s="588"/>
      <c r="JG265" s="588"/>
      <c r="JH265" s="588"/>
      <c r="JI265" s="588"/>
      <c r="JJ265" s="588"/>
      <c r="JK265" s="588"/>
      <c r="JL265" s="588"/>
      <c r="JM265" s="588"/>
      <c r="JN265" s="588"/>
      <c r="JO265" s="588"/>
    </row>
    <row r="266" spans="1:276">
      <c r="JD266" s="588"/>
      <c r="JE266" s="588"/>
      <c r="JF266" s="588"/>
      <c r="JG266" s="588"/>
      <c r="JH266" s="588"/>
      <c r="JI266" s="588"/>
      <c r="JJ266" s="588"/>
      <c r="JK266" s="588"/>
      <c r="JL266" s="588"/>
      <c r="JM266" s="588"/>
      <c r="JN266" s="588"/>
      <c r="JO266" s="588"/>
    </row>
    <row r="267" spans="1:276">
      <c r="HU267" s="588"/>
      <c r="HV267" s="588"/>
      <c r="HW267" s="588"/>
      <c r="HX267" s="588"/>
      <c r="HY267" s="588"/>
      <c r="HZ267" s="588"/>
      <c r="IA267" s="588"/>
      <c r="IB267" s="588"/>
      <c r="IC267" s="588"/>
      <c r="ID267" s="588"/>
      <c r="IE267" s="588"/>
      <c r="IF267" s="588"/>
      <c r="JD267" s="588"/>
      <c r="JE267" s="588"/>
      <c r="JF267" s="588"/>
      <c r="JG267" s="588"/>
      <c r="JH267" s="588"/>
      <c r="JI267" s="588"/>
      <c r="JJ267" s="588"/>
      <c r="JK267" s="588"/>
      <c r="JL267" s="588"/>
      <c r="JM267" s="588"/>
      <c r="JN267" s="588"/>
      <c r="JO267" s="588"/>
    </row>
    <row r="268" spans="1:276">
      <c r="HU268" s="588"/>
      <c r="HV268" s="588"/>
      <c r="HW268" s="588"/>
      <c r="HX268" s="588"/>
      <c r="HY268" s="588"/>
      <c r="HZ268" s="588"/>
      <c r="IA268" s="588"/>
      <c r="IB268" s="588"/>
      <c r="IC268" s="588"/>
      <c r="ID268" s="588"/>
      <c r="IE268" s="588"/>
      <c r="IF268" s="588"/>
      <c r="IR268" s="588"/>
      <c r="IS268" s="588"/>
      <c r="IT268" s="588"/>
      <c r="IU268" s="588"/>
      <c r="IV268" s="588"/>
      <c r="IW268" s="588"/>
      <c r="IX268" s="588"/>
      <c r="IY268" s="588"/>
      <c r="IZ268" s="588"/>
      <c r="JA268" s="588"/>
      <c r="JB268" s="588"/>
      <c r="JC268" s="588"/>
    </row>
    <row r="269" spans="1:276">
      <c r="HU269" s="588"/>
      <c r="HV269" s="588"/>
      <c r="HW269" s="588"/>
      <c r="HX269" s="588"/>
      <c r="HY269" s="588"/>
      <c r="HZ269" s="588"/>
      <c r="IA269" s="588"/>
      <c r="IB269" s="588"/>
      <c r="IC269" s="588"/>
      <c r="ID269" s="588"/>
      <c r="IE269" s="588"/>
      <c r="IF269" s="588"/>
      <c r="IR269" s="588"/>
      <c r="IS269" s="588"/>
      <c r="IT269" s="588"/>
      <c r="IU269" s="588"/>
      <c r="IV269" s="588"/>
      <c r="IW269" s="588"/>
      <c r="IX269" s="588"/>
      <c r="IY269" s="588"/>
      <c r="IZ269" s="588"/>
      <c r="JA269" s="588"/>
      <c r="JB269" s="588"/>
      <c r="JC269" s="588"/>
    </row>
    <row r="270" spans="1:276">
      <c r="HU270" s="588"/>
      <c r="HV270" s="588"/>
      <c r="HW270" s="588"/>
      <c r="HX270" s="588"/>
      <c r="HY270" s="588"/>
      <c r="HZ270" s="588"/>
      <c r="IA270" s="588"/>
      <c r="IB270" s="588"/>
      <c r="IC270" s="588"/>
      <c r="ID270" s="588"/>
      <c r="IE270" s="588"/>
      <c r="IF270" s="588"/>
      <c r="IR270" s="588"/>
      <c r="IS270" s="588"/>
      <c r="IT270" s="588"/>
      <c r="IU270" s="588"/>
      <c r="IV270" s="588"/>
      <c r="IW270" s="588"/>
      <c r="IX270" s="588"/>
      <c r="IY270" s="588"/>
      <c r="IZ270" s="588"/>
      <c r="JA270" s="588"/>
      <c r="JB270" s="588"/>
      <c r="JC270" s="588"/>
    </row>
    <row r="271" spans="1:276">
      <c r="IR271" s="588"/>
      <c r="IS271" s="588"/>
      <c r="IT271" s="588"/>
      <c r="IU271" s="588"/>
      <c r="IV271" s="588"/>
      <c r="IW271" s="588"/>
      <c r="IX271" s="588"/>
      <c r="IY271" s="588"/>
      <c r="IZ271" s="588"/>
      <c r="JA271" s="588"/>
      <c r="JB271" s="588"/>
      <c r="JC271" s="588"/>
    </row>
  </sheetData>
  <autoFilter ref="O1:O271" xr:uid="{00000000-0001-0000-0200-000000000000}"/>
  <mergeCells count="159">
    <mergeCell ref="Q1:CL1"/>
    <mergeCell ref="AY3:AZ3"/>
    <mergeCell ref="BA3:BB3"/>
    <mergeCell ref="A1:A4"/>
    <mergeCell ref="B1:B4"/>
    <mergeCell ref="CM1:DZ1"/>
    <mergeCell ref="D2:D4"/>
    <mergeCell ref="N2:N4"/>
    <mergeCell ref="O2:O4"/>
    <mergeCell ref="P2:P4"/>
    <mergeCell ref="CZ2:DZ2"/>
    <mergeCell ref="Y3:Z3"/>
    <mergeCell ref="AA3:AB3"/>
    <mergeCell ref="AC3:AD3"/>
    <mergeCell ref="AE3:AF3"/>
    <mergeCell ref="Q2:R2"/>
    <mergeCell ref="S2:AP2"/>
    <mergeCell ref="Q3:Q4"/>
    <mergeCell ref="CN3:CN4"/>
    <mergeCell ref="G2:G4"/>
    <mergeCell ref="H2:H4"/>
    <mergeCell ref="L2:L4"/>
    <mergeCell ref="CA3:CB3"/>
    <mergeCell ref="I2:I4"/>
    <mergeCell ref="K2:K4"/>
    <mergeCell ref="EO3:EO4"/>
    <mergeCell ref="EP3:EP4"/>
    <mergeCell ref="EE2:EM2"/>
    <mergeCell ref="EE3:EG3"/>
    <mergeCell ref="EH3:EJ3"/>
    <mergeCell ref="M2:M4"/>
    <mergeCell ref="R3:R4"/>
    <mergeCell ref="S3:T3"/>
    <mergeCell ref="U3:V3"/>
    <mergeCell ref="W3:X3"/>
    <mergeCell ref="BS3:BT3"/>
    <mergeCell ref="BU3:BV3"/>
    <mergeCell ref="BW3:BX3"/>
    <mergeCell ref="BY3:BZ3"/>
    <mergeCell ref="AQ2:BN2"/>
    <mergeCell ref="AQ3:AR3"/>
    <mergeCell ref="BE3:BF3"/>
    <mergeCell ref="BG3:BH3"/>
    <mergeCell ref="BI3:BJ3"/>
    <mergeCell ref="BK3:BL3"/>
    <mergeCell ref="AS3:AT3"/>
    <mergeCell ref="CU3:CU4"/>
    <mergeCell ref="AU3:AV3"/>
    <mergeCell ref="AW3:AX3"/>
    <mergeCell ref="CE3:CF3"/>
    <mergeCell ref="CG3:CH3"/>
    <mergeCell ref="CI3:CJ3"/>
    <mergeCell ref="CK3:CL3"/>
    <mergeCell ref="CQ3:CQ4"/>
    <mergeCell ref="CT3:CT4"/>
    <mergeCell ref="CC3:CD3"/>
    <mergeCell ref="DQ3:DQ4"/>
    <mergeCell ref="CM2:CM4"/>
    <mergeCell ref="CO3:CO4"/>
    <mergeCell ref="DB3:DC3"/>
    <mergeCell ref="DD3:DE3"/>
    <mergeCell ref="DF3:DG3"/>
    <mergeCell ref="DH3:DH4"/>
    <mergeCell ref="DI3:DJ3"/>
    <mergeCell ref="DK3:DL3"/>
    <mergeCell ref="DM3:DN3"/>
    <mergeCell ref="DO3:DP3"/>
    <mergeCell ref="G1:P1"/>
    <mergeCell ref="CV2:CW2"/>
    <mergeCell ref="CV3:CV4"/>
    <mergeCell ref="CW3:CW4"/>
    <mergeCell ref="CX2:CY2"/>
    <mergeCell ref="CX3:CX4"/>
    <mergeCell ref="CY3:CY4"/>
    <mergeCell ref="CZ3:DA3"/>
    <mergeCell ref="CN2:CQ2"/>
    <mergeCell ref="CT2:CU2"/>
    <mergeCell ref="CP3:CP4"/>
    <mergeCell ref="CR2:CR4"/>
    <mergeCell ref="CS2:CS4"/>
    <mergeCell ref="AG3:AH3"/>
    <mergeCell ref="AI3:AJ3"/>
    <mergeCell ref="AK3:AL3"/>
    <mergeCell ref="AM3:AN3"/>
    <mergeCell ref="AO3:AP3"/>
    <mergeCell ref="BM3:BN3"/>
    <mergeCell ref="BO2:CL2"/>
    <mergeCell ref="BO3:BP3"/>
    <mergeCell ref="BQ3:BR3"/>
    <mergeCell ref="BC3:BD3"/>
    <mergeCell ref="J2:J4"/>
    <mergeCell ref="FA2:FX2"/>
    <mergeCell ref="FU3:FV3"/>
    <mergeCell ref="FW3:FX3"/>
    <mergeCell ref="FC3:FD3"/>
    <mergeCell ref="FE3:FF3"/>
    <mergeCell ref="FG3:FH3"/>
    <mergeCell ref="FI3:FJ3"/>
    <mergeCell ref="FK3:FL3"/>
    <mergeCell ref="FO3:FP3"/>
    <mergeCell ref="FQ3:FR3"/>
    <mergeCell ref="FS3:FT3"/>
    <mergeCell ref="FM3:FN3"/>
    <mergeCell ref="FA3:FB3"/>
    <mergeCell ref="EY2:EZ2"/>
    <mergeCell ref="EY3:EY4"/>
    <mergeCell ref="EZ3:EZ4"/>
    <mergeCell ref="EU2:EV2"/>
    <mergeCell ref="EU3:EU4"/>
    <mergeCell ref="EV3:EV4"/>
    <mergeCell ref="EX3:EX4"/>
    <mergeCell ref="EA2:ED2"/>
    <mergeCell ref="EA3:EA4"/>
    <mergeCell ref="ER3:ET3"/>
    <mergeCell ref="ER2:ET2"/>
    <mergeCell ref="EB3:EB4"/>
    <mergeCell ref="EC3:EC4"/>
    <mergeCell ref="ED3:ED4"/>
    <mergeCell ref="EN2:EQ2"/>
    <mergeCell ref="EN3:EN4"/>
    <mergeCell ref="GG3:GH3"/>
    <mergeCell ref="GI3:GJ3"/>
    <mergeCell ref="GK3:GL3"/>
    <mergeCell ref="GM3:GN3"/>
    <mergeCell ref="GO3:GP3"/>
    <mergeCell ref="GQ3:GR3"/>
    <mergeCell ref="GS3:GT3"/>
    <mergeCell ref="GU3:GV3"/>
    <mergeCell ref="DR3:DS3"/>
    <mergeCell ref="DT3:DU3"/>
    <mergeCell ref="DV3:DW3"/>
    <mergeCell ref="DX3:DY3"/>
    <mergeCell ref="DZ3:DZ4"/>
    <mergeCell ref="EQ3:EQ4"/>
    <mergeCell ref="EK3:EM3"/>
    <mergeCell ref="D1:F1"/>
    <mergeCell ref="E2:E4"/>
    <mergeCell ref="F2:F4"/>
    <mergeCell ref="EA1:HT1"/>
    <mergeCell ref="GW2:HT2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EW2:EX2"/>
    <mergeCell ref="EW3:EW4"/>
    <mergeCell ref="FY2:GV2"/>
    <mergeCell ref="FY3:FZ3"/>
    <mergeCell ref="GA3:GB3"/>
    <mergeCell ref="GC3:GD3"/>
    <mergeCell ref="GE3:GF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LK186"/>
  <sheetViews>
    <sheetView zoomScale="123" zoomScaleNormal="70" workbookViewId="0">
      <pane xSplit="4" ySplit="4" topLeftCell="DG5" activePane="bottomRight" state="frozen"/>
      <selection activeCell="BK26" sqref="BK26"/>
      <selection pane="topRight" activeCell="BK26" sqref="BK26"/>
      <selection pane="bottomLeft" activeCell="BK26" sqref="BK26"/>
      <selection pane="bottomRight" activeCell="D10" sqref="D10"/>
    </sheetView>
  </sheetViews>
  <sheetFormatPr defaultColWidth="8.88671875" defaultRowHeight="16.2"/>
  <cols>
    <col min="1" max="1" width="3.44140625" style="416" customWidth="1"/>
    <col min="2" max="2" width="11.44140625" style="398" customWidth="1"/>
    <col min="3" max="3" width="11.44140625" style="275" hidden="1" customWidth="1"/>
    <col min="4" max="4" width="20.6640625" style="727" customWidth="1"/>
    <col min="5" max="5" width="17.109375" style="357" customWidth="1"/>
    <col min="6" max="6" width="17.109375" style="358" customWidth="1"/>
    <col min="7" max="7" width="38.21875" style="399" bestFit="1" customWidth="1"/>
    <col min="8" max="9" width="13.44140625" style="206" customWidth="1"/>
    <col min="10" max="10" width="25.44140625" style="206" customWidth="1"/>
    <col min="11" max="11" width="11.44140625" style="206" customWidth="1"/>
    <col min="12" max="12" width="13.44140625" style="206" customWidth="1"/>
    <col min="13" max="13" width="14.44140625" style="400" customWidth="1"/>
    <col min="14" max="14" width="13.88671875" style="359" customWidth="1"/>
    <col min="15" max="15" width="15.109375" style="359" customWidth="1"/>
    <col min="16" max="16" width="14.44140625" style="401" customWidth="1"/>
    <col min="17" max="17" width="15" style="401" customWidth="1"/>
    <col min="18" max="18" width="12" style="360" customWidth="1"/>
    <col min="19" max="19" width="12" style="402" bestFit="1" customWidth="1"/>
    <col min="20" max="20" width="15.33203125" style="211" customWidth="1"/>
    <col min="21" max="21" width="10.88671875" style="403" bestFit="1" customWidth="1"/>
    <col min="22" max="22" width="13.88671875" style="217" customWidth="1"/>
    <col min="23" max="23" width="11.44140625" style="362" customWidth="1"/>
    <col min="24" max="24" width="14" style="363" customWidth="1"/>
    <col min="25" max="26" width="11.44140625" style="278" hidden="1" customWidth="1"/>
    <col min="27" max="27" width="10.88671875" style="404" bestFit="1" customWidth="1"/>
    <col min="28" max="28" width="15.109375" style="271" bestFit="1" customWidth="1"/>
    <col min="29" max="29" width="10" style="405" customWidth="1"/>
    <col min="30" max="30" width="14.44140625" style="271" customWidth="1"/>
    <col min="31" max="31" width="10.44140625" style="405" customWidth="1"/>
    <col min="32" max="32" width="15.109375" style="271" bestFit="1" customWidth="1"/>
    <col min="33" max="33" width="10.44140625" style="405" bestFit="1" customWidth="1"/>
    <col min="34" max="34" width="14.109375" style="271" customWidth="1"/>
    <col min="35" max="35" width="9.44140625" style="405" bestFit="1" customWidth="1"/>
    <col min="36" max="36" width="15.21875" style="406" bestFit="1" customWidth="1"/>
    <col min="37" max="37" width="9.44140625" style="405" bestFit="1" customWidth="1"/>
    <col min="38" max="38" width="15.109375" style="406" bestFit="1" customWidth="1"/>
    <col min="39" max="39" width="9.44140625" style="405" bestFit="1" customWidth="1"/>
    <col min="40" max="40" width="13.88671875" style="406" customWidth="1"/>
    <col min="41" max="41" width="9.44140625" style="405" bestFit="1" customWidth="1"/>
    <col min="42" max="42" width="15.21875" style="406" bestFit="1" customWidth="1"/>
    <col min="43" max="43" width="9.44140625" style="405" bestFit="1" customWidth="1"/>
    <col min="44" max="44" width="15.109375" style="406" bestFit="1" customWidth="1"/>
    <col min="45" max="45" width="9.44140625" style="405" bestFit="1" customWidth="1"/>
    <col min="46" max="46" width="13.44140625" style="406" customWidth="1"/>
    <col min="47" max="47" width="9.21875" style="405" bestFit="1" customWidth="1"/>
    <col min="48" max="48" width="15.109375" style="406" bestFit="1" customWidth="1"/>
    <col min="49" max="49" width="9.21875" style="405" bestFit="1" customWidth="1"/>
    <col min="50" max="50" width="14" style="407" customWidth="1"/>
    <col min="51" max="51" width="13.77734375" style="366" customWidth="1"/>
    <col min="52" max="52" width="13.77734375" style="408" customWidth="1"/>
    <col min="53" max="53" width="13.77734375" style="367" customWidth="1"/>
    <col min="54" max="54" width="13.77734375" style="409" customWidth="1"/>
    <col min="55" max="55" width="13.77734375" style="367" customWidth="1"/>
    <col min="56" max="56" width="13.77734375" style="409" customWidth="1"/>
    <col min="57" max="57" width="13.77734375" style="367" customWidth="1"/>
    <col min="58" max="58" width="13.77734375" style="409" customWidth="1"/>
    <col min="59" max="59" width="13.77734375" style="367" customWidth="1"/>
    <col min="60" max="60" width="13.77734375" style="409" customWidth="1"/>
    <col min="61" max="61" width="13.77734375" style="367" customWidth="1"/>
    <col min="62" max="62" width="13.77734375" style="409" customWidth="1"/>
    <col min="63" max="63" width="10.44140625" style="367" customWidth="1"/>
    <col min="64" max="64" width="14.109375" style="409" customWidth="1"/>
    <col min="65" max="65" width="10.44140625" style="367" customWidth="1"/>
    <col min="66" max="66" width="13.21875" style="409" customWidth="1"/>
    <col min="67" max="67" width="10.44140625" style="367" customWidth="1"/>
    <col min="68" max="68" width="12.5546875" style="409" customWidth="1"/>
    <col min="69" max="69" width="10.44140625" style="367" customWidth="1"/>
    <col min="70" max="70" width="15.5546875" style="409" customWidth="1"/>
    <col min="71" max="71" width="10.44140625" style="367" customWidth="1"/>
    <col min="72" max="72" width="13.33203125" style="409" customWidth="1"/>
    <col min="73" max="73" width="10.44140625" style="368" customWidth="1"/>
    <col min="74" max="74" width="13.6640625" style="408" customWidth="1"/>
    <col min="75" max="75" width="13.77734375" style="369" customWidth="1"/>
    <col min="76" max="76" width="13.77734375" style="409" customWidth="1"/>
    <col min="77" max="77" width="13.77734375" style="367" customWidth="1"/>
    <col min="78" max="78" width="13.77734375" style="409" customWidth="1"/>
    <col min="79" max="79" width="13.77734375" style="367" customWidth="1"/>
    <col min="80" max="80" width="13.77734375" style="409" customWidth="1"/>
    <col min="81" max="81" width="13.77734375" style="367" customWidth="1"/>
    <col min="82" max="82" width="13.77734375" style="409" customWidth="1"/>
    <col min="83" max="83" width="13.77734375" style="367" customWidth="1"/>
    <col min="84" max="84" width="13.77734375" style="409" customWidth="1"/>
    <col min="85" max="85" width="13.77734375" style="367" customWidth="1"/>
    <col min="86" max="86" width="13.77734375" style="409" customWidth="1"/>
    <col min="87" max="87" width="13.77734375" style="367" customWidth="1"/>
    <col min="88" max="88" width="13.77734375" style="409" customWidth="1"/>
    <col min="89" max="89" width="13.77734375" style="367" customWidth="1"/>
    <col min="90" max="90" width="13.77734375" style="409" customWidth="1"/>
    <col min="91" max="91" width="13.77734375" style="367" customWidth="1"/>
    <col min="92" max="92" width="13.77734375" style="409" customWidth="1"/>
    <col min="93" max="93" width="13.77734375" style="367" customWidth="1"/>
    <col min="94" max="94" width="13.77734375" style="409" customWidth="1"/>
    <col min="95" max="95" width="13.77734375" style="367" customWidth="1"/>
    <col min="96" max="96" width="13.77734375" style="409" customWidth="1"/>
    <col min="97" max="97" width="13.77734375" style="368" customWidth="1"/>
    <col min="98" max="98" width="13.77734375" style="410" customWidth="1"/>
    <col min="99" max="99" width="10.88671875" style="283" customWidth="1"/>
    <col min="100" max="100" width="12.44140625" style="411" customWidth="1"/>
    <col min="101" max="101" width="13" style="412" customWidth="1"/>
    <col min="102" max="102" width="17.77734375" style="285" customWidth="1"/>
    <col min="103" max="103" width="50.77734375" style="227" bestFit="1" customWidth="1"/>
    <col min="104" max="104" width="11.44140625" style="229" customWidth="1"/>
    <col min="105" max="105" width="12.109375" style="582" customWidth="1"/>
    <col min="106" max="106" width="10.44140625" style="394" customWidth="1"/>
    <col min="107" max="107" width="13.44140625" style="395" customWidth="1"/>
    <col min="108" max="108" width="8.77734375" style="372" customWidth="1"/>
    <col min="109" max="109" width="12.21875" style="373" customWidth="1"/>
    <col min="110" max="110" width="9" style="372" customWidth="1"/>
    <col min="111" max="111" width="11.77734375" style="373" customWidth="1"/>
    <col min="112" max="112" width="9" style="374" customWidth="1"/>
    <col min="113" max="113" width="16.44140625" style="375" bestFit="1" customWidth="1"/>
    <col min="114" max="114" width="15.109375" style="413" bestFit="1" customWidth="1"/>
    <col min="115" max="115" width="11.44140625" style="377" customWidth="1"/>
    <col min="116" max="116" width="12.88671875" style="378" customWidth="1"/>
    <col min="117" max="117" width="12.88671875" style="379" hidden="1" customWidth="1"/>
    <col min="118" max="124" width="12.88671875" style="233" hidden="1" customWidth="1"/>
    <col min="125" max="125" width="12.88671875" style="234" hidden="1" customWidth="1"/>
    <col min="126" max="127" width="12.88671875" style="378" hidden="1" customWidth="1"/>
    <col min="128" max="128" width="12.88671875" style="379" hidden="1" customWidth="1"/>
    <col min="129" max="135" width="12.88671875" style="233" hidden="1" customWidth="1"/>
    <col min="136" max="136" width="12.88671875" style="234" hidden="1" customWidth="1"/>
    <col min="137" max="138" width="12.88671875" style="378" hidden="1" customWidth="1"/>
    <col min="139" max="139" width="10.44140625" style="414" customWidth="1"/>
    <col min="140" max="140" width="12.77734375" style="415" customWidth="1"/>
    <col min="141" max="141" width="13.44140625" style="415" customWidth="1"/>
    <col min="142" max="142" width="16.109375" style="248" bestFit="1" customWidth="1"/>
    <col min="143" max="150" width="16.109375" style="272" customWidth="1"/>
    <col min="151" max="151" width="16.109375" style="297" customWidth="1"/>
    <col min="152" max="152" width="16.109375" style="298" hidden="1" customWidth="1"/>
    <col min="153" max="155" width="16.109375" style="272" hidden="1" customWidth="1"/>
    <col min="156" max="156" width="16.109375" style="248" hidden="1" customWidth="1"/>
    <col min="157" max="158" width="16.109375" style="272" hidden="1" customWidth="1"/>
    <col min="159" max="159" width="16.109375" style="297" hidden="1" customWidth="1"/>
    <col min="160" max="160" width="10.44140625" style="380" hidden="1" customWidth="1"/>
    <col min="161" max="161" width="11.77734375" style="309" hidden="1" customWidth="1"/>
    <col min="162" max="162" width="11.77734375" style="381" hidden="1" customWidth="1"/>
    <col min="163" max="163" width="11.77734375" style="382" hidden="1" customWidth="1"/>
    <col min="164" max="164" width="11.77734375" style="383" hidden="1" customWidth="1"/>
    <col min="165" max="165" width="11.77734375" style="384" hidden="1" customWidth="1"/>
    <col min="166" max="166" width="11.44140625" style="380" hidden="1" customWidth="1"/>
    <col min="167" max="167" width="11.77734375" style="385" hidden="1" customWidth="1"/>
    <col min="168" max="168" width="12" style="386" hidden="1" customWidth="1"/>
    <col min="169" max="169" width="11.88671875" style="387" hidden="1" customWidth="1"/>
    <col min="170" max="170" width="12.44140625" style="386" hidden="1" customWidth="1"/>
    <col min="171" max="171" width="12.44140625" style="387" hidden="1" customWidth="1"/>
    <col min="172" max="172" width="11.21875" style="388" hidden="1" customWidth="1"/>
    <col min="173" max="173" width="12.77734375" style="387" hidden="1" customWidth="1"/>
    <col min="174" max="174" width="12.21875" style="388" hidden="1" customWidth="1"/>
    <col min="175" max="175" width="12.21875" style="387" hidden="1" customWidth="1"/>
    <col min="176" max="176" width="11.88671875" style="388" hidden="1" customWidth="1"/>
    <col min="177" max="177" width="11.88671875" style="387" hidden="1" customWidth="1"/>
    <col min="178" max="178" width="12.109375" style="388" hidden="1" customWidth="1"/>
    <col min="179" max="179" width="12.109375" style="387" hidden="1" customWidth="1"/>
    <col min="180" max="180" width="11.77734375" style="388" hidden="1" customWidth="1"/>
    <col min="181" max="181" width="11.77734375" style="387" hidden="1" customWidth="1"/>
    <col min="182" max="182" width="12.88671875" style="388" hidden="1" customWidth="1"/>
    <col min="183" max="183" width="12.88671875" style="387" hidden="1" customWidth="1"/>
    <col min="184" max="184" width="11.44140625" style="388" hidden="1" customWidth="1"/>
    <col min="185" max="185" width="13.44140625" style="387" hidden="1" customWidth="1"/>
    <col min="186" max="186" width="11.44140625" style="388" hidden="1" customWidth="1"/>
    <col min="187" max="187" width="14" style="387" hidden="1" customWidth="1"/>
    <col min="188" max="188" width="11.88671875" style="388" hidden="1" customWidth="1"/>
    <col min="189" max="189" width="11.88671875" style="389" hidden="1" customWidth="1"/>
    <col min="190" max="190" width="11.88671875" style="583" hidden="1" customWidth="1"/>
    <col min="191" max="212" width="11.88671875" style="584" hidden="1" customWidth="1"/>
    <col min="213" max="213" width="11.88671875" style="585" hidden="1" customWidth="1"/>
    <col min="214" max="214" width="11.88671875" style="586" hidden="1" customWidth="1"/>
    <col min="215" max="236" width="11.88671875" style="584" hidden="1" customWidth="1"/>
    <col min="237" max="237" width="11.88671875" style="587" hidden="1" customWidth="1"/>
    <col min="238" max="16384" width="8.88671875" style="418"/>
  </cols>
  <sheetData>
    <row r="1" spans="1:323" s="312" customFormat="1" ht="20.399999999999999" thickTop="1">
      <c r="A1" s="1040" t="s">
        <v>39</v>
      </c>
      <c r="B1" s="1043" t="s">
        <v>40</v>
      </c>
      <c r="C1" s="968" t="s">
        <v>151</v>
      </c>
      <c r="D1" s="969" t="s">
        <v>5</v>
      </c>
      <c r="E1" s="969"/>
      <c r="F1" s="970"/>
      <c r="G1" s="1046" t="s">
        <v>76</v>
      </c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3"/>
      <c r="S1" s="1061" t="s">
        <v>40</v>
      </c>
      <c r="T1" s="1062"/>
      <c r="U1" s="1062"/>
      <c r="V1" s="1062"/>
      <c r="W1" s="1062"/>
      <c r="X1" s="1062"/>
      <c r="Y1" s="1062"/>
      <c r="Z1" s="1062"/>
      <c r="AA1" s="1062"/>
      <c r="AB1" s="1062"/>
      <c r="AC1" s="1062"/>
      <c r="AD1" s="1062"/>
      <c r="AE1" s="1062"/>
      <c r="AF1" s="1062"/>
      <c r="AG1" s="1062"/>
      <c r="AH1" s="1062"/>
      <c r="AI1" s="1062"/>
      <c r="AJ1" s="1062"/>
      <c r="AK1" s="1062"/>
      <c r="AL1" s="1062"/>
      <c r="AM1" s="1062"/>
      <c r="AN1" s="1062"/>
      <c r="AO1" s="1062"/>
      <c r="AP1" s="1062"/>
      <c r="AQ1" s="1062"/>
      <c r="AR1" s="1062"/>
      <c r="AS1" s="1062"/>
      <c r="AT1" s="1062"/>
      <c r="AU1" s="1062"/>
      <c r="AV1" s="1062"/>
      <c r="AW1" s="1062"/>
      <c r="AX1" s="1062"/>
      <c r="AY1" s="1062"/>
      <c r="AZ1" s="1062"/>
      <c r="BA1" s="1062"/>
      <c r="BB1" s="1062"/>
      <c r="BC1" s="1062"/>
      <c r="BD1" s="1062"/>
      <c r="BE1" s="1062"/>
      <c r="BF1" s="1062"/>
      <c r="BG1" s="1062"/>
      <c r="BH1" s="1062"/>
      <c r="BI1" s="1062"/>
      <c r="BJ1" s="1062"/>
      <c r="BK1" s="1062"/>
      <c r="BL1" s="1062"/>
      <c r="BM1" s="1062"/>
      <c r="BN1" s="1062"/>
      <c r="BO1" s="1062"/>
      <c r="BP1" s="1062"/>
      <c r="BQ1" s="1062"/>
      <c r="BR1" s="1062"/>
      <c r="BS1" s="1062"/>
      <c r="BT1" s="1062"/>
      <c r="BU1" s="1062"/>
      <c r="BV1" s="1062"/>
      <c r="BW1" s="1062"/>
      <c r="BX1" s="1062"/>
      <c r="BY1" s="1062"/>
      <c r="BZ1" s="1062"/>
      <c r="CA1" s="1062"/>
      <c r="CB1" s="1062"/>
      <c r="CC1" s="1062"/>
      <c r="CD1" s="1062"/>
      <c r="CE1" s="1062"/>
      <c r="CF1" s="1062"/>
      <c r="CG1" s="1062"/>
      <c r="CH1" s="1062"/>
      <c r="CI1" s="1062"/>
      <c r="CJ1" s="1062"/>
      <c r="CK1" s="1062"/>
      <c r="CL1" s="1062"/>
      <c r="CM1" s="1062"/>
      <c r="CN1" s="1062"/>
      <c r="CO1" s="1062"/>
      <c r="CP1" s="1062"/>
      <c r="CQ1" s="1062"/>
      <c r="CR1" s="1062"/>
      <c r="CS1" s="1062"/>
      <c r="CT1" s="1062"/>
      <c r="CU1" s="974" t="s">
        <v>41</v>
      </c>
      <c r="CV1" s="975"/>
      <c r="CW1" s="975"/>
      <c r="CX1" s="975"/>
      <c r="CY1" s="975"/>
      <c r="CZ1" s="975"/>
      <c r="DA1" s="975"/>
      <c r="DB1" s="975"/>
      <c r="DC1" s="975"/>
      <c r="DD1" s="975"/>
      <c r="DE1" s="975"/>
      <c r="DF1" s="975"/>
      <c r="DG1" s="975"/>
      <c r="DH1" s="975"/>
      <c r="DI1" s="975"/>
      <c r="DJ1" s="975"/>
      <c r="DK1" s="975"/>
      <c r="DL1" s="975"/>
      <c r="DM1" s="975"/>
      <c r="DN1" s="975"/>
      <c r="DO1" s="975"/>
      <c r="DP1" s="975"/>
      <c r="DQ1" s="975"/>
      <c r="DR1" s="975"/>
      <c r="DS1" s="975"/>
      <c r="DT1" s="975"/>
      <c r="DU1" s="975"/>
      <c r="DV1" s="975"/>
      <c r="DW1" s="975"/>
      <c r="DX1" s="975"/>
      <c r="DY1" s="975"/>
      <c r="DZ1" s="975"/>
      <c r="EA1" s="975"/>
      <c r="EB1" s="975"/>
      <c r="EC1" s="975"/>
      <c r="ED1" s="975"/>
      <c r="EE1" s="975"/>
      <c r="EF1" s="975"/>
      <c r="EG1" s="975"/>
      <c r="EH1" s="976"/>
      <c r="EI1" s="832" t="s">
        <v>42</v>
      </c>
      <c r="EJ1" s="833"/>
      <c r="EK1" s="833"/>
      <c r="EL1" s="833"/>
      <c r="EM1" s="833"/>
      <c r="EN1" s="833"/>
      <c r="EO1" s="833"/>
      <c r="EP1" s="833"/>
      <c r="EQ1" s="833"/>
      <c r="ER1" s="833"/>
      <c r="ES1" s="833"/>
      <c r="ET1" s="833"/>
      <c r="EU1" s="833"/>
      <c r="EV1" s="833"/>
      <c r="EW1" s="833"/>
      <c r="EX1" s="833"/>
      <c r="EY1" s="833"/>
      <c r="EZ1" s="833"/>
      <c r="FA1" s="833"/>
      <c r="FB1" s="833"/>
      <c r="FC1" s="833"/>
      <c r="FD1" s="833"/>
      <c r="FE1" s="833"/>
      <c r="FF1" s="833"/>
      <c r="FG1" s="833"/>
      <c r="FH1" s="833"/>
      <c r="FI1" s="833"/>
      <c r="FJ1" s="833"/>
      <c r="FK1" s="833"/>
      <c r="FL1" s="833"/>
      <c r="FM1" s="833"/>
      <c r="FN1" s="833"/>
      <c r="FO1" s="833"/>
      <c r="FP1" s="833"/>
      <c r="FQ1" s="833"/>
      <c r="FR1" s="833"/>
      <c r="FS1" s="833"/>
      <c r="FT1" s="833"/>
      <c r="FU1" s="833"/>
      <c r="FV1" s="833"/>
      <c r="FW1" s="833"/>
      <c r="FX1" s="833"/>
      <c r="FY1" s="833"/>
      <c r="FZ1" s="833"/>
      <c r="GA1" s="833"/>
      <c r="GB1" s="833"/>
      <c r="GC1" s="833"/>
      <c r="GD1" s="833"/>
      <c r="GE1" s="833"/>
      <c r="GF1" s="833"/>
      <c r="GG1" s="833"/>
      <c r="GH1" s="833"/>
      <c r="GI1" s="833"/>
      <c r="GJ1" s="833"/>
      <c r="GK1" s="833"/>
      <c r="GL1" s="833"/>
      <c r="GM1" s="833"/>
      <c r="GN1" s="833"/>
      <c r="GO1" s="833"/>
      <c r="GP1" s="833"/>
      <c r="GQ1" s="833"/>
      <c r="GR1" s="833"/>
      <c r="GS1" s="833"/>
      <c r="GT1" s="833"/>
      <c r="GU1" s="833"/>
      <c r="GV1" s="833"/>
      <c r="GW1" s="833"/>
      <c r="GX1" s="833"/>
      <c r="GY1" s="833"/>
      <c r="GZ1" s="833"/>
      <c r="HA1" s="833"/>
      <c r="HB1" s="833"/>
      <c r="HC1" s="833"/>
      <c r="HD1" s="833"/>
      <c r="HE1" s="833"/>
      <c r="HF1" s="833"/>
      <c r="HG1" s="833"/>
      <c r="HH1" s="833"/>
      <c r="HI1" s="833"/>
      <c r="HJ1" s="833"/>
      <c r="HK1" s="833"/>
      <c r="HL1" s="833"/>
      <c r="HM1" s="833"/>
      <c r="HN1" s="833"/>
      <c r="HO1" s="833"/>
      <c r="HP1" s="833"/>
      <c r="HQ1" s="833"/>
      <c r="HR1" s="833"/>
      <c r="HS1" s="833"/>
      <c r="HT1" s="833"/>
      <c r="HU1" s="833"/>
      <c r="HV1" s="833"/>
      <c r="HW1" s="833"/>
      <c r="HX1" s="833"/>
      <c r="HY1" s="833"/>
      <c r="HZ1" s="833"/>
      <c r="IA1" s="833"/>
      <c r="IB1" s="833"/>
      <c r="IC1" s="834"/>
    </row>
    <row r="2" spans="1:323" s="312" customFormat="1" ht="23.4" customHeight="1">
      <c r="A2" s="1041"/>
      <c r="B2" s="1044"/>
      <c r="C2" s="827"/>
      <c r="D2" s="1054" t="s">
        <v>1</v>
      </c>
      <c r="E2" s="826" t="s">
        <v>203</v>
      </c>
      <c r="F2" s="971" t="s">
        <v>152</v>
      </c>
      <c r="G2" s="1018" t="s">
        <v>72</v>
      </c>
      <c r="H2" s="915" t="s">
        <v>73</v>
      </c>
      <c r="I2" s="915" t="s">
        <v>74</v>
      </c>
      <c r="J2" s="915" t="s">
        <v>140</v>
      </c>
      <c r="K2" s="915" t="s">
        <v>139</v>
      </c>
      <c r="L2" s="915" t="s">
        <v>75</v>
      </c>
      <c r="M2" s="915" t="s">
        <v>71</v>
      </c>
      <c r="N2" s="1024" t="s">
        <v>128</v>
      </c>
      <c r="O2" s="1024" t="s">
        <v>129</v>
      </c>
      <c r="P2" s="1024" t="s">
        <v>149</v>
      </c>
      <c r="Q2" s="1024" t="s">
        <v>150</v>
      </c>
      <c r="R2" s="1057" t="s">
        <v>43</v>
      </c>
      <c r="S2" s="1027" t="s">
        <v>44</v>
      </c>
      <c r="T2" s="1028"/>
      <c r="U2" s="1029" t="s">
        <v>92</v>
      </c>
      <c r="V2" s="1030"/>
      <c r="W2" s="1029" t="s">
        <v>93</v>
      </c>
      <c r="X2" s="1047"/>
      <c r="Y2" s="1029" t="s">
        <v>94</v>
      </c>
      <c r="Z2" s="1047"/>
      <c r="AA2" s="1029" t="s">
        <v>106</v>
      </c>
      <c r="AB2" s="1028"/>
      <c r="AC2" s="1037"/>
      <c r="AD2" s="1028"/>
      <c r="AE2" s="1037"/>
      <c r="AF2" s="1028"/>
      <c r="AG2" s="1037"/>
      <c r="AH2" s="1028"/>
      <c r="AI2" s="1037"/>
      <c r="AJ2" s="1037"/>
      <c r="AK2" s="1037"/>
      <c r="AL2" s="1037"/>
      <c r="AM2" s="1037"/>
      <c r="AN2" s="1037"/>
      <c r="AO2" s="1037"/>
      <c r="AP2" s="1037"/>
      <c r="AQ2" s="1037"/>
      <c r="AR2" s="1028"/>
      <c r="AS2" s="1037"/>
      <c r="AT2" s="1028"/>
      <c r="AU2" s="1037"/>
      <c r="AV2" s="1028"/>
      <c r="AW2" s="1037"/>
      <c r="AX2" s="1028"/>
      <c r="AY2" s="1029" t="s">
        <v>107</v>
      </c>
      <c r="AZ2" s="1037"/>
      <c r="BA2" s="1037"/>
      <c r="BB2" s="1037"/>
      <c r="BC2" s="1037"/>
      <c r="BD2" s="1037"/>
      <c r="BE2" s="1037"/>
      <c r="BF2" s="1037"/>
      <c r="BG2" s="1037"/>
      <c r="BH2" s="1037"/>
      <c r="BI2" s="1037"/>
      <c r="BJ2" s="1037"/>
      <c r="BK2" s="1037"/>
      <c r="BL2" s="1037"/>
      <c r="BM2" s="1037"/>
      <c r="BN2" s="1037"/>
      <c r="BO2" s="1037"/>
      <c r="BP2" s="1037"/>
      <c r="BQ2" s="1037"/>
      <c r="BR2" s="1037"/>
      <c r="BS2" s="1037"/>
      <c r="BT2" s="1037"/>
      <c r="BU2" s="1037"/>
      <c r="BV2" s="1037"/>
      <c r="BW2" s="1029" t="s">
        <v>108</v>
      </c>
      <c r="BX2" s="1037"/>
      <c r="BY2" s="1037"/>
      <c r="BZ2" s="1037"/>
      <c r="CA2" s="1037"/>
      <c r="CB2" s="1037"/>
      <c r="CC2" s="1037"/>
      <c r="CD2" s="1037"/>
      <c r="CE2" s="1037"/>
      <c r="CF2" s="1037"/>
      <c r="CG2" s="1037"/>
      <c r="CH2" s="1037"/>
      <c r="CI2" s="1037"/>
      <c r="CJ2" s="1037"/>
      <c r="CK2" s="1037"/>
      <c r="CL2" s="1037"/>
      <c r="CM2" s="1037"/>
      <c r="CN2" s="1037"/>
      <c r="CO2" s="1037"/>
      <c r="CP2" s="1037"/>
      <c r="CQ2" s="1037"/>
      <c r="CR2" s="1037"/>
      <c r="CS2" s="1037"/>
      <c r="CT2" s="1038"/>
      <c r="CU2" s="921" t="s">
        <v>131</v>
      </c>
      <c r="CV2" s="896" t="s">
        <v>38</v>
      </c>
      <c r="CW2" s="897"/>
      <c r="CX2" s="897"/>
      <c r="CY2" s="1017"/>
      <c r="CZ2" s="1009" t="s">
        <v>136</v>
      </c>
      <c r="DA2" s="1013" t="s">
        <v>137</v>
      </c>
      <c r="DB2" s="894" t="s">
        <v>47</v>
      </c>
      <c r="DC2" s="895"/>
      <c r="DD2" s="895"/>
      <c r="DE2" s="895"/>
      <c r="DF2" s="895"/>
      <c r="DG2" s="895"/>
      <c r="DH2" s="895"/>
      <c r="DI2" s="1016"/>
      <c r="DJ2" s="1002" t="s">
        <v>48</v>
      </c>
      <c r="DK2" s="894" t="s">
        <v>89</v>
      </c>
      <c r="DL2" s="895"/>
      <c r="DM2" s="847" t="s">
        <v>15</v>
      </c>
      <c r="DN2" s="848"/>
      <c r="DO2" s="848"/>
      <c r="DP2" s="848"/>
      <c r="DQ2" s="848"/>
      <c r="DR2" s="848"/>
      <c r="DS2" s="848"/>
      <c r="DT2" s="848"/>
      <c r="DU2" s="983" t="s">
        <v>17</v>
      </c>
      <c r="DV2" s="895" t="s">
        <v>109</v>
      </c>
      <c r="DW2" s="986"/>
      <c r="DX2" s="847" t="s">
        <v>15</v>
      </c>
      <c r="DY2" s="848"/>
      <c r="DZ2" s="848"/>
      <c r="EA2" s="848"/>
      <c r="EB2" s="848"/>
      <c r="EC2" s="848"/>
      <c r="ED2" s="848"/>
      <c r="EE2" s="848"/>
      <c r="EF2" s="983" t="s">
        <v>17</v>
      </c>
      <c r="EG2" s="895" t="s">
        <v>110</v>
      </c>
      <c r="EH2" s="986"/>
      <c r="EI2" s="867" t="s">
        <v>133</v>
      </c>
      <c r="EJ2" s="868"/>
      <c r="EK2" s="868"/>
      <c r="EL2" s="868"/>
      <c r="EM2" s="860" t="s">
        <v>142</v>
      </c>
      <c r="EN2" s="860"/>
      <c r="EO2" s="860"/>
      <c r="EP2" s="860"/>
      <c r="EQ2" s="860"/>
      <c r="ER2" s="860"/>
      <c r="ES2" s="860"/>
      <c r="ET2" s="860"/>
      <c r="EU2" s="871"/>
      <c r="EV2" s="859" t="s">
        <v>138</v>
      </c>
      <c r="EW2" s="860"/>
      <c r="EX2" s="860"/>
      <c r="EY2" s="860"/>
      <c r="EZ2" s="860"/>
      <c r="FA2" s="872" t="s">
        <v>148</v>
      </c>
      <c r="FB2" s="860"/>
      <c r="FC2" s="871"/>
      <c r="FD2" s="835" t="s">
        <v>92</v>
      </c>
      <c r="FE2" s="839"/>
      <c r="FF2" s="835" t="s">
        <v>93</v>
      </c>
      <c r="FG2" s="839"/>
      <c r="FH2" s="835" t="s">
        <v>94</v>
      </c>
      <c r="FI2" s="839"/>
      <c r="FJ2" s="837" t="s">
        <v>103</v>
      </c>
      <c r="FK2" s="837"/>
      <c r="FL2" s="837"/>
      <c r="FM2" s="837"/>
      <c r="FN2" s="837"/>
      <c r="FO2" s="837"/>
      <c r="FP2" s="837"/>
      <c r="FQ2" s="837"/>
      <c r="FR2" s="837"/>
      <c r="FS2" s="837"/>
      <c r="FT2" s="837"/>
      <c r="FU2" s="837"/>
      <c r="FV2" s="837"/>
      <c r="FW2" s="837"/>
      <c r="FX2" s="837"/>
      <c r="FY2" s="837"/>
      <c r="FZ2" s="837"/>
      <c r="GA2" s="837"/>
      <c r="GB2" s="837"/>
      <c r="GC2" s="837"/>
      <c r="GD2" s="837"/>
      <c r="GE2" s="837"/>
      <c r="GF2" s="837"/>
      <c r="GG2" s="838"/>
      <c r="GH2" s="977" t="s">
        <v>104</v>
      </c>
      <c r="GI2" s="840"/>
      <c r="GJ2" s="840"/>
      <c r="GK2" s="840"/>
      <c r="GL2" s="840"/>
      <c r="GM2" s="840"/>
      <c r="GN2" s="840"/>
      <c r="GO2" s="840"/>
      <c r="GP2" s="840"/>
      <c r="GQ2" s="840"/>
      <c r="GR2" s="840"/>
      <c r="GS2" s="840"/>
      <c r="GT2" s="840"/>
      <c r="GU2" s="840"/>
      <c r="GV2" s="840"/>
      <c r="GW2" s="840"/>
      <c r="GX2" s="840"/>
      <c r="GY2" s="840"/>
      <c r="GZ2" s="840"/>
      <c r="HA2" s="840"/>
      <c r="HB2" s="840"/>
      <c r="HC2" s="840"/>
      <c r="HD2" s="840"/>
      <c r="HE2" s="846"/>
      <c r="HF2" s="837" t="s">
        <v>105</v>
      </c>
      <c r="HG2" s="837"/>
      <c r="HH2" s="837"/>
      <c r="HI2" s="837"/>
      <c r="HJ2" s="837"/>
      <c r="HK2" s="837"/>
      <c r="HL2" s="837"/>
      <c r="HM2" s="837"/>
      <c r="HN2" s="837"/>
      <c r="HO2" s="837"/>
      <c r="HP2" s="837"/>
      <c r="HQ2" s="837"/>
      <c r="HR2" s="837"/>
      <c r="HS2" s="837"/>
      <c r="HT2" s="837"/>
      <c r="HU2" s="837"/>
      <c r="HV2" s="837"/>
      <c r="HW2" s="837"/>
      <c r="HX2" s="837"/>
      <c r="HY2" s="837"/>
      <c r="HZ2" s="837"/>
      <c r="IA2" s="837"/>
      <c r="IB2" s="837"/>
      <c r="IC2" s="838"/>
    </row>
    <row r="3" spans="1:323" s="312" customFormat="1" ht="16.2" customHeight="1">
      <c r="A3" s="1041"/>
      <c r="B3" s="1044"/>
      <c r="C3" s="827"/>
      <c r="D3" s="1055"/>
      <c r="E3" s="827"/>
      <c r="F3" s="972"/>
      <c r="G3" s="1018"/>
      <c r="H3" s="915"/>
      <c r="I3" s="915"/>
      <c r="J3" s="915"/>
      <c r="K3" s="915"/>
      <c r="L3" s="915"/>
      <c r="M3" s="915"/>
      <c r="N3" s="1025"/>
      <c r="O3" s="1025"/>
      <c r="P3" s="1025"/>
      <c r="Q3" s="1025"/>
      <c r="R3" s="1058"/>
      <c r="S3" s="1031" t="s">
        <v>44</v>
      </c>
      <c r="T3" s="1033" t="s">
        <v>127</v>
      </c>
      <c r="U3" s="1035" t="s">
        <v>45</v>
      </c>
      <c r="V3" s="1022" t="s">
        <v>127</v>
      </c>
      <c r="W3" s="1048" t="s">
        <v>4</v>
      </c>
      <c r="X3" s="1050" t="s">
        <v>13</v>
      </c>
      <c r="Y3" s="1035" t="s">
        <v>4</v>
      </c>
      <c r="Z3" s="1052" t="s">
        <v>13</v>
      </c>
      <c r="AA3" s="913" t="s">
        <v>50</v>
      </c>
      <c r="AB3" s="1021"/>
      <c r="AC3" s="914" t="s">
        <v>51</v>
      </c>
      <c r="AD3" s="1021"/>
      <c r="AE3" s="914" t="s">
        <v>52</v>
      </c>
      <c r="AF3" s="1021"/>
      <c r="AG3" s="914" t="s">
        <v>53</v>
      </c>
      <c r="AH3" s="1021"/>
      <c r="AI3" s="914" t="s">
        <v>54</v>
      </c>
      <c r="AJ3" s="914"/>
      <c r="AK3" s="914" t="s">
        <v>55</v>
      </c>
      <c r="AL3" s="914"/>
      <c r="AM3" s="914" t="s">
        <v>56</v>
      </c>
      <c r="AN3" s="914"/>
      <c r="AO3" s="914" t="s">
        <v>57</v>
      </c>
      <c r="AP3" s="914"/>
      <c r="AQ3" s="914" t="s">
        <v>58</v>
      </c>
      <c r="AR3" s="1021"/>
      <c r="AS3" s="914" t="s">
        <v>59</v>
      </c>
      <c r="AT3" s="1021"/>
      <c r="AU3" s="914" t="s">
        <v>60</v>
      </c>
      <c r="AV3" s="1021"/>
      <c r="AW3" s="908" t="s">
        <v>61</v>
      </c>
      <c r="AX3" s="1063"/>
      <c r="AY3" s="908" t="s">
        <v>154</v>
      </c>
      <c r="AZ3" s="1039"/>
      <c r="BA3" s="914" t="s">
        <v>156</v>
      </c>
      <c r="BB3" s="914"/>
      <c r="BC3" s="914" t="s">
        <v>158</v>
      </c>
      <c r="BD3" s="914"/>
      <c r="BE3" s="914" t="s">
        <v>160</v>
      </c>
      <c r="BF3" s="914"/>
      <c r="BG3" s="914" t="s">
        <v>162</v>
      </c>
      <c r="BH3" s="914"/>
      <c r="BI3" s="914" t="s">
        <v>164</v>
      </c>
      <c r="BJ3" s="914"/>
      <c r="BK3" s="914" t="s">
        <v>166</v>
      </c>
      <c r="BL3" s="914"/>
      <c r="BM3" s="914" t="s">
        <v>168</v>
      </c>
      <c r="BN3" s="914"/>
      <c r="BO3" s="914" t="s">
        <v>170</v>
      </c>
      <c r="BP3" s="914"/>
      <c r="BQ3" s="914" t="s">
        <v>172</v>
      </c>
      <c r="BR3" s="914"/>
      <c r="BS3" s="914" t="s">
        <v>174</v>
      </c>
      <c r="BT3" s="914"/>
      <c r="BU3" s="908" t="s">
        <v>176</v>
      </c>
      <c r="BV3" s="909"/>
      <c r="BW3" s="913" t="s">
        <v>178</v>
      </c>
      <c r="BX3" s="914"/>
      <c r="BY3" s="914" t="s">
        <v>180</v>
      </c>
      <c r="BZ3" s="914"/>
      <c r="CA3" s="914" t="s">
        <v>182</v>
      </c>
      <c r="CB3" s="914"/>
      <c r="CC3" s="914" t="s">
        <v>184</v>
      </c>
      <c r="CD3" s="914"/>
      <c r="CE3" s="914" t="s">
        <v>186</v>
      </c>
      <c r="CF3" s="914"/>
      <c r="CG3" s="914" t="s">
        <v>188</v>
      </c>
      <c r="CH3" s="914"/>
      <c r="CI3" s="914" t="s">
        <v>190</v>
      </c>
      <c r="CJ3" s="914"/>
      <c r="CK3" s="914" t="s">
        <v>192</v>
      </c>
      <c r="CL3" s="914"/>
      <c r="CM3" s="914" t="s">
        <v>194</v>
      </c>
      <c r="CN3" s="914"/>
      <c r="CO3" s="914" t="s">
        <v>196</v>
      </c>
      <c r="CP3" s="914"/>
      <c r="CQ3" s="914" t="s">
        <v>198</v>
      </c>
      <c r="CR3" s="914"/>
      <c r="CS3" s="909" t="s">
        <v>200</v>
      </c>
      <c r="CT3" s="1012"/>
      <c r="CU3" s="922"/>
      <c r="CV3" s="965" t="s">
        <v>132</v>
      </c>
      <c r="CW3" s="924" t="s">
        <v>36</v>
      </c>
      <c r="CX3" s="899" t="s">
        <v>35</v>
      </c>
      <c r="CY3" s="1005" t="s">
        <v>37</v>
      </c>
      <c r="CZ3" s="1010"/>
      <c r="DA3" s="1014"/>
      <c r="DB3" s="895" t="s">
        <v>62</v>
      </c>
      <c r="DC3" s="895"/>
      <c r="DD3" s="848" t="s">
        <v>63</v>
      </c>
      <c r="DE3" s="848"/>
      <c r="DF3" s="848" t="s">
        <v>64</v>
      </c>
      <c r="DG3" s="848"/>
      <c r="DH3" s="848" t="s">
        <v>65</v>
      </c>
      <c r="DI3" s="848"/>
      <c r="DJ3" s="1003"/>
      <c r="DK3" s="1007" t="s">
        <v>66</v>
      </c>
      <c r="DL3" s="989" t="s">
        <v>127</v>
      </c>
      <c r="DM3" s="847" t="s">
        <v>95</v>
      </c>
      <c r="DN3" s="848"/>
      <c r="DO3" s="848" t="s">
        <v>96</v>
      </c>
      <c r="DP3" s="848"/>
      <c r="DQ3" s="848" t="s">
        <v>97</v>
      </c>
      <c r="DR3" s="848"/>
      <c r="DS3" s="848" t="s">
        <v>98</v>
      </c>
      <c r="DT3" s="848"/>
      <c r="DU3" s="984"/>
      <c r="DV3" s="987" t="s">
        <v>10</v>
      </c>
      <c r="DW3" s="989" t="s">
        <v>13</v>
      </c>
      <c r="DX3" s="847" t="s">
        <v>99</v>
      </c>
      <c r="DY3" s="848"/>
      <c r="DZ3" s="848" t="s">
        <v>100</v>
      </c>
      <c r="EA3" s="848"/>
      <c r="EB3" s="848" t="s">
        <v>101</v>
      </c>
      <c r="EC3" s="848"/>
      <c r="ED3" s="848" t="s">
        <v>102</v>
      </c>
      <c r="EE3" s="848"/>
      <c r="EF3" s="984"/>
      <c r="EG3" s="987" t="s">
        <v>10</v>
      </c>
      <c r="EH3" s="989" t="s">
        <v>13</v>
      </c>
      <c r="EI3" s="991" t="s">
        <v>134</v>
      </c>
      <c r="EJ3" s="873" t="s">
        <v>135</v>
      </c>
      <c r="EK3" s="875" t="s">
        <v>36</v>
      </c>
      <c r="EL3" s="868" t="s">
        <v>35</v>
      </c>
      <c r="EM3" s="860" t="s">
        <v>143</v>
      </c>
      <c r="EN3" s="860"/>
      <c r="EO3" s="860"/>
      <c r="EP3" s="860" t="s">
        <v>144</v>
      </c>
      <c r="EQ3" s="860"/>
      <c r="ER3" s="860"/>
      <c r="ES3" s="860" t="s">
        <v>147</v>
      </c>
      <c r="ET3" s="860"/>
      <c r="EU3" s="871"/>
      <c r="EV3" s="869" t="s">
        <v>134</v>
      </c>
      <c r="EW3" s="993" t="s">
        <v>9</v>
      </c>
      <c r="EX3" s="928" t="s">
        <v>135</v>
      </c>
      <c r="EY3" s="875" t="s">
        <v>36</v>
      </c>
      <c r="EZ3" s="851" t="s">
        <v>35</v>
      </c>
      <c r="FA3" s="860" t="s">
        <v>141</v>
      </c>
      <c r="FB3" s="860"/>
      <c r="FC3" s="871"/>
      <c r="FD3" s="995" t="s">
        <v>45</v>
      </c>
      <c r="FE3" s="997" t="s">
        <v>127</v>
      </c>
      <c r="FF3" s="995" t="s">
        <v>4</v>
      </c>
      <c r="FG3" s="1000" t="s">
        <v>13</v>
      </c>
      <c r="FH3" s="978" t="s">
        <v>4</v>
      </c>
      <c r="FI3" s="980" t="s">
        <v>13</v>
      </c>
      <c r="FJ3" s="835" t="s">
        <v>50</v>
      </c>
      <c r="FK3" s="999"/>
      <c r="FL3" s="999" t="s">
        <v>51</v>
      </c>
      <c r="FM3" s="840"/>
      <c r="FN3" s="840" t="s">
        <v>52</v>
      </c>
      <c r="FO3" s="840"/>
      <c r="FP3" s="840" t="s">
        <v>53</v>
      </c>
      <c r="FQ3" s="840"/>
      <c r="FR3" s="840" t="s">
        <v>54</v>
      </c>
      <c r="FS3" s="840"/>
      <c r="FT3" s="840" t="s">
        <v>55</v>
      </c>
      <c r="FU3" s="840"/>
      <c r="FV3" s="840" t="s">
        <v>56</v>
      </c>
      <c r="FW3" s="840"/>
      <c r="FX3" s="840" t="s">
        <v>57</v>
      </c>
      <c r="FY3" s="840"/>
      <c r="FZ3" s="840" t="s">
        <v>58</v>
      </c>
      <c r="GA3" s="840"/>
      <c r="GB3" s="840" t="s">
        <v>59</v>
      </c>
      <c r="GC3" s="840"/>
      <c r="GD3" s="840" t="s">
        <v>60</v>
      </c>
      <c r="GE3" s="840"/>
      <c r="GF3" s="837" t="s">
        <v>61</v>
      </c>
      <c r="GG3" s="838"/>
      <c r="GH3" s="977" t="s">
        <v>153</v>
      </c>
      <c r="GI3" s="840"/>
      <c r="GJ3" s="840" t="s">
        <v>155</v>
      </c>
      <c r="GK3" s="840"/>
      <c r="GL3" s="840" t="s">
        <v>157</v>
      </c>
      <c r="GM3" s="840"/>
      <c r="GN3" s="840" t="s">
        <v>159</v>
      </c>
      <c r="GO3" s="840"/>
      <c r="GP3" s="840" t="s">
        <v>161</v>
      </c>
      <c r="GQ3" s="840"/>
      <c r="GR3" s="840" t="s">
        <v>163</v>
      </c>
      <c r="GS3" s="840"/>
      <c r="GT3" s="840" t="s">
        <v>165</v>
      </c>
      <c r="GU3" s="840"/>
      <c r="GV3" s="840" t="s">
        <v>167</v>
      </c>
      <c r="GW3" s="840"/>
      <c r="GX3" s="840" t="s">
        <v>169</v>
      </c>
      <c r="GY3" s="840"/>
      <c r="GZ3" s="840" t="s">
        <v>171</v>
      </c>
      <c r="HA3" s="840"/>
      <c r="HB3" s="840" t="s">
        <v>173</v>
      </c>
      <c r="HC3" s="840"/>
      <c r="HD3" s="840" t="s">
        <v>175</v>
      </c>
      <c r="HE3" s="846"/>
      <c r="HF3" s="835" t="s">
        <v>177</v>
      </c>
      <c r="HG3" s="839"/>
      <c r="HH3" s="840" t="s">
        <v>179</v>
      </c>
      <c r="HI3" s="840"/>
      <c r="HJ3" s="840" t="s">
        <v>181</v>
      </c>
      <c r="HK3" s="840"/>
      <c r="HL3" s="840" t="s">
        <v>183</v>
      </c>
      <c r="HM3" s="840"/>
      <c r="HN3" s="840" t="s">
        <v>185</v>
      </c>
      <c r="HO3" s="840"/>
      <c r="HP3" s="840" t="s">
        <v>187</v>
      </c>
      <c r="HQ3" s="840"/>
      <c r="HR3" s="840" t="s">
        <v>189</v>
      </c>
      <c r="HS3" s="840"/>
      <c r="HT3" s="840" t="s">
        <v>191</v>
      </c>
      <c r="HU3" s="840"/>
      <c r="HV3" s="840" t="s">
        <v>193</v>
      </c>
      <c r="HW3" s="840"/>
      <c r="HX3" s="840" t="s">
        <v>195</v>
      </c>
      <c r="HY3" s="840"/>
      <c r="HZ3" s="840" t="s">
        <v>201</v>
      </c>
      <c r="IA3" s="840"/>
      <c r="IB3" s="840" t="s">
        <v>202</v>
      </c>
      <c r="IC3" s="841"/>
    </row>
    <row r="4" spans="1:323" s="328" customFormat="1" ht="40.200000000000003" customHeight="1" thickBot="1">
      <c r="A4" s="1042"/>
      <c r="B4" s="1045"/>
      <c r="C4" s="828"/>
      <c r="D4" s="1056"/>
      <c r="E4" s="828"/>
      <c r="F4" s="973"/>
      <c r="G4" s="1019"/>
      <c r="H4" s="1020"/>
      <c r="I4" s="1020"/>
      <c r="J4" s="1020"/>
      <c r="K4" s="1020"/>
      <c r="L4" s="1020"/>
      <c r="M4" s="1060"/>
      <c r="N4" s="1026"/>
      <c r="O4" s="1026"/>
      <c r="P4" s="1026"/>
      <c r="Q4" s="1026"/>
      <c r="R4" s="1059"/>
      <c r="S4" s="1032"/>
      <c r="T4" s="1034"/>
      <c r="U4" s="1036"/>
      <c r="V4" s="1023"/>
      <c r="W4" s="1049"/>
      <c r="X4" s="1051"/>
      <c r="Y4" s="1036"/>
      <c r="Z4" s="1053"/>
      <c r="AA4" s="313" t="s">
        <v>46</v>
      </c>
      <c r="AB4" s="314" t="s">
        <v>127</v>
      </c>
      <c r="AC4" s="35" t="s">
        <v>46</v>
      </c>
      <c r="AD4" s="314" t="s">
        <v>127</v>
      </c>
      <c r="AE4" s="35" t="s">
        <v>46</v>
      </c>
      <c r="AF4" s="314" t="s">
        <v>127</v>
      </c>
      <c r="AG4" s="35" t="s">
        <v>46</v>
      </c>
      <c r="AH4" s="314" t="s">
        <v>127</v>
      </c>
      <c r="AI4" s="35" t="s">
        <v>46</v>
      </c>
      <c r="AJ4" s="314" t="s">
        <v>127</v>
      </c>
      <c r="AK4" s="35" t="s">
        <v>46</v>
      </c>
      <c r="AL4" s="314" t="s">
        <v>127</v>
      </c>
      <c r="AM4" s="35" t="s">
        <v>46</v>
      </c>
      <c r="AN4" s="314" t="s">
        <v>127</v>
      </c>
      <c r="AO4" s="35" t="s">
        <v>46</v>
      </c>
      <c r="AP4" s="314" t="s">
        <v>127</v>
      </c>
      <c r="AQ4" s="35" t="s">
        <v>46</v>
      </c>
      <c r="AR4" s="314" t="s">
        <v>127</v>
      </c>
      <c r="AS4" s="35" t="s">
        <v>46</v>
      </c>
      <c r="AT4" s="314" t="s">
        <v>127</v>
      </c>
      <c r="AU4" s="35" t="s">
        <v>46</v>
      </c>
      <c r="AV4" s="314" t="s">
        <v>127</v>
      </c>
      <c r="AW4" s="35" t="s">
        <v>46</v>
      </c>
      <c r="AX4" s="315" t="s">
        <v>127</v>
      </c>
      <c r="AY4" s="316" t="s">
        <v>18</v>
      </c>
      <c r="AZ4" s="317" t="s">
        <v>13</v>
      </c>
      <c r="BA4" s="318" t="s">
        <v>18</v>
      </c>
      <c r="BB4" s="319" t="s">
        <v>13</v>
      </c>
      <c r="BC4" s="318" t="s">
        <v>18</v>
      </c>
      <c r="BD4" s="319" t="s">
        <v>13</v>
      </c>
      <c r="BE4" s="318" t="s">
        <v>18</v>
      </c>
      <c r="BF4" s="319" t="s">
        <v>13</v>
      </c>
      <c r="BG4" s="318" t="s">
        <v>18</v>
      </c>
      <c r="BH4" s="319" t="s">
        <v>13</v>
      </c>
      <c r="BI4" s="318" t="s">
        <v>18</v>
      </c>
      <c r="BJ4" s="319" t="s">
        <v>13</v>
      </c>
      <c r="BK4" s="318" t="s">
        <v>18</v>
      </c>
      <c r="BL4" s="319" t="s">
        <v>13</v>
      </c>
      <c r="BM4" s="318" t="s">
        <v>18</v>
      </c>
      <c r="BN4" s="319" t="s">
        <v>13</v>
      </c>
      <c r="BO4" s="318" t="s">
        <v>18</v>
      </c>
      <c r="BP4" s="319" t="s">
        <v>13</v>
      </c>
      <c r="BQ4" s="318" t="s">
        <v>18</v>
      </c>
      <c r="BR4" s="319" t="s">
        <v>13</v>
      </c>
      <c r="BS4" s="318" t="s">
        <v>18</v>
      </c>
      <c r="BT4" s="319" t="s">
        <v>13</v>
      </c>
      <c r="BU4" s="320" t="s">
        <v>18</v>
      </c>
      <c r="BV4" s="317" t="s">
        <v>13</v>
      </c>
      <c r="BW4" s="316" t="s">
        <v>18</v>
      </c>
      <c r="BX4" s="319" t="s">
        <v>13</v>
      </c>
      <c r="BY4" s="318" t="s">
        <v>18</v>
      </c>
      <c r="BZ4" s="319" t="s">
        <v>13</v>
      </c>
      <c r="CA4" s="318" t="s">
        <v>18</v>
      </c>
      <c r="CB4" s="319" t="s">
        <v>13</v>
      </c>
      <c r="CC4" s="318" t="s">
        <v>18</v>
      </c>
      <c r="CD4" s="319" t="s">
        <v>13</v>
      </c>
      <c r="CE4" s="318" t="s">
        <v>18</v>
      </c>
      <c r="CF4" s="319" t="s">
        <v>13</v>
      </c>
      <c r="CG4" s="318" t="s">
        <v>18</v>
      </c>
      <c r="CH4" s="319" t="s">
        <v>13</v>
      </c>
      <c r="CI4" s="318" t="s">
        <v>18</v>
      </c>
      <c r="CJ4" s="319" t="s">
        <v>13</v>
      </c>
      <c r="CK4" s="318" t="s">
        <v>18</v>
      </c>
      <c r="CL4" s="319" t="s">
        <v>13</v>
      </c>
      <c r="CM4" s="318" t="s">
        <v>18</v>
      </c>
      <c r="CN4" s="319" t="s">
        <v>13</v>
      </c>
      <c r="CO4" s="318" t="s">
        <v>18</v>
      </c>
      <c r="CP4" s="319" t="s">
        <v>13</v>
      </c>
      <c r="CQ4" s="318" t="s">
        <v>18</v>
      </c>
      <c r="CR4" s="319" t="s">
        <v>13</v>
      </c>
      <c r="CS4" s="320" t="s">
        <v>18</v>
      </c>
      <c r="CT4" s="321" t="s">
        <v>13</v>
      </c>
      <c r="CU4" s="923"/>
      <c r="CV4" s="966"/>
      <c r="CW4" s="925"/>
      <c r="CX4" s="900"/>
      <c r="CY4" s="1006"/>
      <c r="CZ4" s="1011"/>
      <c r="DA4" s="1015"/>
      <c r="DB4" s="38" t="s">
        <v>47</v>
      </c>
      <c r="DC4" s="322" t="s">
        <v>127</v>
      </c>
      <c r="DD4" s="40" t="s">
        <v>47</v>
      </c>
      <c r="DE4" s="322" t="s">
        <v>127</v>
      </c>
      <c r="DF4" s="40" t="s">
        <v>47</v>
      </c>
      <c r="DG4" s="322" t="s">
        <v>127</v>
      </c>
      <c r="DH4" s="40" t="s">
        <v>47</v>
      </c>
      <c r="DI4" s="322" t="s">
        <v>127</v>
      </c>
      <c r="DJ4" s="1004"/>
      <c r="DK4" s="1008"/>
      <c r="DL4" s="990"/>
      <c r="DM4" s="42" t="s">
        <v>15</v>
      </c>
      <c r="DN4" s="43" t="s">
        <v>13</v>
      </c>
      <c r="DO4" s="40" t="s">
        <v>15</v>
      </c>
      <c r="DP4" s="43" t="s">
        <v>13</v>
      </c>
      <c r="DQ4" s="40" t="s">
        <v>15</v>
      </c>
      <c r="DR4" s="43" t="s">
        <v>13</v>
      </c>
      <c r="DS4" s="40" t="s">
        <v>15</v>
      </c>
      <c r="DT4" s="43" t="s">
        <v>13</v>
      </c>
      <c r="DU4" s="985"/>
      <c r="DV4" s="988"/>
      <c r="DW4" s="990"/>
      <c r="DX4" s="42" t="s">
        <v>15</v>
      </c>
      <c r="DY4" s="43" t="s">
        <v>13</v>
      </c>
      <c r="DZ4" s="40" t="s">
        <v>15</v>
      </c>
      <c r="EA4" s="43" t="s">
        <v>13</v>
      </c>
      <c r="EB4" s="40" t="s">
        <v>15</v>
      </c>
      <c r="EC4" s="43" t="s">
        <v>13</v>
      </c>
      <c r="ED4" s="40" t="s">
        <v>15</v>
      </c>
      <c r="EE4" s="43" t="s">
        <v>13</v>
      </c>
      <c r="EF4" s="985"/>
      <c r="EG4" s="988"/>
      <c r="EH4" s="990"/>
      <c r="EI4" s="992"/>
      <c r="EJ4" s="874"/>
      <c r="EK4" s="876"/>
      <c r="EL4" s="982"/>
      <c r="EM4" s="44" t="s">
        <v>146</v>
      </c>
      <c r="EN4" s="44" t="s">
        <v>135</v>
      </c>
      <c r="EO4" s="323" t="s">
        <v>145</v>
      </c>
      <c r="EP4" s="44" t="s">
        <v>146</v>
      </c>
      <c r="EQ4" s="44" t="s">
        <v>135</v>
      </c>
      <c r="ER4" s="323" t="s">
        <v>145</v>
      </c>
      <c r="ES4" s="44" t="s">
        <v>146</v>
      </c>
      <c r="ET4" s="44" t="s">
        <v>135</v>
      </c>
      <c r="EU4" s="324" t="s">
        <v>145</v>
      </c>
      <c r="EV4" s="879"/>
      <c r="EW4" s="994"/>
      <c r="EX4" s="929"/>
      <c r="EY4" s="930"/>
      <c r="EZ4" s="852"/>
      <c r="FA4" s="44" t="s">
        <v>146</v>
      </c>
      <c r="FB4" s="44" t="s">
        <v>135</v>
      </c>
      <c r="FC4" s="324" t="s">
        <v>145</v>
      </c>
      <c r="FD4" s="996"/>
      <c r="FE4" s="998"/>
      <c r="FF4" s="996"/>
      <c r="FG4" s="1001"/>
      <c r="FH4" s="979"/>
      <c r="FI4" s="981"/>
      <c r="FJ4" s="325" t="s">
        <v>49</v>
      </c>
      <c r="FK4" s="326" t="s">
        <v>127</v>
      </c>
      <c r="FL4" s="49" t="s">
        <v>49</v>
      </c>
      <c r="FM4" s="48" t="s">
        <v>127</v>
      </c>
      <c r="FN4" s="49" t="s">
        <v>49</v>
      </c>
      <c r="FO4" s="48" t="s">
        <v>127</v>
      </c>
      <c r="FP4" s="49" t="s">
        <v>49</v>
      </c>
      <c r="FQ4" s="48" t="s">
        <v>127</v>
      </c>
      <c r="FR4" s="49" t="s">
        <v>49</v>
      </c>
      <c r="FS4" s="48" t="s">
        <v>127</v>
      </c>
      <c r="FT4" s="49" t="s">
        <v>49</v>
      </c>
      <c r="FU4" s="48" t="s">
        <v>127</v>
      </c>
      <c r="FV4" s="49" t="s">
        <v>49</v>
      </c>
      <c r="FW4" s="48" t="s">
        <v>127</v>
      </c>
      <c r="FX4" s="49" t="s">
        <v>49</v>
      </c>
      <c r="FY4" s="48" t="s">
        <v>127</v>
      </c>
      <c r="FZ4" s="49" t="s">
        <v>49</v>
      </c>
      <c r="GA4" s="48" t="s">
        <v>127</v>
      </c>
      <c r="GB4" s="49" t="s">
        <v>49</v>
      </c>
      <c r="GC4" s="48" t="s">
        <v>127</v>
      </c>
      <c r="GD4" s="49" t="s">
        <v>49</v>
      </c>
      <c r="GE4" s="48" t="s">
        <v>127</v>
      </c>
      <c r="GF4" s="49" t="s">
        <v>49</v>
      </c>
      <c r="GG4" s="326" t="s">
        <v>127</v>
      </c>
      <c r="GH4" s="327" t="s">
        <v>16</v>
      </c>
      <c r="GI4" s="48" t="s">
        <v>13</v>
      </c>
      <c r="GJ4" s="49" t="s">
        <v>16</v>
      </c>
      <c r="GK4" s="48" t="s">
        <v>13</v>
      </c>
      <c r="GL4" s="49" t="s">
        <v>16</v>
      </c>
      <c r="GM4" s="48" t="s">
        <v>13</v>
      </c>
      <c r="GN4" s="49" t="s">
        <v>16</v>
      </c>
      <c r="GO4" s="48" t="s">
        <v>13</v>
      </c>
      <c r="GP4" s="49" t="s">
        <v>16</v>
      </c>
      <c r="GQ4" s="48" t="s">
        <v>13</v>
      </c>
      <c r="GR4" s="49" t="s">
        <v>16</v>
      </c>
      <c r="GS4" s="48" t="s">
        <v>13</v>
      </c>
      <c r="GT4" s="49" t="s">
        <v>16</v>
      </c>
      <c r="GU4" s="48" t="s">
        <v>13</v>
      </c>
      <c r="GV4" s="49" t="s">
        <v>16</v>
      </c>
      <c r="GW4" s="48" t="s">
        <v>13</v>
      </c>
      <c r="GX4" s="49" t="s">
        <v>16</v>
      </c>
      <c r="GY4" s="48" t="s">
        <v>13</v>
      </c>
      <c r="GZ4" s="49" t="s">
        <v>16</v>
      </c>
      <c r="HA4" s="48" t="s">
        <v>13</v>
      </c>
      <c r="HB4" s="49" t="s">
        <v>16</v>
      </c>
      <c r="HC4" s="48" t="s">
        <v>13</v>
      </c>
      <c r="HD4" s="49" t="s">
        <v>16</v>
      </c>
      <c r="HE4" s="50" t="s">
        <v>13</v>
      </c>
      <c r="HF4" s="47" t="s">
        <v>16</v>
      </c>
      <c r="HG4" s="48" t="s">
        <v>13</v>
      </c>
      <c r="HH4" s="49" t="s">
        <v>16</v>
      </c>
      <c r="HI4" s="48" t="s">
        <v>13</v>
      </c>
      <c r="HJ4" s="49" t="s">
        <v>16</v>
      </c>
      <c r="HK4" s="48" t="s">
        <v>13</v>
      </c>
      <c r="HL4" s="49" t="s">
        <v>16</v>
      </c>
      <c r="HM4" s="48" t="s">
        <v>13</v>
      </c>
      <c r="HN4" s="49" t="s">
        <v>16</v>
      </c>
      <c r="HO4" s="48" t="s">
        <v>13</v>
      </c>
      <c r="HP4" s="49" t="s">
        <v>16</v>
      </c>
      <c r="HQ4" s="48" t="s">
        <v>13</v>
      </c>
      <c r="HR4" s="49" t="s">
        <v>16</v>
      </c>
      <c r="HS4" s="48" t="s">
        <v>13</v>
      </c>
      <c r="HT4" s="49" t="s">
        <v>16</v>
      </c>
      <c r="HU4" s="48" t="s">
        <v>13</v>
      </c>
      <c r="HV4" s="49" t="s">
        <v>16</v>
      </c>
      <c r="HW4" s="48" t="s">
        <v>13</v>
      </c>
      <c r="HX4" s="49" t="s">
        <v>16</v>
      </c>
      <c r="HY4" s="48" t="s">
        <v>13</v>
      </c>
      <c r="HZ4" s="49" t="s">
        <v>16</v>
      </c>
      <c r="IA4" s="48" t="s">
        <v>13</v>
      </c>
      <c r="IB4" s="49" t="s">
        <v>16</v>
      </c>
      <c r="IC4" s="51" t="s">
        <v>13</v>
      </c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</row>
    <row r="5" spans="1:323" s="356" customFormat="1" ht="16.8" thickTop="1">
      <c r="A5" s="128">
        <f>ROW()-4</f>
        <v>1</v>
      </c>
      <c r="B5" s="142" t="s">
        <v>206</v>
      </c>
      <c r="C5" s="179">
        <v>0</v>
      </c>
      <c r="D5" s="126" t="s">
        <v>706</v>
      </c>
      <c r="E5" s="329" t="s">
        <v>993</v>
      </c>
      <c r="F5" s="330"/>
      <c r="G5" s="331" t="s">
        <v>708</v>
      </c>
      <c r="H5" s="56" t="s">
        <v>278</v>
      </c>
      <c r="I5" s="56" t="s">
        <v>709</v>
      </c>
      <c r="J5" s="56" t="s">
        <v>715</v>
      </c>
      <c r="K5" s="56" t="s">
        <v>710</v>
      </c>
      <c r="L5" s="56">
        <v>36.01</v>
      </c>
      <c r="M5" s="332" t="s">
        <v>707</v>
      </c>
      <c r="N5" s="333" t="s">
        <v>712</v>
      </c>
      <c r="O5" s="333" t="s">
        <v>713</v>
      </c>
      <c r="P5" s="333" t="s">
        <v>711</v>
      </c>
      <c r="Q5" s="333" t="s">
        <v>714</v>
      </c>
      <c r="R5" s="334">
        <v>16000</v>
      </c>
      <c r="S5" s="111">
        <v>24000</v>
      </c>
      <c r="T5" s="112" t="s">
        <v>716</v>
      </c>
      <c r="U5" s="148">
        <v>3300</v>
      </c>
      <c r="V5" s="134" t="s">
        <v>716</v>
      </c>
      <c r="W5" s="335"/>
      <c r="X5" s="336"/>
      <c r="Y5" s="177"/>
      <c r="Z5" s="177"/>
      <c r="AA5" s="129">
        <v>4000</v>
      </c>
      <c r="AB5" s="137" t="s">
        <v>716</v>
      </c>
      <c r="AC5" s="135">
        <v>4000</v>
      </c>
      <c r="AD5" s="137" t="s">
        <v>783</v>
      </c>
      <c r="AE5" s="135">
        <v>4000</v>
      </c>
      <c r="AF5" s="137" t="s">
        <v>806</v>
      </c>
      <c r="AG5" s="135">
        <v>4000</v>
      </c>
      <c r="AH5" s="137" t="s">
        <v>894</v>
      </c>
      <c r="AI5" s="135">
        <v>4000</v>
      </c>
      <c r="AJ5" s="137" t="s">
        <v>977</v>
      </c>
      <c r="AK5" s="135">
        <v>4000</v>
      </c>
      <c r="AL5" s="137" t="s">
        <v>980</v>
      </c>
      <c r="AM5" s="135">
        <v>4000</v>
      </c>
      <c r="AN5" s="137" t="s">
        <v>1007</v>
      </c>
      <c r="AO5" s="135">
        <v>4000</v>
      </c>
      <c r="AP5" s="137">
        <v>45736</v>
      </c>
      <c r="AQ5" s="135">
        <v>4000</v>
      </c>
      <c r="AR5" s="137" t="s">
        <v>1028</v>
      </c>
      <c r="AS5" s="135">
        <v>4000</v>
      </c>
      <c r="AT5" s="137">
        <v>45797</v>
      </c>
      <c r="AU5" s="135">
        <f>AS5</f>
        <v>4000</v>
      </c>
      <c r="AV5" s="137">
        <v>45828</v>
      </c>
      <c r="AW5" s="135">
        <f>AU5</f>
        <v>4000</v>
      </c>
      <c r="AX5" s="137">
        <v>45858</v>
      </c>
      <c r="AY5" s="337"/>
      <c r="AZ5" s="137"/>
      <c r="BA5" s="338"/>
      <c r="BB5" s="137"/>
      <c r="BC5" s="338"/>
      <c r="BD5" s="137"/>
      <c r="BE5" s="338"/>
      <c r="BF5" s="137"/>
      <c r="BG5" s="338"/>
      <c r="BH5" s="137"/>
      <c r="BI5" s="338"/>
      <c r="BJ5" s="137"/>
      <c r="BK5" s="338"/>
      <c r="BL5" s="137"/>
      <c r="BM5" s="338"/>
      <c r="BN5" s="137"/>
      <c r="BO5" s="338"/>
      <c r="BP5" s="137"/>
      <c r="BQ5" s="338"/>
      <c r="BR5" s="137"/>
      <c r="BS5" s="338"/>
      <c r="BT5" s="137"/>
      <c r="BU5" s="339"/>
      <c r="BV5" s="137"/>
      <c r="BW5" s="340"/>
      <c r="BX5" s="137"/>
      <c r="BY5" s="338"/>
      <c r="BZ5" s="137"/>
      <c r="CA5" s="338"/>
      <c r="CB5" s="137"/>
      <c r="CC5" s="338"/>
      <c r="CD5" s="137"/>
      <c r="CE5" s="338"/>
      <c r="CF5" s="137"/>
      <c r="CG5" s="338"/>
      <c r="CH5" s="137"/>
      <c r="CI5" s="338"/>
      <c r="CJ5" s="137"/>
      <c r="CK5" s="338"/>
      <c r="CL5" s="137"/>
      <c r="CM5" s="338"/>
      <c r="CN5" s="137"/>
      <c r="CO5" s="338"/>
      <c r="CP5" s="137"/>
      <c r="CQ5" s="338"/>
      <c r="CR5" s="137"/>
      <c r="CS5" s="339"/>
      <c r="CT5" s="137"/>
      <c r="CU5" s="179" t="s">
        <v>717</v>
      </c>
      <c r="CV5" s="56" t="s">
        <v>718</v>
      </c>
      <c r="CW5" s="341">
        <v>7000021</v>
      </c>
      <c r="CX5" s="181" t="s">
        <v>719</v>
      </c>
      <c r="CY5" s="126" t="s">
        <v>720</v>
      </c>
      <c r="CZ5" s="128"/>
      <c r="DA5" s="342"/>
      <c r="DB5" s="127"/>
      <c r="DC5" s="333"/>
      <c r="DD5" s="128"/>
      <c r="DE5" s="333"/>
      <c r="DF5" s="56"/>
      <c r="DG5" s="333"/>
      <c r="DH5" s="343"/>
      <c r="DI5" s="344"/>
      <c r="DJ5" s="345">
        <f>10000-DH5-DF5-DD5-DB5</f>
        <v>10000</v>
      </c>
      <c r="DK5" s="346">
        <v>1330</v>
      </c>
      <c r="DL5" s="177" t="s">
        <v>783</v>
      </c>
      <c r="DM5" s="347"/>
      <c r="DN5" s="131"/>
      <c r="DO5" s="131"/>
      <c r="DP5" s="131"/>
      <c r="DQ5" s="131"/>
      <c r="DR5" s="131"/>
      <c r="DS5" s="131"/>
      <c r="DT5" s="131"/>
      <c r="DU5" s="132"/>
      <c r="DV5" s="177"/>
      <c r="DW5" s="177"/>
      <c r="DX5" s="347"/>
      <c r="DY5" s="131"/>
      <c r="DZ5" s="131"/>
      <c r="EA5" s="131"/>
      <c r="EB5" s="131"/>
      <c r="EC5" s="131"/>
      <c r="ED5" s="131"/>
      <c r="EE5" s="131"/>
      <c r="EF5" s="132"/>
      <c r="EG5" s="177"/>
      <c r="EH5" s="177"/>
      <c r="EI5" s="348" t="s">
        <v>721</v>
      </c>
      <c r="EJ5" s="56" t="s">
        <v>722</v>
      </c>
      <c r="EK5" s="56">
        <v>7000021</v>
      </c>
      <c r="EL5" s="182" t="s">
        <v>723</v>
      </c>
      <c r="EM5" s="180"/>
      <c r="EN5" s="180"/>
      <c r="EO5" s="180"/>
      <c r="EP5" s="180"/>
      <c r="EQ5" s="180"/>
      <c r="ER5" s="180"/>
      <c r="ES5" s="180"/>
      <c r="ET5" s="180"/>
      <c r="EU5" s="183"/>
      <c r="EV5" s="184"/>
      <c r="EW5" s="180"/>
      <c r="EX5" s="180"/>
      <c r="EY5" s="180"/>
      <c r="EZ5" s="182"/>
      <c r="FA5" s="180"/>
      <c r="FB5" s="180"/>
      <c r="FC5" s="183"/>
      <c r="FD5" s="71"/>
      <c r="FE5" s="132"/>
      <c r="FF5" s="177"/>
      <c r="FG5" s="349"/>
      <c r="FH5" s="347"/>
      <c r="FI5" s="336"/>
      <c r="FJ5" s="71"/>
      <c r="FK5" s="350"/>
      <c r="FL5" s="343"/>
      <c r="FM5" s="333"/>
      <c r="FN5" s="343"/>
      <c r="FO5" s="333"/>
      <c r="FP5" s="329"/>
      <c r="FQ5" s="333"/>
      <c r="FR5" s="329"/>
      <c r="FS5" s="333"/>
      <c r="FT5" s="329"/>
      <c r="FU5" s="333"/>
      <c r="FV5" s="329"/>
      <c r="FW5" s="333"/>
      <c r="FX5" s="329"/>
      <c r="FY5" s="333"/>
      <c r="FZ5" s="329"/>
      <c r="GA5" s="333"/>
      <c r="GB5" s="329"/>
      <c r="GC5" s="333"/>
      <c r="GD5" s="329"/>
      <c r="GE5" s="333"/>
      <c r="GF5" s="329"/>
      <c r="GG5" s="351"/>
      <c r="GH5" s="352"/>
      <c r="GI5" s="333"/>
      <c r="GJ5" s="333"/>
      <c r="GK5" s="333"/>
      <c r="GL5" s="333"/>
      <c r="GM5" s="333"/>
      <c r="GN5" s="333"/>
      <c r="GO5" s="333"/>
      <c r="GP5" s="333"/>
      <c r="GQ5" s="333"/>
      <c r="GR5" s="333"/>
      <c r="GS5" s="333"/>
      <c r="GT5" s="333"/>
      <c r="GU5" s="333"/>
      <c r="GV5" s="333"/>
      <c r="GW5" s="333"/>
      <c r="GX5" s="333"/>
      <c r="GY5" s="333"/>
      <c r="GZ5" s="333"/>
      <c r="HA5" s="333"/>
      <c r="HB5" s="333"/>
      <c r="HC5" s="333"/>
      <c r="HD5" s="333"/>
      <c r="HE5" s="353"/>
      <c r="HF5" s="351"/>
      <c r="HG5" s="333"/>
      <c r="HH5" s="333"/>
      <c r="HI5" s="333"/>
      <c r="HJ5" s="333"/>
      <c r="HK5" s="333"/>
      <c r="HL5" s="333"/>
      <c r="HM5" s="333"/>
      <c r="HN5" s="333"/>
      <c r="HO5" s="333"/>
      <c r="HP5" s="333"/>
      <c r="HQ5" s="333"/>
      <c r="HR5" s="333"/>
      <c r="HS5" s="333"/>
      <c r="HT5" s="333"/>
      <c r="HU5" s="333"/>
      <c r="HV5" s="333"/>
      <c r="HW5" s="333"/>
      <c r="HX5" s="333"/>
      <c r="HY5" s="333"/>
      <c r="HZ5" s="333"/>
      <c r="IA5" s="333"/>
      <c r="IB5" s="333"/>
      <c r="IC5" s="354"/>
      <c r="ID5" s="355"/>
      <c r="IE5" s="355"/>
      <c r="IF5" s="355"/>
      <c r="IG5" s="355"/>
      <c r="IH5" s="355"/>
      <c r="II5" s="355"/>
      <c r="IJ5" s="355"/>
      <c r="IK5" s="355"/>
      <c r="IL5" s="355"/>
      <c r="IM5" s="355"/>
      <c r="IN5" s="355"/>
      <c r="IO5" s="355"/>
      <c r="IP5" s="355"/>
      <c r="IQ5" s="355"/>
      <c r="IR5" s="355"/>
      <c r="IS5" s="355"/>
      <c r="IT5" s="355"/>
      <c r="IU5" s="355"/>
      <c r="IV5" s="355"/>
      <c r="IW5" s="355"/>
      <c r="IX5" s="355"/>
      <c r="IY5" s="355"/>
      <c r="IZ5" s="355"/>
      <c r="JA5" s="355"/>
      <c r="JB5" s="355"/>
      <c r="JC5" s="355"/>
      <c r="JD5" s="355"/>
      <c r="JE5" s="355"/>
      <c r="JF5" s="355"/>
      <c r="JG5" s="355"/>
      <c r="JH5" s="355"/>
      <c r="JI5" s="355"/>
      <c r="JJ5" s="355"/>
      <c r="JK5" s="355"/>
      <c r="JL5" s="355"/>
      <c r="JM5" s="355"/>
      <c r="JN5" s="355"/>
      <c r="JO5" s="355"/>
      <c r="JP5" s="355"/>
      <c r="JQ5" s="355"/>
      <c r="JR5" s="355"/>
      <c r="JS5" s="355"/>
      <c r="JT5" s="355"/>
      <c r="JU5" s="355"/>
      <c r="JV5" s="355"/>
      <c r="JW5" s="355"/>
      <c r="JX5" s="355"/>
      <c r="JY5" s="355"/>
      <c r="JZ5" s="355"/>
      <c r="KA5" s="355"/>
      <c r="KB5" s="355"/>
      <c r="KC5" s="355"/>
      <c r="KD5" s="355"/>
      <c r="KE5" s="355"/>
      <c r="KF5" s="355"/>
      <c r="KG5" s="355"/>
      <c r="KH5" s="355"/>
      <c r="KI5" s="355"/>
      <c r="KJ5" s="355"/>
      <c r="KK5" s="355"/>
      <c r="KL5" s="355"/>
      <c r="KM5" s="355"/>
      <c r="KN5" s="355"/>
      <c r="KO5" s="355"/>
      <c r="KP5" s="355"/>
      <c r="KQ5" s="355"/>
      <c r="KR5" s="355"/>
      <c r="KS5" s="355"/>
      <c r="KT5" s="355"/>
      <c r="KU5" s="355"/>
      <c r="KV5" s="355"/>
      <c r="KW5" s="355"/>
      <c r="KX5" s="355"/>
      <c r="KY5" s="355"/>
      <c r="KZ5" s="355"/>
      <c r="LA5" s="355"/>
      <c r="LB5" s="355"/>
      <c r="LC5" s="355"/>
      <c r="LD5" s="355"/>
      <c r="LE5" s="355"/>
      <c r="LF5" s="355"/>
      <c r="LG5" s="355"/>
      <c r="LH5" s="355"/>
      <c r="LI5" s="355"/>
      <c r="LJ5" s="355"/>
    </row>
    <row r="6" spans="1:323" s="393" customFormat="1">
      <c r="A6" s="730">
        <f>ROW()-4</f>
        <v>2</v>
      </c>
      <c r="B6" s="273" t="s">
        <v>206</v>
      </c>
      <c r="C6" s="311">
        <v>0</v>
      </c>
      <c r="D6" s="727" t="s">
        <v>1278</v>
      </c>
      <c r="E6" s="797" t="s">
        <v>701</v>
      </c>
      <c r="F6" s="798" t="s">
        <v>1277</v>
      </c>
      <c r="G6" s="205" t="s">
        <v>265</v>
      </c>
      <c r="H6" s="206" t="str">
        <f t="shared" ref="H6" si="0">MID(G6,4,3)</f>
        <v>北投區</v>
      </c>
      <c r="I6" s="206" t="s">
        <v>266</v>
      </c>
      <c r="J6" s="206" t="s">
        <v>267</v>
      </c>
      <c r="K6" s="206" t="s">
        <v>268</v>
      </c>
      <c r="L6" s="207">
        <v>58.92</v>
      </c>
      <c r="M6" s="206" t="s">
        <v>228</v>
      </c>
      <c r="N6" s="208" t="s">
        <v>924</v>
      </c>
      <c r="O6" s="359" t="s">
        <v>925</v>
      </c>
      <c r="P6" s="359" t="s">
        <v>924</v>
      </c>
      <c r="Q6" s="359" t="s">
        <v>925</v>
      </c>
      <c r="R6" s="360">
        <v>10000</v>
      </c>
      <c r="S6" s="210">
        <f>24000/4</f>
        <v>6000</v>
      </c>
      <c r="T6" s="211" t="s">
        <v>894</v>
      </c>
      <c r="U6" s="361">
        <v>3200</v>
      </c>
      <c r="V6" s="217" t="s">
        <v>894</v>
      </c>
      <c r="W6" s="362"/>
      <c r="X6" s="363"/>
      <c r="Y6" s="278"/>
      <c r="Z6" s="278"/>
      <c r="AA6" s="364">
        <v>4000</v>
      </c>
      <c r="AB6" s="271" t="s">
        <v>894</v>
      </c>
      <c r="AC6" s="270">
        <v>4000</v>
      </c>
      <c r="AD6" s="271" t="s">
        <v>977</v>
      </c>
      <c r="AE6" s="270">
        <v>4000</v>
      </c>
      <c r="AF6" s="271" t="s">
        <v>980</v>
      </c>
      <c r="AG6" s="270">
        <v>4000</v>
      </c>
      <c r="AH6" s="271" t="s">
        <v>1007</v>
      </c>
      <c r="AI6" s="270">
        <v>4000</v>
      </c>
      <c r="AJ6" s="271">
        <v>45736</v>
      </c>
      <c r="AK6" s="270">
        <v>4000</v>
      </c>
      <c r="AL6" s="271" t="s">
        <v>1028</v>
      </c>
      <c r="AM6" s="270">
        <v>4000</v>
      </c>
      <c r="AN6" s="271">
        <v>45797</v>
      </c>
      <c r="AO6" s="270">
        <f>AM6</f>
        <v>4000</v>
      </c>
      <c r="AP6" s="271">
        <v>45828</v>
      </c>
      <c r="AQ6" s="270">
        <f>AO6</f>
        <v>4000</v>
      </c>
      <c r="AR6" s="271">
        <v>45858</v>
      </c>
      <c r="AS6" s="270">
        <f>AQ6</f>
        <v>4000</v>
      </c>
      <c r="AT6" s="271">
        <v>45889</v>
      </c>
      <c r="AU6" s="270">
        <f>AS6</f>
        <v>4000</v>
      </c>
      <c r="AV6" s="271">
        <v>45920</v>
      </c>
      <c r="AW6" s="270">
        <v>4000</v>
      </c>
      <c r="AX6" s="365">
        <v>45950</v>
      </c>
      <c r="AY6" s="366">
        <v>4000</v>
      </c>
      <c r="AZ6" s="271">
        <v>45981</v>
      </c>
      <c r="BA6" s="366">
        <v>4000</v>
      </c>
      <c r="BB6" s="271">
        <v>46011</v>
      </c>
      <c r="BC6" s="367">
        <f>BA6</f>
        <v>4000</v>
      </c>
      <c r="BD6" s="271" t="s">
        <v>1197</v>
      </c>
      <c r="BE6" s="367">
        <v>4000</v>
      </c>
      <c r="BF6" s="271" t="s">
        <v>1200</v>
      </c>
      <c r="BG6" s="367">
        <f>BE6</f>
        <v>4000</v>
      </c>
      <c r="BH6" s="271" t="s">
        <v>1212</v>
      </c>
      <c r="BI6" s="367">
        <f>BG6</f>
        <v>4000</v>
      </c>
      <c r="BJ6" s="271">
        <v>46132</v>
      </c>
      <c r="BK6" s="367">
        <v>4000</v>
      </c>
      <c r="BL6" s="271">
        <v>46162</v>
      </c>
      <c r="BM6" s="367">
        <v>4000</v>
      </c>
      <c r="BN6" s="271">
        <v>46195</v>
      </c>
      <c r="BO6" s="367">
        <v>4000</v>
      </c>
      <c r="BP6" s="271">
        <v>46223</v>
      </c>
      <c r="BQ6" s="799" t="s">
        <v>702</v>
      </c>
      <c r="BR6" s="799" t="s">
        <v>702</v>
      </c>
      <c r="BS6" s="799" t="s">
        <v>702</v>
      </c>
      <c r="BT6" s="799" t="s">
        <v>702</v>
      </c>
      <c r="BU6" s="799" t="s">
        <v>702</v>
      </c>
      <c r="BV6" s="799" t="s">
        <v>702</v>
      </c>
      <c r="BW6" s="799" t="s">
        <v>702</v>
      </c>
      <c r="BX6" s="799" t="s">
        <v>702</v>
      </c>
      <c r="BY6" s="799" t="s">
        <v>702</v>
      </c>
      <c r="BZ6" s="799" t="s">
        <v>702</v>
      </c>
      <c r="CA6" s="799" t="s">
        <v>702</v>
      </c>
      <c r="CB6" s="799" t="s">
        <v>702</v>
      </c>
      <c r="CC6" s="799" t="s">
        <v>702</v>
      </c>
      <c r="CD6" s="799" t="s">
        <v>702</v>
      </c>
      <c r="CE6" s="799" t="s">
        <v>702</v>
      </c>
      <c r="CF6" s="799" t="s">
        <v>702</v>
      </c>
      <c r="CG6" s="799" t="s">
        <v>702</v>
      </c>
      <c r="CH6" s="799" t="s">
        <v>702</v>
      </c>
      <c r="CI6" s="799" t="s">
        <v>702</v>
      </c>
      <c r="CJ6" s="799" t="s">
        <v>702</v>
      </c>
      <c r="CK6" s="799" t="s">
        <v>702</v>
      </c>
      <c r="CL6" s="799" t="s">
        <v>702</v>
      </c>
      <c r="CM6" s="799" t="s">
        <v>702</v>
      </c>
      <c r="CN6" s="799" t="s">
        <v>702</v>
      </c>
      <c r="CO6" s="799" t="s">
        <v>702</v>
      </c>
      <c r="CP6" s="799" t="s">
        <v>702</v>
      </c>
      <c r="CQ6" s="799" t="s">
        <v>702</v>
      </c>
      <c r="CR6" s="799" t="s">
        <v>702</v>
      </c>
      <c r="CS6" s="799" t="s">
        <v>702</v>
      </c>
      <c r="CT6" s="799" t="s">
        <v>702</v>
      </c>
      <c r="CU6" s="283" t="s">
        <v>339</v>
      </c>
      <c r="CV6" s="284" t="s">
        <v>340</v>
      </c>
      <c r="CW6" s="305" t="s">
        <v>926</v>
      </c>
      <c r="CX6" s="285" t="s">
        <v>341</v>
      </c>
      <c r="CY6" s="227" t="s">
        <v>342</v>
      </c>
      <c r="CZ6" s="229"/>
      <c r="DA6" s="370"/>
      <c r="DB6" s="371">
        <v>10000</v>
      </c>
      <c r="DC6" s="239">
        <v>45920</v>
      </c>
      <c r="DD6" s="372"/>
      <c r="DE6" s="373"/>
      <c r="DF6" s="372"/>
      <c r="DG6" s="373"/>
      <c r="DH6" s="374"/>
      <c r="DI6" s="375"/>
      <c r="DJ6" s="376">
        <f>10000-DH6-DF6-DD6-DB6</f>
        <v>0</v>
      </c>
      <c r="DK6" s="377"/>
      <c r="DL6" s="378"/>
      <c r="DM6" s="379"/>
      <c r="DN6" s="233"/>
      <c r="DO6" s="233"/>
      <c r="DP6" s="233"/>
      <c r="DQ6" s="233"/>
      <c r="DR6" s="233"/>
      <c r="DS6" s="233"/>
      <c r="DT6" s="233"/>
      <c r="DU6" s="234"/>
      <c r="DV6" s="378"/>
      <c r="DW6" s="378"/>
      <c r="DX6" s="379"/>
      <c r="DY6" s="233"/>
      <c r="DZ6" s="233"/>
      <c r="EA6" s="233"/>
      <c r="EB6" s="233"/>
      <c r="EC6" s="233"/>
      <c r="ED6" s="233"/>
      <c r="EE6" s="233"/>
      <c r="EF6" s="234"/>
      <c r="EG6" s="378"/>
      <c r="EH6" s="378"/>
      <c r="EI6" s="296" t="s">
        <v>419</v>
      </c>
      <c r="EJ6" s="248" t="s">
        <v>420</v>
      </c>
      <c r="EK6" s="248" t="s">
        <v>421</v>
      </c>
      <c r="EL6" s="248" t="s">
        <v>422</v>
      </c>
      <c r="EM6" s="272" t="s">
        <v>423</v>
      </c>
      <c r="EN6" s="272" t="s">
        <v>424</v>
      </c>
      <c r="EO6" s="272" t="s">
        <v>425</v>
      </c>
      <c r="EP6" s="272" t="s">
        <v>426</v>
      </c>
      <c r="EQ6" s="248" t="s">
        <v>427</v>
      </c>
      <c r="ER6" s="248" t="s">
        <v>410</v>
      </c>
      <c r="ES6" s="272"/>
      <c r="ET6" s="272"/>
      <c r="EU6" s="297"/>
      <c r="EV6" s="298"/>
      <c r="EW6" s="272"/>
      <c r="EX6" s="272"/>
      <c r="EY6" s="272"/>
      <c r="EZ6" s="248"/>
      <c r="FA6" s="272"/>
      <c r="FB6" s="272"/>
      <c r="FC6" s="297"/>
      <c r="FD6" s="380"/>
      <c r="FE6" s="309"/>
      <c r="FF6" s="381"/>
      <c r="FG6" s="382"/>
      <c r="FH6" s="383"/>
      <c r="FI6" s="384"/>
      <c r="FJ6" s="380"/>
      <c r="FK6" s="385"/>
      <c r="FL6" s="386"/>
      <c r="FM6" s="387"/>
      <c r="FN6" s="386"/>
      <c r="FO6" s="387"/>
      <c r="FP6" s="388"/>
      <c r="FQ6" s="387"/>
      <c r="FR6" s="388"/>
      <c r="FS6" s="387"/>
      <c r="FT6" s="388"/>
      <c r="FU6" s="387"/>
      <c r="FV6" s="388"/>
      <c r="FW6" s="387"/>
      <c r="FX6" s="388"/>
      <c r="FY6" s="387"/>
      <c r="FZ6" s="388"/>
      <c r="GA6" s="387"/>
      <c r="GB6" s="388"/>
      <c r="GC6" s="387"/>
      <c r="GD6" s="388"/>
      <c r="GE6" s="387"/>
      <c r="GF6" s="388"/>
      <c r="GG6" s="389"/>
      <c r="GH6" s="390"/>
      <c r="GI6" s="387"/>
      <c r="GJ6" s="387"/>
      <c r="GK6" s="387"/>
      <c r="GL6" s="387"/>
      <c r="GM6" s="387"/>
      <c r="GN6" s="387"/>
      <c r="GO6" s="387"/>
      <c r="GP6" s="387"/>
      <c r="GQ6" s="387"/>
      <c r="GR6" s="387"/>
      <c r="GS6" s="387"/>
      <c r="GT6" s="387"/>
      <c r="GU6" s="387"/>
      <c r="GV6" s="387"/>
      <c r="GW6" s="387"/>
      <c r="GX6" s="387"/>
      <c r="GY6" s="387"/>
      <c r="GZ6" s="387"/>
      <c r="HA6" s="387"/>
      <c r="HB6" s="387"/>
      <c r="HC6" s="387"/>
      <c r="HD6" s="387"/>
      <c r="HE6" s="391"/>
      <c r="HF6" s="389"/>
      <c r="HG6" s="387"/>
      <c r="HH6" s="387"/>
      <c r="HI6" s="387"/>
      <c r="HJ6" s="387"/>
      <c r="HK6" s="387"/>
      <c r="HL6" s="387"/>
      <c r="HM6" s="387"/>
      <c r="HN6" s="387"/>
      <c r="HO6" s="387"/>
      <c r="HP6" s="387"/>
      <c r="HQ6" s="387"/>
      <c r="HR6" s="387"/>
      <c r="HS6" s="387"/>
      <c r="HT6" s="387"/>
      <c r="HU6" s="387"/>
      <c r="HV6" s="387"/>
      <c r="HW6" s="387"/>
      <c r="HX6" s="387"/>
      <c r="HY6" s="387"/>
      <c r="HZ6" s="387"/>
      <c r="IA6" s="387"/>
      <c r="IB6" s="387"/>
      <c r="IC6" s="39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</row>
    <row r="7" spans="1:323" s="393" customFormat="1">
      <c r="A7" s="730">
        <f>ROW()-4</f>
        <v>3</v>
      </c>
      <c r="B7" s="273" t="s">
        <v>206</v>
      </c>
      <c r="C7" s="311">
        <v>0</v>
      </c>
      <c r="D7" s="727" t="s">
        <v>1059</v>
      </c>
      <c r="E7" s="357"/>
      <c r="F7" s="358"/>
      <c r="G7" s="205" t="s">
        <v>708</v>
      </c>
      <c r="H7" s="206" t="s">
        <v>278</v>
      </c>
      <c r="I7" s="206" t="s">
        <v>709</v>
      </c>
      <c r="J7" s="206" t="s">
        <v>715</v>
      </c>
      <c r="K7" s="206" t="s">
        <v>710</v>
      </c>
      <c r="L7" s="207">
        <v>36.01</v>
      </c>
      <c r="M7" s="206" t="s">
        <v>482</v>
      </c>
      <c r="N7" s="208">
        <v>45813</v>
      </c>
      <c r="O7" s="208">
        <f>N7+364</f>
        <v>46177</v>
      </c>
      <c r="P7" s="359" t="s">
        <v>712</v>
      </c>
      <c r="Q7" s="359" t="s">
        <v>714</v>
      </c>
      <c r="R7" s="360">
        <v>16000</v>
      </c>
      <c r="S7" s="210">
        <v>6000</v>
      </c>
      <c r="T7" s="211">
        <v>45889</v>
      </c>
      <c r="U7" s="361" t="s">
        <v>702</v>
      </c>
      <c r="V7" s="217" t="s">
        <v>702</v>
      </c>
      <c r="W7" s="361">
        <v>4500</v>
      </c>
      <c r="X7" s="217">
        <v>45889</v>
      </c>
      <c r="Y7" s="278"/>
      <c r="Z7" s="278"/>
      <c r="AA7" s="364" t="s">
        <v>702</v>
      </c>
      <c r="AB7" s="271" t="s">
        <v>702</v>
      </c>
      <c r="AC7" s="270" t="s">
        <v>702</v>
      </c>
      <c r="AD7" s="271" t="s">
        <v>702</v>
      </c>
      <c r="AE7" s="270" t="s">
        <v>702</v>
      </c>
      <c r="AF7" s="271" t="s">
        <v>702</v>
      </c>
      <c r="AG7" s="270" t="s">
        <v>702</v>
      </c>
      <c r="AH7" s="271" t="s">
        <v>702</v>
      </c>
      <c r="AI7" s="270" t="s">
        <v>702</v>
      </c>
      <c r="AJ7" s="271" t="s">
        <v>702</v>
      </c>
      <c r="AK7" s="270" t="s">
        <v>702</v>
      </c>
      <c r="AL7" s="271" t="s">
        <v>702</v>
      </c>
      <c r="AM7" s="270" t="s">
        <v>702</v>
      </c>
      <c r="AN7" s="271" t="s">
        <v>702</v>
      </c>
      <c r="AO7" s="270" t="s">
        <v>702</v>
      </c>
      <c r="AP7" s="271" t="s">
        <v>702</v>
      </c>
      <c r="AQ7" s="270" t="s">
        <v>702</v>
      </c>
      <c r="AR7" s="271" t="s">
        <v>702</v>
      </c>
      <c r="AS7" s="270" t="s">
        <v>702</v>
      </c>
      <c r="AT7" s="271" t="s">
        <v>702</v>
      </c>
      <c r="AU7" s="270" t="s">
        <v>702</v>
      </c>
      <c r="AV7" s="271" t="s">
        <v>702</v>
      </c>
      <c r="AW7" s="270" t="s">
        <v>702</v>
      </c>
      <c r="AX7" s="365" t="s">
        <v>702</v>
      </c>
      <c r="AY7" s="366">
        <v>4000</v>
      </c>
      <c r="AZ7" s="271">
        <v>45889</v>
      </c>
      <c r="BA7" s="270">
        <f>AY7</f>
        <v>4000</v>
      </c>
      <c r="BB7" s="271">
        <v>45920</v>
      </c>
      <c r="BC7" s="367">
        <v>4000</v>
      </c>
      <c r="BD7" s="271">
        <v>45950</v>
      </c>
      <c r="BE7" s="366">
        <v>4000</v>
      </c>
      <c r="BF7" s="271">
        <v>45981</v>
      </c>
      <c r="BG7" s="366">
        <v>4000</v>
      </c>
      <c r="BH7" s="271">
        <v>46011</v>
      </c>
      <c r="BI7" s="367">
        <f>BG7</f>
        <v>4000</v>
      </c>
      <c r="BJ7" s="271" t="s">
        <v>1197</v>
      </c>
      <c r="BK7" s="367">
        <v>4000</v>
      </c>
      <c r="BL7" s="271" t="s">
        <v>1200</v>
      </c>
      <c r="BM7" s="367">
        <f>BK7</f>
        <v>4000</v>
      </c>
      <c r="BN7" s="271" t="s">
        <v>1212</v>
      </c>
      <c r="BO7" s="367">
        <f>BM7</f>
        <v>4000</v>
      </c>
      <c r="BP7" s="271">
        <v>46132</v>
      </c>
      <c r="BQ7" s="367">
        <v>4000</v>
      </c>
      <c r="BR7" s="271">
        <v>46162</v>
      </c>
      <c r="BS7" s="367">
        <v>4000</v>
      </c>
      <c r="BT7" s="271">
        <v>46193</v>
      </c>
      <c r="BU7" s="368">
        <v>4000</v>
      </c>
      <c r="BV7" s="215">
        <v>46223</v>
      </c>
      <c r="BW7" s="724">
        <v>4000</v>
      </c>
      <c r="BX7" s="726" t="s">
        <v>1274</v>
      </c>
      <c r="BY7" s="367"/>
      <c r="BZ7" s="271"/>
      <c r="CA7" s="367"/>
      <c r="CB7" s="271"/>
      <c r="CC7" s="367"/>
      <c r="CD7" s="271"/>
      <c r="CE7" s="367"/>
      <c r="CF7" s="271"/>
      <c r="CG7" s="367"/>
      <c r="CH7" s="271"/>
      <c r="CI7" s="367"/>
      <c r="CJ7" s="271"/>
      <c r="CK7" s="367"/>
      <c r="CL7" s="271"/>
      <c r="CM7" s="367"/>
      <c r="CN7" s="271"/>
      <c r="CO7" s="367"/>
      <c r="CP7" s="271"/>
      <c r="CQ7" s="367"/>
      <c r="CR7" s="271"/>
      <c r="CS7" s="368"/>
      <c r="CT7" s="271"/>
      <c r="CU7" s="283" t="s">
        <v>717</v>
      </c>
      <c r="CV7" s="284" t="s">
        <v>718</v>
      </c>
      <c r="CW7" s="305">
        <v>7000021</v>
      </c>
      <c r="CX7" s="285" t="s">
        <v>719</v>
      </c>
      <c r="CY7" s="227" t="s">
        <v>720</v>
      </c>
      <c r="CZ7" s="229"/>
      <c r="DA7" s="370"/>
      <c r="DB7" s="394"/>
      <c r="DC7" s="395"/>
      <c r="DD7" s="372"/>
      <c r="DE7" s="373"/>
      <c r="DF7" s="372"/>
      <c r="DG7" s="373"/>
      <c r="DH7" s="374"/>
      <c r="DI7" s="375"/>
      <c r="DJ7" s="376">
        <f>10000-DH7-DF7-DD7-DB7</f>
        <v>10000</v>
      </c>
      <c r="DK7" s="377">
        <v>1436</v>
      </c>
      <c r="DL7" s="396" t="s">
        <v>1108</v>
      </c>
      <c r="DM7" s="379"/>
      <c r="DN7" s="233"/>
      <c r="DO7" s="233"/>
      <c r="DP7" s="233"/>
      <c r="DQ7" s="233"/>
      <c r="DR7" s="233"/>
      <c r="DS7" s="233"/>
      <c r="DT7" s="233"/>
      <c r="DU7" s="234"/>
      <c r="DV7" s="378"/>
      <c r="DW7" s="378"/>
      <c r="DX7" s="379"/>
      <c r="DY7" s="233"/>
      <c r="DZ7" s="233"/>
      <c r="EA7" s="233"/>
      <c r="EB7" s="233"/>
      <c r="EC7" s="233"/>
      <c r="ED7" s="233"/>
      <c r="EE7" s="233"/>
      <c r="EF7" s="234"/>
      <c r="EG7" s="378"/>
      <c r="EH7" s="378"/>
      <c r="EI7" s="296" t="s">
        <v>721</v>
      </c>
      <c r="EJ7" s="248" t="s">
        <v>722</v>
      </c>
      <c r="EK7" s="248">
        <v>7000021</v>
      </c>
      <c r="EL7" s="248" t="s">
        <v>723</v>
      </c>
      <c r="EM7" s="272"/>
      <c r="EN7" s="272"/>
      <c r="EO7" s="272"/>
      <c r="EP7" s="272"/>
      <c r="EQ7" s="248"/>
      <c r="ER7" s="248"/>
      <c r="ES7" s="272"/>
      <c r="ET7" s="272"/>
      <c r="EU7" s="297"/>
      <c r="EV7" s="298"/>
      <c r="EW7" s="272"/>
      <c r="EX7" s="272"/>
      <c r="EY7" s="272"/>
      <c r="EZ7" s="248"/>
      <c r="FA7" s="272"/>
      <c r="FB7" s="272"/>
      <c r="FC7" s="297"/>
      <c r="FD7" s="380"/>
      <c r="FE7" s="309"/>
      <c r="FF7" s="381"/>
      <c r="FG7" s="382"/>
      <c r="FH7" s="383"/>
      <c r="FI7" s="384"/>
      <c r="FJ7" s="380"/>
      <c r="FK7" s="385"/>
      <c r="FL7" s="386"/>
      <c r="FM7" s="387"/>
      <c r="FN7" s="386"/>
      <c r="FO7" s="387"/>
      <c r="FP7" s="388"/>
      <c r="FQ7" s="387"/>
      <c r="FR7" s="388"/>
      <c r="FS7" s="387"/>
      <c r="FT7" s="388"/>
      <c r="FU7" s="387"/>
      <c r="FV7" s="388"/>
      <c r="FW7" s="387"/>
      <c r="FX7" s="388"/>
      <c r="FY7" s="387"/>
      <c r="FZ7" s="388"/>
      <c r="GA7" s="387"/>
      <c r="GB7" s="388"/>
      <c r="GC7" s="387"/>
      <c r="GD7" s="388"/>
      <c r="GE7" s="387"/>
      <c r="GF7" s="388"/>
      <c r="GG7" s="389"/>
      <c r="GH7" s="390"/>
      <c r="GI7" s="387"/>
      <c r="GJ7" s="387"/>
      <c r="GK7" s="387"/>
      <c r="GL7" s="387"/>
      <c r="GM7" s="387"/>
      <c r="GN7" s="387"/>
      <c r="GO7" s="387"/>
      <c r="GP7" s="387"/>
      <c r="GQ7" s="387"/>
      <c r="GR7" s="387"/>
      <c r="GS7" s="387"/>
      <c r="GT7" s="387"/>
      <c r="GU7" s="387"/>
      <c r="GV7" s="387"/>
      <c r="GW7" s="387"/>
      <c r="GX7" s="387"/>
      <c r="GY7" s="387"/>
      <c r="GZ7" s="387"/>
      <c r="HA7" s="387"/>
      <c r="HB7" s="387"/>
      <c r="HC7" s="387"/>
      <c r="HD7" s="387"/>
      <c r="HE7" s="391"/>
      <c r="HF7" s="389"/>
      <c r="HG7" s="387"/>
      <c r="HH7" s="387"/>
      <c r="HI7" s="387"/>
      <c r="HJ7" s="387"/>
      <c r="HK7" s="387"/>
      <c r="HL7" s="387"/>
      <c r="HM7" s="387"/>
      <c r="HN7" s="387"/>
      <c r="HO7" s="387"/>
      <c r="HP7" s="387"/>
      <c r="HQ7" s="387"/>
      <c r="HR7" s="387"/>
      <c r="HS7" s="387"/>
      <c r="HT7" s="387"/>
      <c r="HU7" s="387"/>
      <c r="HV7" s="387"/>
      <c r="HW7" s="387"/>
      <c r="HX7" s="387"/>
      <c r="HY7" s="387"/>
      <c r="HZ7" s="387"/>
      <c r="IA7" s="387"/>
      <c r="IB7" s="387"/>
      <c r="IC7" s="39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</row>
    <row r="8" spans="1:323" s="393" customFormat="1">
      <c r="A8" s="397"/>
      <c r="B8" s="398"/>
      <c r="C8" s="275"/>
      <c r="D8" s="727"/>
      <c r="E8" s="357"/>
      <c r="F8" s="358"/>
      <c r="G8" s="399"/>
      <c r="H8" s="206"/>
      <c r="I8" s="206"/>
      <c r="J8" s="206"/>
      <c r="K8" s="206"/>
      <c r="L8" s="206"/>
      <c r="M8" s="400"/>
      <c r="N8" s="359"/>
      <c r="O8" s="359"/>
      <c r="P8" s="401"/>
      <c r="Q8" s="401"/>
      <c r="R8" s="360"/>
      <c r="S8" s="402"/>
      <c r="T8" s="211"/>
      <c r="U8" s="403"/>
      <c r="V8" s="217"/>
      <c r="W8" s="362"/>
      <c r="X8" s="363"/>
      <c r="Y8" s="278"/>
      <c r="Z8" s="278"/>
      <c r="AA8" s="404"/>
      <c r="AB8" s="271"/>
      <c r="AC8" s="405"/>
      <c r="AD8" s="271"/>
      <c r="AE8" s="405"/>
      <c r="AF8" s="271"/>
      <c r="AG8" s="405"/>
      <c r="AH8" s="271"/>
      <c r="AI8" s="405"/>
      <c r="AJ8" s="406"/>
      <c r="AK8" s="405"/>
      <c r="AL8" s="406"/>
      <c r="AM8" s="405"/>
      <c r="AN8" s="406"/>
      <c r="AO8" s="405"/>
      <c r="AP8" s="406"/>
      <c r="AQ8" s="405"/>
      <c r="AR8" s="406"/>
      <c r="AS8" s="405"/>
      <c r="AT8" s="406"/>
      <c r="AU8" s="405"/>
      <c r="AV8" s="406"/>
      <c r="AW8" s="405"/>
      <c r="AX8" s="407"/>
      <c r="AY8" s="366"/>
      <c r="AZ8" s="408"/>
      <c r="BA8" s="367"/>
      <c r="BB8" s="409"/>
      <c r="BC8" s="367"/>
      <c r="BD8" s="409"/>
      <c r="BE8" s="367"/>
      <c r="BF8" s="409"/>
      <c r="BG8" s="367"/>
      <c r="BH8" s="409"/>
      <c r="BI8" s="367"/>
      <c r="BJ8" s="409"/>
      <c r="BK8" s="367"/>
      <c r="BL8" s="409"/>
      <c r="BM8" s="367"/>
      <c r="BN8" s="409"/>
      <c r="BO8" s="367"/>
      <c r="BP8" s="409"/>
      <c r="BQ8" s="367"/>
      <c r="BR8" s="409"/>
      <c r="BS8" s="367"/>
      <c r="BT8" s="409"/>
      <c r="BU8" s="368"/>
      <c r="BV8" s="408"/>
      <c r="BW8" s="369"/>
      <c r="BX8" s="409"/>
      <c r="BY8" s="367"/>
      <c r="BZ8" s="409"/>
      <c r="CA8" s="367"/>
      <c r="CB8" s="409"/>
      <c r="CC8" s="367"/>
      <c r="CD8" s="409"/>
      <c r="CE8" s="367"/>
      <c r="CF8" s="409"/>
      <c r="CG8" s="367"/>
      <c r="CH8" s="409"/>
      <c r="CI8" s="367"/>
      <c r="CJ8" s="409"/>
      <c r="CK8" s="367"/>
      <c r="CL8" s="409"/>
      <c r="CM8" s="367"/>
      <c r="CN8" s="409"/>
      <c r="CO8" s="367"/>
      <c r="CP8" s="409"/>
      <c r="CQ8" s="367"/>
      <c r="CR8" s="409"/>
      <c r="CS8" s="368"/>
      <c r="CT8" s="410"/>
      <c r="CU8" s="283"/>
      <c r="CV8" s="411"/>
      <c r="CW8" s="412"/>
      <c r="CX8" s="285"/>
      <c r="CY8" s="227"/>
      <c r="CZ8" s="229"/>
      <c r="DA8" s="370"/>
      <c r="DB8" s="394"/>
      <c r="DC8" s="395"/>
      <c r="DD8" s="372"/>
      <c r="DE8" s="373"/>
      <c r="DF8" s="372"/>
      <c r="DG8" s="373"/>
      <c r="DH8" s="374"/>
      <c r="DI8" s="375"/>
      <c r="DJ8" s="413"/>
      <c r="DK8" s="377"/>
      <c r="DL8" s="378"/>
      <c r="DM8" s="379"/>
      <c r="DN8" s="233"/>
      <c r="DO8" s="233"/>
      <c r="DP8" s="233"/>
      <c r="DQ8" s="233"/>
      <c r="DR8" s="233"/>
      <c r="DS8" s="233"/>
      <c r="DT8" s="233"/>
      <c r="DU8" s="234"/>
      <c r="DV8" s="378"/>
      <c r="DW8" s="378"/>
      <c r="DX8" s="379"/>
      <c r="DY8" s="233"/>
      <c r="DZ8" s="233"/>
      <c r="EA8" s="233"/>
      <c r="EB8" s="233"/>
      <c r="EC8" s="233"/>
      <c r="ED8" s="233"/>
      <c r="EE8" s="233"/>
      <c r="EF8" s="234"/>
      <c r="EG8" s="378"/>
      <c r="EH8" s="378"/>
      <c r="EI8" s="414"/>
      <c r="EJ8" s="415"/>
      <c r="EK8" s="415"/>
      <c r="EL8" s="248"/>
      <c r="EM8" s="272"/>
      <c r="EN8" s="272"/>
      <c r="EO8" s="272"/>
      <c r="EP8" s="272"/>
      <c r="EQ8" s="272"/>
      <c r="ER8" s="272"/>
      <c r="ES8" s="272"/>
      <c r="ET8" s="272"/>
      <c r="EU8" s="297"/>
      <c r="EV8" s="298"/>
      <c r="EW8" s="272"/>
      <c r="EX8" s="272"/>
      <c r="EY8" s="272"/>
      <c r="EZ8" s="248"/>
      <c r="FA8" s="272"/>
      <c r="FB8" s="272"/>
      <c r="FC8" s="297"/>
      <c r="FD8" s="380"/>
      <c r="FE8" s="309"/>
      <c r="FF8" s="381"/>
      <c r="FG8" s="382"/>
      <c r="FH8" s="383"/>
      <c r="FI8" s="384"/>
      <c r="FJ8" s="380"/>
      <c r="FK8" s="385"/>
      <c r="FL8" s="386"/>
      <c r="FM8" s="387"/>
      <c r="FN8" s="386"/>
      <c r="FO8" s="387"/>
      <c r="FP8" s="388"/>
      <c r="FQ8" s="387"/>
      <c r="FR8" s="388"/>
      <c r="FS8" s="387"/>
      <c r="FT8" s="388"/>
      <c r="FU8" s="387"/>
      <c r="FV8" s="388"/>
      <c r="FW8" s="387"/>
      <c r="FX8" s="388"/>
      <c r="FY8" s="387"/>
      <c r="FZ8" s="388"/>
      <c r="GA8" s="387"/>
      <c r="GB8" s="388"/>
      <c r="GC8" s="387"/>
      <c r="GD8" s="388"/>
      <c r="GE8" s="387"/>
      <c r="GF8" s="388"/>
      <c r="GG8" s="389"/>
      <c r="GH8" s="390"/>
      <c r="GI8" s="387"/>
      <c r="GJ8" s="387"/>
      <c r="GK8" s="387"/>
      <c r="GL8" s="387"/>
      <c r="GM8" s="387"/>
      <c r="GN8" s="387"/>
      <c r="GO8" s="387"/>
      <c r="GP8" s="387"/>
      <c r="GQ8" s="387"/>
      <c r="GR8" s="387"/>
      <c r="GS8" s="387"/>
      <c r="GT8" s="387"/>
      <c r="GU8" s="387"/>
      <c r="GV8" s="387"/>
      <c r="GW8" s="387"/>
      <c r="GX8" s="387"/>
      <c r="GY8" s="387"/>
      <c r="GZ8" s="387"/>
      <c r="HA8" s="387"/>
      <c r="HB8" s="387"/>
      <c r="HC8" s="387"/>
      <c r="HD8" s="387"/>
      <c r="HE8" s="391"/>
      <c r="HF8" s="389"/>
      <c r="HG8" s="387"/>
      <c r="HH8" s="387"/>
      <c r="HI8" s="387"/>
      <c r="HJ8" s="387"/>
      <c r="HK8" s="387"/>
      <c r="HL8" s="387"/>
      <c r="HM8" s="387"/>
      <c r="HN8" s="387"/>
      <c r="HO8" s="387"/>
      <c r="HP8" s="387"/>
      <c r="HQ8" s="387"/>
      <c r="HR8" s="387"/>
      <c r="HS8" s="387"/>
      <c r="HT8" s="387"/>
      <c r="HU8" s="387"/>
      <c r="HV8" s="387"/>
      <c r="HW8" s="387"/>
      <c r="HX8" s="387"/>
      <c r="HY8" s="387"/>
      <c r="HZ8" s="387"/>
      <c r="IA8" s="387"/>
      <c r="IB8" s="387"/>
      <c r="IC8" s="39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</row>
    <row r="9" spans="1:323" s="393" customFormat="1">
      <c r="A9" s="397"/>
      <c r="B9" s="398"/>
      <c r="C9" s="275"/>
      <c r="D9" s="727"/>
      <c r="E9" s="357"/>
      <c r="F9" s="358"/>
      <c r="G9" s="399"/>
      <c r="H9" s="206"/>
      <c r="I9" s="206"/>
      <c r="J9" s="206"/>
      <c r="K9" s="206"/>
      <c r="L9" s="206"/>
      <c r="M9" s="400"/>
      <c r="N9" s="359"/>
      <c r="O9" s="359"/>
      <c r="P9" s="401"/>
      <c r="Q9" s="401"/>
      <c r="R9" s="360"/>
      <c r="S9" s="402"/>
      <c r="T9" s="211"/>
      <c r="U9" s="403"/>
      <c r="V9" s="217"/>
      <c r="W9" s="362"/>
      <c r="X9" s="363"/>
      <c r="Y9" s="278"/>
      <c r="Z9" s="278"/>
      <c r="AA9" s="404"/>
      <c r="AB9" s="271"/>
      <c r="AC9" s="405"/>
      <c r="AD9" s="271"/>
      <c r="AE9" s="405"/>
      <c r="AF9" s="271"/>
      <c r="AG9" s="405"/>
      <c r="AH9" s="271"/>
      <c r="AI9" s="405"/>
      <c r="AJ9" s="406"/>
      <c r="AK9" s="405"/>
      <c r="AL9" s="406"/>
      <c r="AM9" s="405"/>
      <c r="AN9" s="406"/>
      <c r="AO9" s="405"/>
      <c r="AP9" s="406"/>
      <c r="AQ9" s="405"/>
      <c r="AR9" s="406"/>
      <c r="AS9" s="405"/>
      <c r="AT9" s="406"/>
      <c r="AU9" s="405"/>
      <c r="AV9" s="406"/>
      <c r="AW9" s="405"/>
      <c r="AX9" s="407"/>
      <c r="AY9" s="366"/>
      <c r="AZ9" s="408"/>
      <c r="BA9" s="367"/>
      <c r="BB9" s="409"/>
      <c r="BC9" s="367"/>
      <c r="BD9" s="409"/>
      <c r="BE9" s="367"/>
      <c r="BF9" s="409"/>
      <c r="BG9" s="367"/>
      <c r="BH9" s="409"/>
      <c r="BI9" s="367"/>
      <c r="BJ9" s="409"/>
      <c r="BK9" s="367"/>
      <c r="BL9" s="409"/>
      <c r="BM9" s="367"/>
      <c r="BN9" s="409"/>
      <c r="BO9" s="367"/>
      <c r="BP9" s="409"/>
      <c r="BQ9" s="367"/>
      <c r="BR9" s="409"/>
      <c r="BS9" s="367"/>
      <c r="BT9" s="409"/>
      <c r="BU9" s="368"/>
      <c r="BV9" s="408"/>
      <c r="BW9" s="369"/>
      <c r="BX9" s="409"/>
      <c r="BY9" s="367"/>
      <c r="BZ9" s="409"/>
      <c r="CA9" s="367"/>
      <c r="CB9" s="409"/>
      <c r="CC9" s="367"/>
      <c r="CD9" s="409"/>
      <c r="CE9" s="367"/>
      <c r="CF9" s="409"/>
      <c r="CG9" s="367"/>
      <c r="CH9" s="409"/>
      <c r="CI9" s="367"/>
      <c r="CJ9" s="409"/>
      <c r="CK9" s="367"/>
      <c r="CL9" s="409"/>
      <c r="CM9" s="367"/>
      <c r="CN9" s="409"/>
      <c r="CO9" s="367"/>
      <c r="CP9" s="409"/>
      <c r="CQ9" s="367"/>
      <c r="CR9" s="409"/>
      <c r="CS9" s="368"/>
      <c r="CT9" s="410"/>
      <c r="CU9" s="283"/>
      <c r="CV9" s="411"/>
      <c r="CW9" s="412"/>
      <c r="CX9" s="285"/>
      <c r="CY9" s="227"/>
      <c r="CZ9" s="229"/>
      <c r="DA9" s="370"/>
      <c r="DB9" s="394"/>
      <c r="DC9" s="395"/>
      <c r="DD9" s="372"/>
      <c r="DE9" s="373"/>
      <c r="DF9" s="372"/>
      <c r="DG9" s="373"/>
      <c r="DH9" s="374"/>
      <c r="DI9" s="375"/>
      <c r="DJ9" s="413"/>
      <c r="DK9" s="377"/>
      <c r="DL9" s="378"/>
      <c r="DM9" s="379"/>
      <c r="DN9" s="233"/>
      <c r="DO9" s="233"/>
      <c r="DP9" s="233"/>
      <c r="DQ9" s="233"/>
      <c r="DR9" s="233"/>
      <c r="DS9" s="233"/>
      <c r="DT9" s="233"/>
      <c r="DU9" s="234"/>
      <c r="DV9" s="378"/>
      <c r="DW9" s="378"/>
      <c r="DX9" s="379"/>
      <c r="DY9" s="233"/>
      <c r="DZ9" s="233"/>
      <c r="EA9" s="233"/>
      <c r="EB9" s="233"/>
      <c r="EC9" s="233"/>
      <c r="ED9" s="233"/>
      <c r="EE9" s="233"/>
      <c r="EF9" s="234"/>
      <c r="EG9" s="378"/>
      <c r="EH9" s="378"/>
      <c r="EI9" s="414"/>
      <c r="EJ9" s="415"/>
      <c r="EK9" s="415"/>
      <c r="EL9" s="248"/>
      <c r="EM9" s="272"/>
      <c r="EN9" s="272"/>
      <c r="EO9" s="272"/>
      <c r="EP9" s="272"/>
      <c r="EQ9" s="272"/>
      <c r="ER9" s="272"/>
      <c r="ES9" s="272"/>
      <c r="ET9" s="272"/>
      <c r="EU9" s="297"/>
      <c r="EV9" s="298"/>
      <c r="EW9" s="272"/>
      <c r="EX9" s="272"/>
      <c r="EY9" s="272"/>
      <c r="EZ9" s="248"/>
      <c r="FA9" s="272"/>
      <c r="FB9" s="272"/>
      <c r="FC9" s="297"/>
      <c r="FD9" s="380"/>
      <c r="FE9" s="309"/>
      <c r="FF9" s="381"/>
      <c r="FG9" s="382"/>
      <c r="FH9" s="383"/>
      <c r="FI9" s="384"/>
      <c r="FJ9" s="380"/>
      <c r="FK9" s="385"/>
      <c r="FL9" s="386"/>
      <c r="FM9" s="387"/>
      <c r="FN9" s="386"/>
      <c r="FO9" s="387"/>
      <c r="FP9" s="388"/>
      <c r="FQ9" s="387"/>
      <c r="FR9" s="388"/>
      <c r="FS9" s="387"/>
      <c r="FT9" s="388"/>
      <c r="FU9" s="387"/>
      <c r="FV9" s="388"/>
      <c r="FW9" s="387"/>
      <c r="FX9" s="388"/>
      <c r="FY9" s="387"/>
      <c r="FZ9" s="388"/>
      <c r="GA9" s="387"/>
      <c r="GB9" s="388"/>
      <c r="GC9" s="387"/>
      <c r="GD9" s="388"/>
      <c r="GE9" s="387"/>
      <c r="GF9" s="388"/>
      <c r="GG9" s="389"/>
      <c r="GH9" s="390"/>
      <c r="GI9" s="387"/>
      <c r="GJ9" s="387"/>
      <c r="GK9" s="387"/>
      <c r="GL9" s="387"/>
      <c r="GM9" s="387"/>
      <c r="GN9" s="387"/>
      <c r="GO9" s="387"/>
      <c r="GP9" s="387"/>
      <c r="GQ9" s="387"/>
      <c r="GR9" s="387"/>
      <c r="GS9" s="387"/>
      <c r="GT9" s="387"/>
      <c r="GU9" s="387"/>
      <c r="GV9" s="387"/>
      <c r="GW9" s="387"/>
      <c r="GX9" s="387"/>
      <c r="GY9" s="387"/>
      <c r="GZ9" s="387"/>
      <c r="HA9" s="387"/>
      <c r="HB9" s="387"/>
      <c r="HC9" s="387"/>
      <c r="HD9" s="387"/>
      <c r="HE9" s="391"/>
      <c r="HF9" s="389"/>
      <c r="HG9" s="387"/>
      <c r="HH9" s="387"/>
      <c r="HI9" s="387"/>
      <c r="HJ9" s="387"/>
      <c r="HK9" s="387"/>
      <c r="HL9" s="387"/>
      <c r="HM9" s="387"/>
      <c r="HN9" s="387"/>
      <c r="HO9" s="387"/>
      <c r="HP9" s="387"/>
      <c r="HQ9" s="387"/>
      <c r="HR9" s="387"/>
      <c r="HS9" s="387"/>
      <c r="HT9" s="387"/>
      <c r="HU9" s="387"/>
      <c r="HV9" s="387"/>
      <c r="HW9" s="387"/>
      <c r="HX9" s="387"/>
      <c r="HY9" s="387"/>
      <c r="HZ9" s="387"/>
      <c r="IA9" s="387"/>
      <c r="IB9" s="387"/>
      <c r="IC9" s="39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</row>
    <row r="10" spans="1:323" s="393" customFormat="1">
      <c r="A10" s="397"/>
      <c r="B10" s="398"/>
      <c r="C10" s="275"/>
      <c r="D10" s="727"/>
      <c r="E10" s="357"/>
      <c r="F10" s="358"/>
      <c r="G10" s="399"/>
      <c r="H10" s="206"/>
      <c r="I10" s="206"/>
      <c r="J10" s="206"/>
      <c r="K10" s="206"/>
      <c r="L10" s="206"/>
      <c r="M10" s="400"/>
      <c r="N10" s="359"/>
      <c r="O10" s="359"/>
      <c r="P10" s="401"/>
      <c r="Q10" s="401"/>
      <c r="R10" s="360"/>
      <c r="S10" s="402"/>
      <c r="T10" s="211"/>
      <c r="U10" s="403"/>
      <c r="V10" s="217"/>
      <c r="W10" s="362"/>
      <c r="X10" s="363"/>
      <c r="Y10" s="278"/>
      <c r="Z10" s="278"/>
      <c r="AA10" s="404"/>
      <c r="AB10" s="271"/>
      <c r="AC10" s="405"/>
      <c r="AD10" s="271"/>
      <c r="AE10" s="405"/>
      <c r="AF10" s="271"/>
      <c r="AG10" s="405"/>
      <c r="AH10" s="271"/>
      <c r="AI10" s="405"/>
      <c r="AJ10" s="406"/>
      <c r="AK10" s="405"/>
      <c r="AL10" s="406"/>
      <c r="AM10" s="405"/>
      <c r="AN10" s="406"/>
      <c r="AO10" s="405"/>
      <c r="AP10" s="406"/>
      <c r="AQ10" s="405"/>
      <c r="AR10" s="406"/>
      <c r="AS10" s="405"/>
      <c r="AT10" s="406"/>
      <c r="AU10" s="405"/>
      <c r="AV10" s="406"/>
      <c r="AW10" s="405"/>
      <c r="AX10" s="407"/>
      <c r="AY10" s="366"/>
      <c r="AZ10" s="408"/>
      <c r="BA10" s="367"/>
      <c r="BB10" s="409"/>
      <c r="BC10" s="367"/>
      <c r="BD10" s="409"/>
      <c r="BE10" s="367"/>
      <c r="BF10" s="409"/>
      <c r="BG10" s="367"/>
      <c r="BH10" s="409"/>
      <c r="BI10" s="367"/>
      <c r="BJ10" s="409"/>
      <c r="BK10" s="367"/>
      <c r="BL10" s="409"/>
      <c r="BM10" s="367"/>
      <c r="BN10" s="409"/>
      <c r="BO10" s="367"/>
      <c r="BP10" s="409"/>
      <c r="BQ10" s="367"/>
      <c r="BR10" s="409"/>
      <c r="BS10" s="367"/>
      <c r="BT10" s="409"/>
      <c r="BU10" s="368"/>
      <c r="BV10" s="408"/>
      <c r="BW10" s="369"/>
      <c r="BX10" s="409"/>
      <c r="BY10" s="367"/>
      <c r="BZ10" s="409"/>
      <c r="CA10" s="367"/>
      <c r="CB10" s="409"/>
      <c r="CC10" s="367"/>
      <c r="CD10" s="409"/>
      <c r="CE10" s="367"/>
      <c r="CF10" s="409"/>
      <c r="CG10" s="367"/>
      <c r="CH10" s="409"/>
      <c r="CI10" s="367"/>
      <c r="CJ10" s="409"/>
      <c r="CK10" s="367"/>
      <c r="CL10" s="409"/>
      <c r="CM10" s="367"/>
      <c r="CN10" s="409"/>
      <c r="CO10" s="367"/>
      <c r="CP10" s="409"/>
      <c r="CQ10" s="367"/>
      <c r="CR10" s="409"/>
      <c r="CS10" s="368"/>
      <c r="CT10" s="410"/>
      <c r="CU10" s="283"/>
      <c r="CV10" s="411"/>
      <c r="CW10" s="412"/>
      <c r="CX10" s="285"/>
      <c r="CY10" s="227"/>
      <c r="CZ10" s="229"/>
      <c r="DA10" s="370"/>
      <c r="DB10" s="394"/>
      <c r="DC10" s="395"/>
      <c r="DD10" s="372"/>
      <c r="DE10" s="373"/>
      <c r="DF10" s="372"/>
      <c r="DG10" s="373"/>
      <c r="DH10" s="374"/>
      <c r="DI10" s="375"/>
      <c r="DJ10" s="413"/>
      <c r="DK10" s="377"/>
      <c r="DL10" s="378"/>
      <c r="DM10" s="379"/>
      <c r="DN10" s="233"/>
      <c r="DO10" s="233"/>
      <c r="DP10" s="233"/>
      <c r="DQ10" s="233"/>
      <c r="DR10" s="233"/>
      <c r="DS10" s="233"/>
      <c r="DT10" s="233"/>
      <c r="DU10" s="234"/>
      <c r="DV10" s="378"/>
      <c r="DW10" s="378"/>
      <c r="DX10" s="379"/>
      <c r="DY10" s="233"/>
      <c r="DZ10" s="233"/>
      <c r="EA10" s="233"/>
      <c r="EB10" s="233"/>
      <c r="EC10" s="233"/>
      <c r="ED10" s="233"/>
      <c r="EE10" s="233"/>
      <c r="EF10" s="234"/>
      <c r="EG10" s="378"/>
      <c r="EH10" s="378"/>
      <c r="EI10" s="414"/>
      <c r="EJ10" s="415"/>
      <c r="EK10" s="415"/>
      <c r="EL10" s="248"/>
      <c r="EM10" s="272"/>
      <c r="EN10" s="272"/>
      <c r="EO10" s="272"/>
      <c r="EP10" s="272"/>
      <c r="EQ10" s="272"/>
      <c r="ER10" s="272"/>
      <c r="ES10" s="272"/>
      <c r="ET10" s="272"/>
      <c r="EU10" s="297"/>
      <c r="EV10" s="298"/>
      <c r="EW10" s="272"/>
      <c r="EX10" s="272"/>
      <c r="EY10" s="272"/>
      <c r="EZ10" s="248"/>
      <c r="FA10" s="272"/>
      <c r="FB10" s="272"/>
      <c r="FC10" s="297"/>
      <c r="FD10" s="380"/>
      <c r="FE10" s="309"/>
      <c r="FF10" s="381"/>
      <c r="FG10" s="382"/>
      <c r="FH10" s="383"/>
      <c r="FI10" s="384"/>
      <c r="FJ10" s="380"/>
      <c r="FK10" s="385"/>
      <c r="FL10" s="386"/>
      <c r="FM10" s="387"/>
      <c r="FN10" s="386"/>
      <c r="FO10" s="387"/>
      <c r="FP10" s="388"/>
      <c r="FQ10" s="387"/>
      <c r="FR10" s="388"/>
      <c r="FS10" s="387"/>
      <c r="FT10" s="388"/>
      <c r="FU10" s="387"/>
      <c r="FV10" s="388"/>
      <c r="FW10" s="387"/>
      <c r="FX10" s="388"/>
      <c r="FY10" s="387"/>
      <c r="FZ10" s="388"/>
      <c r="GA10" s="387"/>
      <c r="GB10" s="388"/>
      <c r="GC10" s="387"/>
      <c r="GD10" s="388"/>
      <c r="GE10" s="387"/>
      <c r="GF10" s="388"/>
      <c r="GG10" s="389"/>
      <c r="GH10" s="390"/>
      <c r="GI10" s="387"/>
      <c r="GJ10" s="387"/>
      <c r="GK10" s="387"/>
      <c r="GL10" s="387"/>
      <c r="GM10" s="387"/>
      <c r="GN10" s="387"/>
      <c r="GO10" s="387"/>
      <c r="GP10" s="387"/>
      <c r="GQ10" s="387"/>
      <c r="GR10" s="387"/>
      <c r="GS10" s="387"/>
      <c r="GT10" s="387"/>
      <c r="GU10" s="387"/>
      <c r="GV10" s="387"/>
      <c r="GW10" s="387"/>
      <c r="GX10" s="387"/>
      <c r="GY10" s="387"/>
      <c r="GZ10" s="387"/>
      <c r="HA10" s="387"/>
      <c r="HB10" s="387"/>
      <c r="HC10" s="387"/>
      <c r="HD10" s="387"/>
      <c r="HE10" s="391"/>
      <c r="HF10" s="389"/>
      <c r="HG10" s="387"/>
      <c r="HH10" s="387"/>
      <c r="HI10" s="387"/>
      <c r="HJ10" s="387"/>
      <c r="HK10" s="387"/>
      <c r="HL10" s="387"/>
      <c r="HM10" s="387"/>
      <c r="HN10" s="387"/>
      <c r="HO10" s="387"/>
      <c r="HP10" s="387"/>
      <c r="HQ10" s="387"/>
      <c r="HR10" s="387"/>
      <c r="HS10" s="387"/>
      <c r="HT10" s="387"/>
      <c r="HU10" s="387"/>
      <c r="HV10" s="387"/>
      <c r="HW10" s="387"/>
      <c r="HX10" s="387"/>
      <c r="HY10" s="387"/>
      <c r="HZ10" s="387"/>
      <c r="IA10" s="387"/>
      <c r="IB10" s="387"/>
      <c r="IC10" s="39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</row>
    <row r="11" spans="1:323" s="393" customFormat="1">
      <c r="A11" s="397"/>
      <c r="B11" s="398"/>
      <c r="C11" s="275"/>
      <c r="D11" s="727"/>
      <c r="E11" s="357"/>
      <c r="F11" s="358"/>
      <c r="G11" s="399"/>
      <c r="H11" s="206"/>
      <c r="I11" s="206"/>
      <c r="J11" s="206"/>
      <c r="K11" s="206"/>
      <c r="L11" s="206"/>
      <c r="M11" s="400"/>
      <c r="N11" s="359"/>
      <c r="O11" s="359"/>
      <c r="P11" s="401"/>
      <c r="Q11" s="401"/>
      <c r="R11" s="360"/>
      <c r="S11" s="402"/>
      <c r="T11" s="211"/>
      <c r="U11" s="403"/>
      <c r="V11" s="217"/>
      <c r="W11" s="362"/>
      <c r="X11" s="363"/>
      <c r="Y11" s="278"/>
      <c r="Z11" s="278"/>
      <c r="AA11" s="404"/>
      <c r="AB11" s="271"/>
      <c r="AC11" s="405"/>
      <c r="AD11" s="271"/>
      <c r="AE11" s="405"/>
      <c r="AF11" s="271"/>
      <c r="AG11" s="405"/>
      <c r="AH11" s="271"/>
      <c r="AI11" s="405"/>
      <c r="AJ11" s="406"/>
      <c r="AK11" s="405"/>
      <c r="AL11" s="406"/>
      <c r="AM11" s="405"/>
      <c r="AN11" s="406"/>
      <c r="AO11" s="405"/>
      <c r="AP11" s="406"/>
      <c r="AQ11" s="405"/>
      <c r="AR11" s="406"/>
      <c r="AS11" s="405"/>
      <c r="AT11" s="406"/>
      <c r="AU11" s="405"/>
      <c r="AV11" s="406"/>
      <c r="AW11" s="405"/>
      <c r="AX11" s="407"/>
      <c r="AY11" s="366"/>
      <c r="AZ11" s="408"/>
      <c r="BA11" s="367"/>
      <c r="BB11" s="409"/>
      <c r="BC11" s="367"/>
      <c r="BD11" s="409"/>
      <c r="BE11" s="367"/>
      <c r="BF11" s="409"/>
      <c r="BG11" s="367"/>
      <c r="BH11" s="409"/>
      <c r="BI11" s="367"/>
      <c r="BJ11" s="409"/>
      <c r="BK11" s="367"/>
      <c r="BL11" s="409"/>
      <c r="BM11" s="367"/>
      <c r="BN11" s="409"/>
      <c r="BO11" s="367"/>
      <c r="BP11" s="409"/>
      <c r="BQ11" s="367"/>
      <c r="BR11" s="409"/>
      <c r="BS11" s="367"/>
      <c r="BT11" s="409"/>
      <c r="BU11" s="368"/>
      <c r="BV11" s="408"/>
      <c r="BW11" s="369"/>
      <c r="BX11" s="409"/>
      <c r="BY11" s="367"/>
      <c r="BZ11" s="409"/>
      <c r="CA11" s="367"/>
      <c r="CB11" s="409"/>
      <c r="CC11" s="367"/>
      <c r="CD11" s="409"/>
      <c r="CE11" s="367"/>
      <c r="CF11" s="409"/>
      <c r="CG11" s="367"/>
      <c r="CH11" s="409"/>
      <c r="CI11" s="367"/>
      <c r="CJ11" s="409"/>
      <c r="CK11" s="367"/>
      <c r="CL11" s="409"/>
      <c r="CM11" s="367"/>
      <c r="CN11" s="409"/>
      <c r="CO11" s="367"/>
      <c r="CP11" s="409"/>
      <c r="CQ11" s="367"/>
      <c r="CR11" s="409"/>
      <c r="CS11" s="368"/>
      <c r="CT11" s="410"/>
      <c r="CU11" s="283"/>
      <c r="CV11" s="411"/>
      <c r="CW11" s="412"/>
      <c r="CX11" s="285"/>
      <c r="CY11" s="227"/>
      <c r="CZ11" s="229"/>
      <c r="DA11" s="370"/>
      <c r="DB11" s="394"/>
      <c r="DC11" s="395"/>
      <c r="DD11" s="372"/>
      <c r="DE11" s="373"/>
      <c r="DF11" s="372"/>
      <c r="DG11" s="373"/>
      <c r="DH11" s="374"/>
      <c r="DI11" s="375"/>
      <c r="DJ11" s="413"/>
      <c r="DK11" s="377"/>
      <c r="DL11" s="378"/>
      <c r="DM11" s="379"/>
      <c r="DN11" s="233"/>
      <c r="DO11" s="233"/>
      <c r="DP11" s="233"/>
      <c r="DQ11" s="233"/>
      <c r="DR11" s="233"/>
      <c r="DS11" s="233"/>
      <c r="DT11" s="233"/>
      <c r="DU11" s="234"/>
      <c r="DV11" s="378"/>
      <c r="DW11" s="378"/>
      <c r="DX11" s="379"/>
      <c r="DY11" s="233"/>
      <c r="DZ11" s="233"/>
      <c r="EA11" s="233"/>
      <c r="EB11" s="233"/>
      <c r="EC11" s="233"/>
      <c r="ED11" s="233"/>
      <c r="EE11" s="233"/>
      <c r="EF11" s="234"/>
      <c r="EG11" s="378"/>
      <c r="EH11" s="378"/>
      <c r="EI11" s="414"/>
      <c r="EJ11" s="415"/>
      <c r="EK11" s="415"/>
      <c r="EL11" s="248"/>
      <c r="EM11" s="272"/>
      <c r="EN11" s="272"/>
      <c r="EO11" s="272"/>
      <c r="EP11" s="272"/>
      <c r="EQ11" s="272"/>
      <c r="ER11" s="272"/>
      <c r="ES11" s="272"/>
      <c r="ET11" s="272"/>
      <c r="EU11" s="297"/>
      <c r="EV11" s="298"/>
      <c r="EW11" s="272"/>
      <c r="EX11" s="272"/>
      <c r="EY11" s="272"/>
      <c r="EZ11" s="248"/>
      <c r="FA11" s="272"/>
      <c r="FB11" s="272"/>
      <c r="FC11" s="297"/>
      <c r="FD11" s="380"/>
      <c r="FE11" s="309"/>
      <c r="FF11" s="381"/>
      <c r="FG11" s="382"/>
      <c r="FH11" s="383"/>
      <c r="FI11" s="384"/>
      <c r="FJ11" s="380"/>
      <c r="FK11" s="385"/>
      <c r="FL11" s="386"/>
      <c r="FM11" s="387"/>
      <c r="FN11" s="386"/>
      <c r="FO11" s="387"/>
      <c r="FP11" s="388"/>
      <c r="FQ11" s="387"/>
      <c r="FR11" s="388"/>
      <c r="FS11" s="387"/>
      <c r="FT11" s="388"/>
      <c r="FU11" s="387"/>
      <c r="FV11" s="388"/>
      <c r="FW11" s="387"/>
      <c r="FX11" s="388"/>
      <c r="FY11" s="387"/>
      <c r="FZ11" s="388"/>
      <c r="GA11" s="387"/>
      <c r="GB11" s="388"/>
      <c r="GC11" s="387"/>
      <c r="GD11" s="388"/>
      <c r="GE11" s="387"/>
      <c r="GF11" s="388"/>
      <c r="GG11" s="389"/>
      <c r="GH11" s="390"/>
      <c r="GI11" s="387"/>
      <c r="GJ11" s="387"/>
      <c r="GK11" s="387"/>
      <c r="GL11" s="387"/>
      <c r="GM11" s="387"/>
      <c r="GN11" s="387"/>
      <c r="GO11" s="387"/>
      <c r="GP11" s="387"/>
      <c r="GQ11" s="387"/>
      <c r="GR11" s="387"/>
      <c r="GS11" s="387"/>
      <c r="GT11" s="387"/>
      <c r="GU11" s="387"/>
      <c r="GV11" s="387"/>
      <c r="GW11" s="387"/>
      <c r="GX11" s="387"/>
      <c r="GY11" s="387"/>
      <c r="GZ11" s="387"/>
      <c r="HA11" s="387"/>
      <c r="HB11" s="387"/>
      <c r="HC11" s="387"/>
      <c r="HD11" s="387"/>
      <c r="HE11" s="391"/>
      <c r="HF11" s="389"/>
      <c r="HG11" s="387"/>
      <c r="HH11" s="387"/>
      <c r="HI11" s="387"/>
      <c r="HJ11" s="387"/>
      <c r="HK11" s="387"/>
      <c r="HL11" s="387"/>
      <c r="HM11" s="387"/>
      <c r="HN11" s="387"/>
      <c r="HO11" s="387"/>
      <c r="HP11" s="387"/>
      <c r="HQ11" s="387"/>
      <c r="HR11" s="387"/>
      <c r="HS11" s="387"/>
      <c r="HT11" s="387"/>
      <c r="HU11" s="387"/>
      <c r="HV11" s="387"/>
      <c r="HW11" s="387"/>
      <c r="HX11" s="387"/>
      <c r="HY11" s="387"/>
      <c r="HZ11" s="387"/>
      <c r="IA11" s="387"/>
      <c r="IB11" s="387"/>
      <c r="IC11" s="39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</row>
    <row r="12" spans="1:323" s="393" customFormat="1">
      <c r="A12" s="397"/>
      <c r="B12" s="398"/>
      <c r="C12" s="275"/>
      <c r="D12" s="727"/>
      <c r="E12" s="357"/>
      <c r="F12" s="358"/>
      <c r="G12" s="399"/>
      <c r="H12" s="206"/>
      <c r="I12" s="206"/>
      <c r="J12" s="206"/>
      <c r="K12" s="206"/>
      <c r="L12" s="206"/>
      <c r="M12" s="400"/>
      <c r="N12" s="359"/>
      <c r="O12" s="359"/>
      <c r="P12" s="401"/>
      <c r="Q12" s="401"/>
      <c r="R12" s="360"/>
      <c r="S12" s="402"/>
      <c r="T12" s="211"/>
      <c r="U12" s="403"/>
      <c r="V12" s="217"/>
      <c r="W12" s="362"/>
      <c r="X12" s="363"/>
      <c r="Y12" s="278"/>
      <c r="Z12" s="278"/>
      <c r="AA12" s="404"/>
      <c r="AB12" s="271"/>
      <c r="AC12" s="405"/>
      <c r="AD12" s="271"/>
      <c r="AE12" s="405"/>
      <c r="AF12" s="271"/>
      <c r="AG12" s="405"/>
      <c r="AH12" s="271"/>
      <c r="AI12" s="405"/>
      <c r="AJ12" s="406"/>
      <c r="AK12" s="405"/>
      <c r="AL12" s="406"/>
      <c r="AM12" s="405"/>
      <c r="AN12" s="406"/>
      <c r="AO12" s="405"/>
      <c r="AP12" s="406"/>
      <c r="AQ12" s="405"/>
      <c r="AR12" s="406"/>
      <c r="AS12" s="405"/>
      <c r="AT12" s="406"/>
      <c r="AU12" s="405"/>
      <c r="AV12" s="406"/>
      <c r="AW12" s="405"/>
      <c r="AX12" s="407"/>
      <c r="AY12" s="366"/>
      <c r="AZ12" s="408"/>
      <c r="BA12" s="367"/>
      <c r="BB12" s="409"/>
      <c r="BC12" s="367"/>
      <c r="BD12" s="409"/>
      <c r="BE12" s="367"/>
      <c r="BF12" s="409"/>
      <c r="BG12" s="367"/>
      <c r="BH12" s="409"/>
      <c r="BI12" s="367"/>
      <c r="BJ12" s="409"/>
      <c r="BK12" s="367"/>
      <c r="BL12" s="409"/>
      <c r="BM12" s="367"/>
      <c r="BN12" s="409"/>
      <c r="BO12" s="367"/>
      <c r="BP12" s="409"/>
      <c r="BQ12" s="367"/>
      <c r="BR12" s="409"/>
      <c r="BS12" s="367"/>
      <c r="BT12" s="409"/>
      <c r="BU12" s="368"/>
      <c r="BV12" s="408"/>
      <c r="BW12" s="369"/>
      <c r="BX12" s="409"/>
      <c r="BY12" s="367"/>
      <c r="BZ12" s="409"/>
      <c r="CA12" s="367"/>
      <c r="CB12" s="409"/>
      <c r="CC12" s="367"/>
      <c r="CD12" s="409"/>
      <c r="CE12" s="367"/>
      <c r="CF12" s="409"/>
      <c r="CG12" s="367"/>
      <c r="CH12" s="409"/>
      <c r="CI12" s="367"/>
      <c r="CJ12" s="409"/>
      <c r="CK12" s="367"/>
      <c r="CL12" s="409"/>
      <c r="CM12" s="367"/>
      <c r="CN12" s="409"/>
      <c r="CO12" s="367"/>
      <c r="CP12" s="409"/>
      <c r="CQ12" s="367"/>
      <c r="CR12" s="409"/>
      <c r="CS12" s="368"/>
      <c r="CT12" s="410"/>
      <c r="CU12" s="283"/>
      <c r="CV12" s="411"/>
      <c r="CW12" s="412"/>
      <c r="CX12" s="285"/>
      <c r="CY12" s="227"/>
      <c r="CZ12" s="229"/>
      <c r="DA12" s="370"/>
      <c r="DB12" s="394"/>
      <c r="DC12" s="395"/>
      <c r="DD12" s="372"/>
      <c r="DE12" s="373"/>
      <c r="DF12" s="372"/>
      <c r="DG12" s="373"/>
      <c r="DH12" s="374"/>
      <c r="DI12" s="375"/>
      <c r="DJ12" s="413"/>
      <c r="DK12" s="377"/>
      <c r="DL12" s="378"/>
      <c r="DM12" s="379"/>
      <c r="DN12" s="233"/>
      <c r="DO12" s="233"/>
      <c r="DP12" s="233"/>
      <c r="DQ12" s="233"/>
      <c r="DR12" s="233"/>
      <c r="DS12" s="233"/>
      <c r="DT12" s="233"/>
      <c r="DU12" s="234"/>
      <c r="DV12" s="378"/>
      <c r="DW12" s="378"/>
      <c r="DX12" s="379"/>
      <c r="DY12" s="233"/>
      <c r="DZ12" s="233"/>
      <c r="EA12" s="233"/>
      <c r="EB12" s="233"/>
      <c r="EC12" s="233"/>
      <c r="ED12" s="233"/>
      <c r="EE12" s="233"/>
      <c r="EF12" s="234"/>
      <c r="EG12" s="378"/>
      <c r="EH12" s="378"/>
      <c r="EI12" s="414"/>
      <c r="EJ12" s="415"/>
      <c r="EK12" s="415"/>
      <c r="EL12" s="248"/>
      <c r="EM12" s="272"/>
      <c r="EN12" s="272"/>
      <c r="EO12" s="272"/>
      <c r="EP12" s="272"/>
      <c r="EQ12" s="272"/>
      <c r="ER12" s="272"/>
      <c r="ES12" s="272"/>
      <c r="ET12" s="272"/>
      <c r="EU12" s="297"/>
      <c r="EV12" s="298"/>
      <c r="EW12" s="272"/>
      <c r="EX12" s="272"/>
      <c r="EY12" s="272"/>
      <c r="EZ12" s="248"/>
      <c r="FA12" s="272"/>
      <c r="FB12" s="272"/>
      <c r="FC12" s="297"/>
      <c r="FD12" s="380"/>
      <c r="FE12" s="309"/>
      <c r="FF12" s="381"/>
      <c r="FG12" s="382"/>
      <c r="FH12" s="383"/>
      <c r="FI12" s="384"/>
      <c r="FJ12" s="380"/>
      <c r="FK12" s="385"/>
      <c r="FL12" s="386"/>
      <c r="FM12" s="387"/>
      <c r="FN12" s="386"/>
      <c r="FO12" s="387"/>
      <c r="FP12" s="388"/>
      <c r="FQ12" s="387"/>
      <c r="FR12" s="388"/>
      <c r="FS12" s="387"/>
      <c r="FT12" s="388"/>
      <c r="FU12" s="387"/>
      <c r="FV12" s="388"/>
      <c r="FW12" s="387"/>
      <c r="FX12" s="388"/>
      <c r="FY12" s="387"/>
      <c r="FZ12" s="388"/>
      <c r="GA12" s="387"/>
      <c r="GB12" s="388"/>
      <c r="GC12" s="387"/>
      <c r="GD12" s="388"/>
      <c r="GE12" s="387"/>
      <c r="GF12" s="388"/>
      <c r="GG12" s="389"/>
      <c r="GH12" s="390"/>
      <c r="GI12" s="387"/>
      <c r="GJ12" s="387"/>
      <c r="GK12" s="387"/>
      <c r="GL12" s="387"/>
      <c r="GM12" s="387"/>
      <c r="GN12" s="387"/>
      <c r="GO12" s="387"/>
      <c r="GP12" s="387"/>
      <c r="GQ12" s="387"/>
      <c r="GR12" s="387"/>
      <c r="GS12" s="387"/>
      <c r="GT12" s="387"/>
      <c r="GU12" s="387"/>
      <c r="GV12" s="387"/>
      <c r="GW12" s="387"/>
      <c r="GX12" s="387"/>
      <c r="GY12" s="387"/>
      <c r="GZ12" s="387"/>
      <c r="HA12" s="387"/>
      <c r="HB12" s="387"/>
      <c r="HC12" s="387"/>
      <c r="HD12" s="387"/>
      <c r="HE12" s="391"/>
      <c r="HF12" s="389"/>
      <c r="HG12" s="387"/>
      <c r="HH12" s="387"/>
      <c r="HI12" s="387"/>
      <c r="HJ12" s="387"/>
      <c r="HK12" s="387"/>
      <c r="HL12" s="387"/>
      <c r="HM12" s="387"/>
      <c r="HN12" s="387"/>
      <c r="HO12" s="387"/>
      <c r="HP12" s="387"/>
      <c r="HQ12" s="387"/>
      <c r="HR12" s="387"/>
      <c r="HS12" s="387"/>
      <c r="HT12" s="387"/>
      <c r="HU12" s="387"/>
      <c r="HV12" s="387"/>
      <c r="HW12" s="387"/>
      <c r="HX12" s="387"/>
      <c r="HY12" s="387"/>
      <c r="HZ12" s="387"/>
      <c r="IA12" s="387"/>
      <c r="IB12" s="387"/>
      <c r="IC12" s="39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</row>
    <row r="13" spans="1:323" s="393" customFormat="1">
      <c r="A13" s="397"/>
      <c r="B13" s="398"/>
      <c r="C13" s="275"/>
      <c r="D13" s="727"/>
      <c r="E13" s="357"/>
      <c r="F13" s="358"/>
      <c r="G13" s="399"/>
      <c r="H13" s="206"/>
      <c r="I13" s="206"/>
      <c r="J13" s="206"/>
      <c r="K13" s="206"/>
      <c r="L13" s="206"/>
      <c r="M13" s="400"/>
      <c r="N13" s="359"/>
      <c r="O13" s="359"/>
      <c r="P13" s="401"/>
      <c r="Q13" s="401"/>
      <c r="R13" s="360"/>
      <c r="S13" s="402"/>
      <c r="T13" s="211"/>
      <c r="U13" s="403"/>
      <c r="V13" s="217"/>
      <c r="W13" s="362"/>
      <c r="X13" s="363"/>
      <c r="Y13" s="278"/>
      <c r="Z13" s="278"/>
      <c r="AA13" s="404"/>
      <c r="AB13" s="271"/>
      <c r="AC13" s="405"/>
      <c r="AD13" s="271"/>
      <c r="AE13" s="405"/>
      <c r="AF13" s="271"/>
      <c r="AG13" s="405"/>
      <c r="AH13" s="271"/>
      <c r="AI13" s="405"/>
      <c r="AJ13" s="406"/>
      <c r="AK13" s="405"/>
      <c r="AL13" s="406"/>
      <c r="AM13" s="405"/>
      <c r="AN13" s="406"/>
      <c r="AO13" s="405"/>
      <c r="AP13" s="406"/>
      <c r="AQ13" s="405"/>
      <c r="AR13" s="406"/>
      <c r="AS13" s="405"/>
      <c r="AT13" s="406"/>
      <c r="AU13" s="405"/>
      <c r="AV13" s="406"/>
      <c r="AW13" s="405"/>
      <c r="AX13" s="407"/>
      <c r="AY13" s="366"/>
      <c r="AZ13" s="408"/>
      <c r="BA13" s="367"/>
      <c r="BB13" s="409"/>
      <c r="BC13" s="367"/>
      <c r="BD13" s="409"/>
      <c r="BE13" s="367"/>
      <c r="BF13" s="409"/>
      <c r="BG13" s="367"/>
      <c r="BH13" s="409"/>
      <c r="BI13" s="367"/>
      <c r="BJ13" s="409"/>
      <c r="BK13" s="367"/>
      <c r="BL13" s="409"/>
      <c r="BM13" s="367"/>
      <c r="BN13" s="409"/>
      <c r="BO13" s="367"/>
      <c r="BP13" s="409"/>
      <c r="BQ13" s="367"/>
      <c r="BR13" s="409"/>
      <c r="BS13" s="367"/>
      <c r="BT13" s="409"/>
      <c r="BU13" s="368"/>
      <c r="BV13" s="408"/>
      <c r="BW13" s="369"/>
      <c r="BX13" s="409"/>
      <c r="BY13" s="367"/>
      <c r="BZ13" s="409"/>
      <c r="CA13" s="367"/>
      <c r="CB13" s="409"/>
      <c r="CC13" s="367"/>
      <c r="CD13" s="409"/>
      <c r="CE13" s="367"/>
      <c r="CF13" s="409"/>
      <c r="CG13" s="367"/>
      <c r="CH13" s="409"/>
      <c r="CI13" s="367"/>
      <c r="CJ13" s="409"/>
      <c r="CK13" s="367"/>
      <c r="CL13" s="409"/>
      <c r="CM13" s="367"/>
      <c r="CN13" s="409"/>
      <c r="CO13" s="367"/>
      <c r="CP13" s="409"/>
      <c r="CQ13" s="367"/>
      <c r="CR13" s="409"/>
      <c r="CS13" s="368"/>
      <c r="CT13" s="410"/>
      <c r="CU13" s="283"/>
      <c r="CV13" s="411"/>
      <c r="CW13" s="412"/>
      <c r="CX13" s="285"/>
      <c r="CY13" s="227"/>
      <c r="CZ13" s="229"/>
      <c r="DA13" s="370"/>
      <c r="DB13" s="394"/>
      <c r="DC13" s="395"/>
      <c r="DD13" s="372"/>
      <c r="DE13" s="373"/>
      <c r="DF13" s="372"/>
      <c r="DG13" s="373"/>
      <c r="DH13" s="374"/>
      <c r="DI13" s="375"/>
      <c r="DJ13" s="413"/>
      <c r="DK13" s="377"/>
      <c r="DL13" s="378"/>
      <c r="DM13" s="379"/>
      <c r="DN13" s="233"/>
      <c r="DO13" s="233"/>
      <c r="DP13" s="233"/>
      <c r="DQ13" s="233"/>
      <c r="DR13" s="233"/>
      <c r="DS13" s="233"/>
      <c r="DT13" s="233"/>
      <c r="DU13" s="234"/>
      <c r="DV13" s="378"/>
      <c r="DW13" s="378"/>
      <c r="DX13" s="379"/>
      <c r="DY13" s="233"/>
      <c r="DZ13" s="233"/>
      <c r="EA13" s="233"/>
      <c r="EB13" s="233"/>
      <c r="EC13" s="233"/>
      <c r="ED13" s="233"/>
      <c r="EE13" s="233"/>
      <c r="EF13" s="234"/>
      <c r="EG13" s="378"/>
      <c r="EH13" s="378"/>
      <c r="EI13" s="414"/>
      <c r="EJ13" s="415"/>
      <c r="EK13" s="415"/>
      <c r="EL13" s="248"/>
      <c r="EM13" s="272"/>
      <c r="EN13" s="272"/>
      <c r="EO13" s="272"/>
      <c r="EP13" s="272"/>
      <c r="EQ13" s="272"/>
      <c r="ER13" s="272"/>
      <c r="ES13" s="272"/>
      <c r="ET13" s="272"/>
      <c r="EU13" s="297"/>
      <c r="EV13" s="298"/>
      <c r="EW13" s="272"/>
      <c r="EX13" s="272"/>
      <c r="EY13" s="272"/>
      <c r="EZ13" s="248"/>
      <c r="FA13" s="272"/>
      <c r="FB13" s="272"/>
      <c r="FC13" s="297"/>
      <c r="FD13" s="380"/>
      <c r="FE13" s="309"/>
      <c r="FF13" s="381"/>
      <c r="FG13" s="382"/>
      <c r="FH13" s="383"/>
      <c r="FI13" s="384"/>
      <c r="FJ13" s="380"/>
      <c r="FK13" s="385"/>
      <c r="FL13" s="386"/>
      <c r="FM13" s="387"/>
      <c r="FN13" s="386"/>
      <c r="FO13" s="387"/>
      <c r="FP13" s="388"/>
      <c r="FQ13" s="387"/>
      <c r="FR13" s="388"/>
      <c r="FS13" s="387"/>
      <c r="FT13" s="388"/>
      <c r="FU13" s="387"/>
      <c r="FV13" s="388"/>
      <c r="FW13" s="387"/>
      <c r="FX13" s="388"/>
      <c r="FY13" s="387"/>
      <c r="FZ13" s="388"/>
      <c r="GA13" s="387"/>
      <c r="GB13" s="388"/>
      <c r="GC13" s="387"/>
      <c r="GD13" s="388"/>
      <c r="GE13" s="387"/>
      <c r="GF13" s="388"/>
      <c r="GG13" s="389"/>
      <c r="GH13" s="390"/>
      <c r="GI13" s="387"/>
      <c r="GJ13" s="387"/>
      <c r="GK13" s="387"/>
      <c r="GL13" s="387"/>
      <c r="GM13" s="387"/>
      <c r="GN13" s="387"/>
      <c r="GO13" s="387"/>
      <c r="GP13" s="387"/>
      <c r="GQ13" s="387"/>
      <c r="GR13" s="387"/>
      <c r="GS13" s="387"/>
      <c r="GT13" s="387"/>
      <c r="GU13" s="387"/>
      <c r="GV13" s="387"/>
      <c r="GW13" s="387"/>
      <c r="GX13" s="387"/>
      <c r="GY13" s="387"/>
      <c r="GZ13" s="387"/>
      <c r="HA13" s="387"/>
      <c r="HB13" s="387"/>
      <c r="HC13" s="387"/>
      <c r="HD13" s="387"/>
      <c r="HE13" s="391"/>
      <c r="HF13" s="389"/>
      <c r="HG13" s="387"/>
      <c r="HH13" s="387"/>
      <c r="HI13" s="387"/>
      <c r="HJ13" s="387"/>
      <c r="HK13" s="387"/>
      <c r="HL13" s="387"/>
      <c r="HM13" s="387"/>
      <c r="HN13" s="387"/>
      <c r="HO13" s="387"/>
      <c r="HP13" s="387"/>
      <c r="HQ13" s="387"/>
      <c r="HR13" s="387"/>
      <c r="HS13" s="387"/>
      <c r="HT13" s="387"/>
      <c r="HU13" s="387"/>
      <c r="HV13" s="387"/>
      <c r="HW13" s="387"/>
      <c r="HX13" s="387"/>
      <c r="HY13" s="387"/>
      <c r="HZ13" s="387"/>
      <c r="IA13" s="387"/>
      <c r="IB13" s="387"/>
      <c r="IC13" s="39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</row>
    <row r="14" spans="1:323" s="393" customFormat="1">
      <c r="A14" s="397"/>
      <c r="B14" s="398"/>
      <c r="C14" s="275"/>
      <c r="D14" s="727"/>
      <c r="E14" s="357"/>
      <c r="F14" s="358"/>
      <c r="G14" s="399"/>
      <c r="H14" s="206"/>
      <c r="I14" s="206"/>
      <c r="J14" s="206"/>
      <c r="K14" s="206"/>
      <c r="L14" s="206"/>
      <c r="M14" s="400"/>
      <c r="N14" s="359"/>
      <c r="O14" s="359"/>
      <c r="P14" s="401"/>
      <c r="Q14" s="401"/>
      <c r="R14" s="360"/>
      <c r="S14" s="402"/>
      <c r="T14" s="211"/>
      <c r="U14" s="403"/>
      <c r="V14" s="217"/>
      <c r="W14" s="362"/>
      <c r="X14" s="363"/>
      <c r="Y14" s="278"/>
      <c r="Z14" s="278"/>
      <c r="AA14" s="404"/>
      <c r="AB14" s="271"/>
      <c r="AC14" s="405"/>
      <c r="AD14" s="271"/>
      <c r="AE14" s="405"/>
      <c r="AF14" s="271"/>
      <c r="AG14" s="405"/>
      <c r="AH14" s="271"/>
      <c r="AI14" s="405"/>
      <c r="AJ14" s="406"/>
      <c r="AK14" s="405"/>
      <c r="AL14" s="406"/>
      <c r="AM14" s="405"/>
      <c r="AN14" s="406"/>
      <c r="AO14" s="405"/>
      <c r="AP14" s="406"/>
      <c r="AQ14" s="405"/>
      <c r="AR14" s="406"/>
      <c r="AS14" s="405"/>
      <c r="AT14" s="406"/>
      <c r="AU14" s="405"/>
      <c r="AV14" s="406"/>
      <c r="AW14" s="405"/>
      <c r="AX14" s="407"/>
      <c r="AY14" s="366"/>
      <c r="AZ14" s="408"/>
      <c r="BA14" s="367"/>
      <c r="BB14" s="409"/>
      <c r="BC14" s="367"/>
      <c r="BD14" s="409"/>
      <c r="BE14" s="367"/>
      <c r="BF14" s="409"/>
      <c r="BG14" s="367"/>
      <c r="BH14" s="409"/>
      <c r="BI14" s="367"/>
      <c r="BJ14" s="409"/>
      <c r="BK14" s="367"/>
      <c r="BL14" s="409"/>
      <c r="BM14" s="367"/>
      <c r="BN14" s="409"/>
      <c r="BO14" s="367"/>
      <c r="BP14" s="409"/>
      <c r="BQ14" s="367"/>
      <c r="BR14" s="409"/>
      <c r="BS14" s="367"/>
      <c r="BT14" s="409"/>
      <c r="BU14" s="368"/>
      <c r="BV14" s="408"/>
      <c r="BW14" s="369"/>
      <c r="BX14" s="409"/>
      <c r="BY14" s="367"/>
      <c r="BZ14" s="409"/>
      <c r="CA14" s="367"/>
      <c r="CB14" s="409"/>
      <c r="CC14" s="367"/>
      <c r="CD14" s="409"/>
      <c r="CE14" s="367"/>
      <c r="CF14" s="409"/>
      <c r="CG14" s="367"/>
      <c r="CH14" s="409"/>
      <c r="CI14" s="367"/>
      <c r="CJ14" s="409"/>
      <c r="CK14" s="367"/>
      <c r="CL14" s="409"/>
      <c r="CM14" s="367"/>
      <c r="CN14" s="409"/>
      <c r="CO14" s="367"/>
      <c r="CP14" s="409"/>
      <c r="CQ14" s="367"/>
      <c r="CR14" s="409"/>
      <c r="CS14" s="368"/>
      <c r="CT14" s="410"/>
      <c r="CU14" s="283"/>
      <c r="CV14" s="411"/>
      <c r="CW14" s="412"/>
      <c r="CX14" s="285"/>
      <c r="CY14" s="227"/>
      <c r="CZ14" s="229"/>
      <c r="DA14" s="370"/>
      <c r="DB14" s="394"/>
      <c r="DC14" s="395"/>
      <c r="DD14" s="372"/>
      <c r="DE14" s="373"/>
      <c r="DF14" s="372"/>
      <c r="DG14" s="373"/>
      <c r="DH14" s="374"/>
      <c r="DI14" s="375"/>
      <c r="DJ14" s="413"/>
      <c r="DK14" s="377"/>
      <c r="DL14" s="378"/>
      <c r="DM14" s="379"/>
      <c r="DN14" s="233"/>
      <c r="DO14" s="233"/>
      <c r="DP14" s="233"/>
      <c r="DQ14" s="233"/>
      <c r="DR14" s="233"/>
      <c r="DS14" s="233"/>
      <c r="DT14" s="233"/>
      <c r="DU14" s="234"/>
      <c r="DV14" s="378"/>
      <c r="DW14" s="378"/>
      <c r="DX14" s="379"/>
      <c r="DY14" s="233"/>
      <c r="DZ14" s="233"/>
      <c r="EA14" s="233"/>
      <c r="EB14" s="233"/>
      <c r="EC14" s="233"/>
      <c r="ED14" s="233"/>
      <c r="EE14" s="233"/>
      <c r="EF14" s="234"/>
      <c r="EG14" s="378"/>
      <c r="EH14" s="378"/>
      <c r="EI14" s="414"/>
      <c r="EJ14" s="415"/>
      <c r="EK14" s="415"/>
      <c r="EL14" s="248"/>
      <c r="EM14" s="272"/>
      <c r="EN14" s="272"/>
      <c r="EO14" s="272"/>
      <c r="EP14" s="272"/>
      <c r="EQ14" s="272"/>
      <c r="ER14" s="272"/>
      <c r="ES14" s="272"/>
      <c r="ET14" s="272"/>
      <c r="EU14" s="297"/>
      <c r="EV14" s="298"/>
      <c r="EW14" s="272"/>
      <c r="EX14" s="272"/>
      <c r="EY14" s="272"/>
      <c r="EZ14" s="248"/>
      <c r="FA14" s="272"/>
      <c r="FB14" s="272"/>
      <c r="FC14" s="297"/>
      <c r="FD14" s="380"/>
      <c r="FE14" s="309"/>
      <c r="FF14" s="381"/>
      <c r="FG14" s="382"/>
      <c r="FH14" s="383"/>
      <c r="FI14" s="384"/>
      <c r="FJ14" s="380"/>
      <c r="FK14" s="385"/>
      <c r="FL14" s="386"/>
      <c r="FM14" s="387"/>
      <c r="FN14" s="386"/>
      <c r="FO14" s="387"/>
      <c r="FP14" s="388"/>
      <c r="FQ14" s="387"/>
      <c r="FR14" s="388"/>
      <c r="FS14" s="387"/>
      <c r="FT14" s="388"/>
      <c r="FU14" s="387"/>
      <c r="FV14" s="388"/>
      <c r="FW14" s="387"/>
      <c r="FX14" s="388"/>
      <c r="FY14" s="387"/>
      <c r="FZ14" s="388"/>
      <c r="GA14" s="387"/>
      <c r="GB14" s="388"/>
      <c r="GC14" s="387"/>
      <c r="GD14" s="388"/>
      <c r="GE14" s="387"/>
      <c r="GF14" s="388"/>
      <c r="GG14" s="389"/>
      <c r="GH14" s="390"/>
      <c r="GI14" s="387"/>
      <c r="GJ14" s="387"/>
      <c r="GK14" s="387"/>
      <c r="GL14" s="387"/>
      <c r="GM14" s="387"/>
      <c r="GN14" s="387"/>
      <c r="GO14" s="387"/>
      <c r="GP14" s="387"/>
      <c r="GQ14" s="387"/>
      <c r="GR14" s="387"/>
      <c r="GS14" s="387"/>
      <c r="GT14" s="387"/>
      <c r="GU14" s="387"/>
      <c r="GV14" s="387"/>
      <c r="GW14" s="387"/>
      <c r="GX14" s="387"/>
      <c r="GY14" s="387"/>
      <c r="GZ14" s="387"/>
      <c r="HA14" s="387"/>
      <c r="HB14" s="387"/>
      <c r="HC14" s="387"/>
      <c r="HD14" s="387"/>
      <c r="HE14" s="391"/>
      <c r="HF14" s="389"/>
      <c r="HG14" s="387"/>
      <c r="HH14" s="387"/>
      <c r="HI14" s="387"/>
      <c r="HJ14" s="387"/>
      <c r="HK14" s="387"/>
      <c r="HL14" s="387"/>
      <c r="HM14" s="387"/>
      <c r="HN14" s="387"/>
      <c r="HO14" s="387"/>
      <c r="HP14" s="387"/>
      <c r="HQ14" s="387"/>
      <c r="HR14" s="387"/>
      <c r="HS14" s="387"/>
      <c r="HT14" s="387"/>
      <c r="HU14" s="387"/>
      <c r="HV14" s="387"/>
      <c r="HW14" s="387"/>
      <c r="HX14" s="387"/>
      <c r="HY14" s="387"/>
      <c r="HZ14" s="387"/>
      <c r="IA14" s="387"/>
      <c r="IB14" s="387"/>
      <c r="IC14" s="392"/>
      <c r="ID14" s="312"/>
      <c r="IE14" s="312"/>
      <c r="IF14" s="312"/>
      <c r="IG14" s="312"/>
      <c r="IH14" s="312"/>
      <c r="II14" s="312"/>
      <c r="IJ14" s="312"/>
      <c r="IK14" s="312"/>
      <c r="IL14" s="312"/>
      <c r="IM14" s="312"/>
      <c r="IN14" s="312"/>
      <c r="IO14" s="312"/>
      <c r="IP14" s="312"/>
      <c r="IQ14" s="312"/>
      <c r="IR14" s="312"/>
      <c r="IS14" s="312"/>
      <c r="IT14" s="312"/>
      <c r="IU14" s="312"/>
      <c r="IV14" s="312"/>
      <c r="IW14" s="312"/>
      <c r="IX14" s="312"/>
      <c r="IY14" s="312"/>
      <c r="IZ14" s="312"/>
      <c r="JA14" s="312"/>
      <c r="JB14" s="312"/>
      <c r="JC14" s="312"/>
      <c r="JD14" s="312"/>
      <c r="JE14" s="312"/>
      <c r="JF14" s="312"/>
      <c r="JG14" s="312"/>
      <c r="JH14" s="312"/>
      <c r="JI14" s="312"/>
      <c r="JJ14" s="312"/>
      <c r="JK14" s="312"/>
      <c r="JL14" s="312"/>
      <c r="JM14" s="312"/>
      <c r="JN14" s="312"/>
      <c r="JO14" s="312"/>
      <c r="JP14" s="312"/>
      <c r="JQ14" s="312"/>
      <c r="JR14" s="312"/>
      <c r="JS14" s="312"/>
      <c r="JT14" s="312"/>
      <c r="JU14" s="312"/>
      <c r="JV14" s="312"/>
      <c r="JW14" s="312"/>
      <c r="JX14" s="312"/>
      <c r="JY14" s="312"/>
      <c r="JZ14" s="312"/>
      <c r="KA14" s="312"/>
      <c r="KB14" s="312"/>
      <c r="KC14" s="312"/>
      <c r="KD14" s="312"/>
      <c r="KE14" s="312"/>
      <c r="KF14" s="312"/>
      <c r="KG14" s="312"/>
      <c r="KH14" s="312"/>
      <c r="KI14" s="312"/>
      <c r="KJ14" s="312"/>
      <c r="KK14" s="312"/>
      <c r="KL14" s="312"/>
      <c r="KM14" s="312"/>
      <c r="KN14" s="312"/>
      <c r="KO14" s="312"/>
      <c r="KP14" s="312"/>
      <c r="KQ14" s="312"/>
      <c r="KR14" s="312"/>
      <c r="KS14" s="312"/>
      <c r="KT14" s="312"/>
      <c r="KU14" s="312"/>
      <c r="KV14" s="312"/>
      <c r="KW14" s="312"/>
      <c r="KX14" s="312"/>
      <c r="KY14" s="312"/>
      <c r="KZ14" s="312"/>
      <c r="LA14" s="312"/>
      <c r="LB14" s="312"/>
      <c r="LC14" s="312"/>
      <c r="LD14" s="312"/>
      <c r="LE14" s="312"/>
      <c r="LF14" s="312"/>
      <c r="LG14" s="312"/>
      <c r="LH14" s="312"/>
      <c r="LI14" s="312"/>
      <c r="LJ14" s="312"/>
    </row>
    <row r="15" spans="1:323" s="393" customFormat="1">
      <c r="A15" s="397"/>
      <c r="B15" s="398"/>
      <c r="C15" s="275"/>
      <c r="D15" s="727"/>
      <c r="E15" s="357"/>
      <c r="F15" s="358"/>
      <c r="G15" s="399"/>
      <c r="H15" s="206"/>
      <c r="I15" s="206"/>
      <c r="J15" s="206"/>
      <c r="K15" s="206"/>
      <c r="L15" s="206"/>
      <c r="M15" s="400"/>
      <c r="N15" s="359"/>
      <c r="O15" s="359"/>
      <c r="P15" s="401"/>
      <c r="Q15" s="401"/>
      <c r="R15" s="360"/>
      <c r="S15" s="402"/>
      <c r="T15" s="211"/>
      <c r="U15" s="403"/>
      <c r="V15" s="217"/>
      <c r="W15" s="362"/>
      <c r="X15" s="363"/>
      <c r="Y15" s="278"/>
      <c r="Z15" s="278"/>
      <c r="AA15" s="404"/>
      <c r="AB15" s="271"/>
      <c r="AC15" s="405"/>
      <c r="AD15" s="271"/>
      <c r="AE15" s="405"/>
      <c r="AF15" s="271"/>
      <c r="AG15" s="405"/>
      <c r="AH15" s="271"/>
      <c r="AI15" s="405"/>
      <c r="AJ15" s="406"/>
      <c r="AK15" s="405"/>
      <c r="AL15" s="406"/>
      <c r="AM15" s="405"/>
      <c r="AN15" s="406"/>
      <c r="AO15" s="405"/>
      <c r="AP15" s="406"/>
      <c r="AQ15" s="405"/>
      <c r="AR15" s="406"/>
      <c r="AS15" s="405"/>
      <c r="AT15" s="406"/>
      <c r="AU15" s="405"/>
      <c r="AV15" s="406"/>
      <c r="AW15" s="405"/>
      <c r="AX15" s="407"/>
      <c r="AY15" s="366"/>
      <c r="AZ15" s="408"/>
      <c r="BA15" s="367"/>
      <c r="BB15" s="409"/>
      <c r="BC15" s="367"/>
      <c r="BD15" s="409"/>
      <c r="BE15" s="367"/>
      <c r="BF15" s="409"/>
      <c r="BG15" s="367"/>
      <c r="BH15" s="409"/>
      <c r="BI15" s="367"/>
      <c r="BJ15" s="409"/>
      <c r="BK15" s="367"/>
      <c r="BL15" s="409"/>
      <c r="BM15" s="367"/>
      <c r="BN15" s="409"/>
      <c r="BO15" s="367"/>
      <c r="BP15" s="409"/>
      <c r="BQ15" s="367"/>
      <c r="BR15" s="409"/>
      <c r="BS15" s="367"/>
      <c r="BT15" s="409"/>
      <c r="BU15" s="368"/>
      <c r="BV15" s="408"/>
      <c r="BW15" s="369"/>
      <c r="BX15" s="409"/>
      <c r="BY15" s="367"/>
      <c r="BZ15" s="409"/>
      <c r="CA15" s="367"/>
      <c r="CB15" s="409"/>
      <c r="CC15" s="367"/>
      <c r="CD15" s="409"/>
      <c r="CE15" s="367"/>
      <c r="CF15" s="409"/>
      <c r="CG15" s="367"/>
      <c r="CH15" s="409"/>
      <c r="CI15" s="367"/>
      <c r="CJ15" s="409"/>
      <c r="CK15" s="367"/>
      <c r="CL15" s="409"/>
      <c r="CM15" s="367"/>
      <c r="CN15" s="409"/>
      <c r="CO15" s="367"/>
      <c r="CP15" s="409"/>
      <c r="CQ15" s="367"/>
      <c r="CR15" s="409"/>
      <c r="CS15" s="368"/>
      <c r="CT15" s="410"/>
      <c r="CU15" s="283"/>
      <c r="CV15" s="411"/>
      <c r="CW15" s="412"/>
      <c r="CX15" s="285"/>
      <c r="CY15" s="227"/>
      <c r="CZ15" s="229"/>
      <c r="DA15" s="370"/>
      <c r="DB15" s="394"/>
      <c r="DC15" s="395"/>
      <c r="DD15" s="372"/>
      <c r="DE15" s="373"/>
      <c r="DF15" s="372"/>
      <c r="DG15" s="373"/>
      <c r="DH15" s="374"/>
      <c r="DI15" s="375"/>
      <c r="DJ15" s="413"/>
      <c r="DK15" s="377"/>
      <c r="DL15" s="378"/>
      <c r="DM15" s="379"/>
      <c r="DN15" s="233"/>
      <c r="DO15" s="233"/>
      <c r="DP15" s="233"/>
      <c r="DQ15" s="233"/>
      <c r="DR15" s="233"/>
      <c r="DS15" s="233"/>
      <c r="DT15" s="233"/>
      <c r="DU15" s="234"/>
      <c r="DV15" s="378"/>
      <c r="DW15" s="378"/>
      <c r="DX15" s="379"/>
      <c r="DY15" s="233"/>
      <c r="DZ15" s="233"/>
      <c r="EA15" s="233"/>
      <c r="EB15" s="233"/>
      <c r="EC15" s="233"/>
      <c r="ED15" s="233"/>
      <c r="EE15" s="233"/>
      <c r="EF15" s="234"/>
      <c r="EG15" s="378"/>
      <c r="EH15" s="378"/>
      <c r="EI15" s="414"/>
      <c r="EJ15" s="415"/>
      <c r="EK15" s="415"/>
      <c r="EL15" s="248"/>
      <c r="EM15" s="272"/>
      <c r="EN15" s="272"/>
      <c r="EO15" s="272"/>
      <c r="EP15" s="272"/>
      <c r="EQ15" s="272"/>
      <c r="ER15" s="272"/>
      <c r="ES15" s="272"/>
      <c r="ET15" s="272"/>
      <c r="EU15" s="297"/>
      <c r="EV15" s="298"/>
      <c r="EW15" s="272"/>
      <c r="EX15" s="272"/>
      <c r="EY15" s="272"/>
      <c r="EZ15" s="248"/>
      <c r="FA15" s="272"/>
      <c r="FB15" s="272"/>
      <c r="FC15" s="297"/>
      <c r="FD15" s="380"/>
      <c r="FE15" s="309"/>
      <c r="FF15" s="381"/>
      <c r="FG15" s="382"/>
      <c r="FH15" s="383"/>
      <c r="FI15" s="384"/>
      <c r="FJ15" s="380"/>
      <c r="FK15" s="385"/>
      <c r="FL15" s="386"/>
      <c r="FM15" s="387"/>
      <c r="FN15" s="386"/>
      <c r="FO15" s="387"/>
      <c r="FP15" s="388"/>
      <c r="FQ15" s="387"/>
      <c r="FR15" s="388"/>
      <c r="FS15" s="387"/>
      <c r="FT15" s="388"/>
      <c r="FU15" s="387"/>
      <c r="FV15" s="388"/>
      <c r="FW15" s="387"/>
      <c r="FX15" s="388"/>
      <c r="FY15" s="387"/>
      <c r="FZ15" s="388"/>
      <c r="GA15" s="387"/>
      <c r="GB15" s="388"/>
      <c r="GC15" s="387"/>
      <c r="GD15" s="388"/>
      <c r="GE15" s="387"/>
      <c r="GF15" s="388"/>
      <c r="GG15" s="389"/>
      <c r="GH15" s="390"/>
      <c r="GI15" s="387"/>
      <c r="GJ15" s="387"/>
      <c r="GK15" s="387"/>
      <c r="GL15" s="387"/>
      <c r="GM15" s="387"/>
      <c r="GN15" s="387"/>
      <c r="GO15" s="387"/>
      <c r="GP15" s="387"/>
      <c r="GQ15" s="387"/>
      <c r="GR15" s="387"/>
      <c r="GS15" s="387"/>
      <c r="GT15" s="387"/>
      <c r="GU15" s="387"/>
      <c r="GV15" s="387"/>
      <c r="GW15" s="387"/>
      <c r="GX15" s="387"/>
      <c r="GY15" s="387"/>
      <c r="GZ15" s="387"/>
      <c r="HA15" s="387"/>
      <c r="HB15" s="387"/>
      <c r="HC15" s="387"/>
      <c r="HD15" s="387"/>
      <c r="HE15" s="391"/>
      <c r="HF15" s="389"/>
      <c r="HG15" s="387"/>
      <c r="HH15" s="387"/>
      <c r="HI15" s="387"/>
      <c r="HJ15" s="387"/>
      <c r="HK15" s="387"/>
      <c r="HL15" s="387"/>
      <c r="HM15" s="387"/>
      <c r="HN15" s="387"/>
      <c r="HO15" s="387"/>
      <c r="HP15" s="387"/>
      <c r="HQ15" s="387"/>
      <c r="HR15" s="387"/>
      <c r="HS15" s="387"/>
      <c r="HT15" s="387"/>
      <c r="HU15" s="387"/>
      <c r="HV15" s="387"/>
      <c r="HW15" s="387"/>
      <c r="HX15" s="387"/>
      <c r="HY15" s="387"/>
      <c r="HZ15" s="387"/>
      <c r="IA15" s="387"/>
      <c r="IB15" s="387"/>
      <c r="IC15" s="392"/>
      <c r="ID15" s="312"/>
      <c r="IE15" s="312"/>
      <c r="IF15" s="312"/>
      <c r="IG15" s="312"/>
      <c r="IH15" s="312"/>
      <c r="II15" s="312"/>
      <c r="IJ15" s="312"/>
      <c r="IK15" s="312"/>
      <c r="IL15" s="312"/>
      <c r="IM15" s="312"/>
      <c r="IN15" s="312"/>
      <c r="IO15" s="312"/>
      <c r="IP15" s="312"/>
      <c r="IQ15" s="312"/>
      <c r="IR15" s="312"/>
      <c r="IS15" s="312"/>
      <c r="IT15" s="312"/>
      <c r="IU15" s="312"/>
      <c r="IV15" s="312"/>
      <c r="IW15" s="312"/>
      <c r="IX15" s="312"/>
      <c r="IY15" s="312"/>
      <c r="IZ15" s="312"/>
      <c r="JA15" s="312"/>
      <c r="JB15" s="312"/>
      <c r="JC15" s="312"/>
      <c r="JD15" s="312"/>
      <c r="JE15" s="312"/>
      <c r="JF15" s="312"/>
      <c r="JG15" s="312"/>
      <c r="JH15" s="312"/>
      <c r="JI15" s="312"/>
      <c r="JJ15" s="312"/>
      <c r="JK15" s="312"/>
      <c r="JL15" s="312"/>
      <c r="JM15" s="312"/>
      <c r="JN15" s="312"/>
      <c r="JO15" s="312"/>
      <c r="JP15" s="312"/>
      <c r="JQ15" s="312"/>
      <c r="JR15" s="312"/>
      <c r="JS15" s="312"/>
      <c r="JT15" s="312"/>
      <c r="JU15" s="312"/>
      <c r="JV15" s="312"/>
      <c r="JW15" s="312"/>
      <c r="JX15" s="312"/>
      <c r="JY15" s="312"/>
      <c r="JZ15" s="312"/>
      <c r="KA15" s="312"/>
      <c r="KB15" s="312"/>
      <c r="KC15" s="312"/>
      <c r="KD15" s="312"/>
      <c r="KE15" s="312"/>
      <c r="KF15" s="312"/>
      <c r="KG15" s="312"/>
      <c r="KH15" s="312"/>
      <c r="KI15" s="312"/>
      <c r="KJ15" s="312"/>
      <c r="KK15" s="312"/>
      <c r="KL15" s="312"/>
      <c r="KM15" s="312"/>
      <c r="KN15" s="312"/>
      <c r="KO15" s="312"/>
      <c r="KP15" s="312"/>
      <c r="KQ15" s="312"/>
      <c r="KR15" s="312"/>
      <c r="KS15" s="312"/>
      <c r="KT15" s="312"/>
      <c r="KU15" s="312"/>
      <c r="KV15" s="312"/>
      <c r="KW15" s="312"/>
      <c r="KX15" s="312"/>
      <c r="KY15" s="312"/>
      <c r="KZ15" s="312"/>
      <c r="LA15" s="312"/>
      <c r="LB15" s="312"/>
      <c r="LC15" s="312"/>
      <c r="LD15" s="312"/>
      <c r="LE15" s="312"/>
      <c r="LF15" s="312"/>
      <c r="LG15" s="312"/>
      <c r="LH15" s="312"/>
      <c r="LI15" s="312"/>
      <c r="LJ15" s="312"/>
    </row>
    <row r="16" spans="1:323" s="393" customFormat="1">
      <c r="A16" s="397"/>
      <c r="B16" s="398"/>
      <c r="C16" s="275"/>
      <c r="D16" s="727"/>
      <c r="E16" s="357"/>
      <c r="F16" s="358"/>
      <c r="G16" s="399"/>
      <c r="H16" s="206"/>
      <c r="I16" s="206"/>
      <c r="J16" s="206"/>
      <c r="K16" s="206"/>
      <c r="L16" s="206"/>
      <c r="M16" s="400"/>
      <c r="N16" s="359"/>
      <c r="O16" s="359"/>
      <c r="P16" s="401"/>
      <c r="Q16" s="401"/>
      <c r="R16" s="360"/>
      <c r="S16" s="402"/>
      <c r="T16" s="211"/>
      <c r="U16" s="403"/>
      <c r="V16" s="217"/>
      <c r="W16" s="362"/>
      <c r="X16" s="363"/>
      <c r="Y16" s="278"/>
      <c r="Z16" s="278"/>
      <c r="AA16" s="404"/>
      <c r="AB16" s="271"/>
      <c r="AC16" s="405"/>
      <c r="AD16" s="271"/>
      <c r="AE16" s="405"/>
      <c r="AF16" s="271"/>
      <c r="AG16" s="405"/>
      <c r="AH16" s="271"/>
      <c r="AI16" s="405"/>
      <c r="AJ16" s="406"/>
      <c r="AK16" s="405"/>
      <c r="AL16" s="406"/>
      <c r="AM16" s="405"/>
      <c r="AN16" s="406"/>
      <c r="AO16" s="405"/>
      <c r="AP16" s="406"/>
      <c r="AQ16" s="405"/>
      <c r="AR16" s="406"/>
      <c r="AS16" s="405"/>
      <c r="AT16" s="406"/>
      <c r="AU16" s="405"/>
      <c r="AV16" s="406"/>
      <c r="AW16" s="405"/>
      <c r="AX16" s="407"/>
      <c r="AY16" s="366"/>
      <c r="AZ16" s="408"/>
      <c r="BA16" s="367"/>
      <c r="BB16" s="409"/>
      <c r="BC16" s="367"/>
      <c r="BD16" s="409"/>
      <c r="BE16" s="367"/>
      <c r="BF16" s="409"/>
      <c r="BG16" s="367"/>
      <c r="BH16" s="409"/>
      <c r="BI16" s="367"/>
      <c r="BJ16" s="409"/>
      <c r="BK16" s="367"/>
      <c r="BL16" s="409"/>
      <c r="BM16" s="367"/>
      <c r="BN16" s="409"/>
      <c r="BO16" s="367"/>
      <c r="BP16" s="409"/>
      <c r="BQ16" s="367"/>
      <c r="BR16" s="409"/>
      <c r="BS16" s="367"/>
      <c r="BT16" s="409"/>
      <c r="BU16" s="368"/>
      <c r="BV16" s="408"/>
      <c r="BW16" s="369"/>
      <c r="BX16" s="409"/>
      <c r="BY16" s="367"/>
      <c r="BZ16" s="409"/>
      <c r="CA16" s="367"/>
      <c r="CB16" s="409"/>
      <c r="CC16" s="367"/>
      <c r="CD16" s="409"/>
      <c r="CE16" s="367"/>
      <c r="CF16" s="409"/>
      <c r="CG16" s="367"/>
      <c r="CH16" s="409"/>
      <c r="CI16" s="367"/>
      <c r="CJ16" s="409"/>
      <c r="CK16" s="367"/>
      <c r="CL16" s="409"/>
      <c r="CM16" s="367"/>
      <c r="CN16" s="409"/>
      <c r="CO16" s="367"/>
      <c r="CP16" s="409"/>
      <c r="CQ16" s="367"/>
      <c r="CR16" s="409"/>
      <c r="CS16" s="368"/>
      <c r="CT16" s="410"/>
      <c r="CU16" s="283"/>
      <c r="CV16" s="411"/>
      <c r="CW16" s="412"/>
      <c r="CX16" s="285"/>
      <c r="CY16" s="227"/>
      <c r="CZ16" s="229"/>
      <c r="DA16" s="370"/>
      <c r="DB16" s="394"/>
      <c r="DC16" s="395"/>
      <c r="DD16" s="372"/>
      <c r="DE16" s="373"/>
      <c r="DF16" s="372"/>
      <c r="DG16" s="373"/>
      <c r="DH16" s="374"/>
      <c r="DI16" s="375"/>
      <c r="DJ16" s="413"/>
      <c r="DK16" s="377"/>
      <c r="DL16" s="378"/>
      <c r="DM16" s="379"/>
      <c r="DN16" s="233"/>
      <c r="DO16" s="233"/>
      <c r="DP16" s="233"/>
      <c r="DQ16" s="233"/>
      <c r="DR16" s="233"/>
      <c r="DS16" s="233"/>
      <c r="DT16" s="233"/>
      <c r="DU16" s="234"/>
      <c r="DV16" s="378"/>
      <c r="DW16" s="378"/>
      <c r="DX16" s="379"/>
      <c r="DY16" s="233"/>
      <c r="DZ16" s="233"/>
      <c r="EA16" s="233"/>
      <c r="EB16" s="233"/>
      <c r="EC16" s="233"/>
      <c r="ED16" s="233"/>
      <c r="EE16" s="233"/>
      <c r="EF16" s="234"/>
      <c r="EG16" s="378"/>
      <c r="EH16" s="378"/>
      <c r="EI16" s="414"/>
      <c r="EJ16" s="415"/>
      <c r="EK16" s="415"/>
      <c r="EL16" s="248"/>
      <c r="EM16" s="272"/>
      <c r="EN16" s="272"/>
      <c r="EO16" s="272"/>
      <c r="EP16" s="272"/>
      <c r="EQ16" s="272"/>
      <c r="ER16" s="272"/>
      <c r="ES16" s="272"/>
      <c r="ET16" s="272"/>
      <c r="EU16" s="297"/>
      <c r="EV16" s="298"/>
      <c r="EW16" s="272"/>
      <c r="EX16" s="272"/>
      <c r="EY16" s="272"/>
      <c r="EZ16" s="248"/>
      <c r="FA16" s="272"/>
      <c r="FB16" s="272"/>
      <c r="FC16" s="297"/>
      <c r="FD16" s="380"/>
      <c r="FE16" s="309"/>
      <c r="FF16" s="381"/>
      <c r="FG16" s="382"/>
      <c r="FH16" s="383"/>
      <c r="FI16" s="384"/>
      <c r="FJ16" s="380"/>
      <c r="FK16" s="385"/>
      <c r="FL16" s="386"/>
      <c r="FM16" s="387"/>
      <c r="FN16" s="386"/>
      <c r="FO16" s="387"/>
      <c r="FP16" s="388"/>
      <c r="FQ16" s="387"/>
      <c r="FR16" s="388"/>
      <c r="FS16" s="387"/>
      <c r="FT16" s="388"/>
      <c r="FU16" s="387"/>
      <c r="FV16" s="388"/>
      <c r="FW16" s="387"/>
      <c r="FX16" s="388"/>
      <c r="FY16" s="387"/>
      <c r="FZ16" s="388"/>
      <c r="GA16" s="387"/>
      <c r="GB16" s="388"/>
      <c r="GC16" s="387"/>
      <c r="GD16" s="388"/>
      <c r="GE16" s="387"/>
      <c r="GF16" s="388"/>
      <c r="GG16" s="389"/>
      <c r="GH16" s="390"/>
      <c r="GI16" s="387"/>
      <c r="GJ16" s="387"/>
      <c r="GK16" s="387"/>
      <c r="GL16" s="387"/>
      <c r="GM16" s="387"/>
      <c r="GN16" s="387"/>
      <c r="GO16" s="387"/>
      <c r="GP16" s="387"/>
      <c r="GQ16" s="387"/>
      <c r="GR16" s="387"/>
      <c r="GS16" s="387"/>
      <c r="GT16" s="387"/>
      <c r="GU16" s="387"/>
      <c r="GV16" s="387"/>
      <c r="GW16" s="387"/>
      <c r="GX16" s="387"/>
      <c r="GY16" s="387"/>
      <c r="GZ16" s="387"/>
      <c r="HA16" s="387"/>
      <c r="HB16" s="387"/>
      <c r="HC16" s="387"/>
      <c r="HD16" s="387"/>
      <c r="HE16" s="391"/>
      <c r="HF16" s="389"/>
      <c r="HG16" s="387"/>
      <c r="HH16" s="387"/>
      <c r="HI16" s="387"/>
      <c r="HJ16" s="387"/>
      <c r="HK16" s="387"/>
      <c r="HL16" s="387"/>
      <c r="HM16" s="387"/>
      <c r="HN16" s="387"/>
      <c r="HO16" s="387"/>
      <c r="HP16" s="387"/>
      <c r="HQ16" s="387"/>
      <c r="HR16" s="387"/>
      <c r="HS16" s="387"/>
      <c r="HT16" s="387"/>
      <c r="HU16" s="387"/>
      <c r="HV16" s="387"/>
      <c r="HW16" s="387"/>
      <c r="HX16" s="387"/>
      <c r="HY16" s="387"/>
      <c r="HZ16" s="387"/>
      <c r="IA16" s="387"/>
      <c r="IB16" s="387"/>
      <c r="IC16" s="392"/>
      <c r="ID16" s="312"/>
      <c r="IE16" s="312"/>
      <c r="IF16" s="312"/>
      <c r="IG16" s="312"/>
      <c r="IH16" s="312"/>
      <c r="II16" s="312"/>
      <c r="IJ16" s="312"/>
      <c r="IK16" s="312"/>
      <c r="IL16" s="312"/>
      <c r="IM16" s="312"/>
      <c r="IN16" s="312"/>
      <c r="IO16" s="312"/>
      <c r="IP16" s="312"/>
      <c r="IQ16" s="312"/>
      <c r="IR16" s="312"/>
      <c r="IS16" s="312"/>
      <c r="IT16" s="312"/>
      <c r="IU16" s="312"/>
      <c r="IV16" s="312"/>
      <c r="IW16" s="312"/>
      <c r="IX16" s="312"/>
      <c r="IY16" s="312"/>
      <c r="IZ16" s="312"/>
      <c r="JA16" s="312"/>
      <c r="JB16" s="312"/>
      <c r="JC16" s="312"/>
      <c r="JD16" s="312"/>
      <c r="JE16" s="312"/>
      <c r="JF16" s="312"/>
      <c r="JG16" s="312"/>
      <c r="JH16" s="312"/>
      <c r="JI16" s="312"/>
      <c r="JJ16" s="312"/>
      <c r="JK16" s="312"/>
      <c r="JL16" s="312"/>
      <c r="JM16" s="312"/>
      <c r="JN16" s="312"/>
      <c r="JO16" s="312"/>
      <c r="JP16" s="312"/>
      <c r="JQ16" s="312"/>
      <c r="JR16" s="312"/>
      <c r="JS16" s="312"/>
      <c r="JT16" s="312"/>
      <c r="JU16" s="312"/>
      <c r="JV16" s="312"/>
      <c r="JW16" s="312"/>
      <c r="JX16" s="312"/>
      <c r="JY16" s="312"/>
      <c r="JZ16" s="312"/>
      <c r="KA16" s="312"/>
      <c r="KB16" s="312"/>
      <c r="KC16" s="312"/>
      <c r="KD16" s="312"/>
      <c r="KE16" s="312"/>
      <c r="KF16" s="312"/>
      <c r="KG16" s="312"/>
      <c r="KH16" s="312"/>
      <c r="KI16" s="312"/>
      <c r="KJ16" s="312"/>
      <c r="KK16" s="312"/>
      <c r="KL16" s="312"/>
      <c r="KM16" s="312"/>
      <c r="KN16" s="312"/>
      <c r="KO16" s="312"/>
      <c r="KP16" s="312"/>
      <c r="KQ16" s="312"/>
      <c r="KR16" s="312"/>
      <c r="KS16" s="312"/>
      <c r="KT16" s="312"/>
      <c r="KU16" s="312"/>
      <c r="KV16" s="312"/>
      <c r="KW16" s="312"/>
      <c r="KX16" s="312"/>
      <c r="KY16" s="312"/>
      <c r="KZ16" s="312"/>
      <c r="LA16" s="312"/>
      <c r="LB16" s="312"/>
      <c r="LC16" s="312"/>
      <c r="LD16" s="312"/>
      <c r="LE16" s="312"/>
      <c r="LF16" s="312"/>
      <c r="LG16" s="312"/>
      <c r="LH16" s="312"/>
      <c r="LI16" s="312"/>
      <c r="LJ16" s="312"/>
    </row>
    <row r="17" spans="1:322" s="393" customFormat="1">
      <c r="A17" s="397"/>
      <c r="B17" s="398"/>
      <c r="C17" s="275"/>
      <c r="D17" s="727"/>
      <c r="E17" s="357"/>
      <c r="F17" s="358"/>
      <c r="G17" s="399"/>
      <c r="H17" s="206"/>
      <c r="I17" s="206"/>
      <c r="J17" s="206"/>
      <c r="K17" s="206"/>
      <c r="L17" s="206"/>
      <c r="M17" s="400"/>
      <c r="N17" s="359"/>
      <c r="O17" s="359"/>
      <c r="P17" s="401"/>
      <c r="Q17" s="401"/>
      <c r="R17" s="360"/>
      <c r="S17" s="402"/>
      <c r="T17" s="211"/>
      <c r="U17" s="403"/>
      <c r="V17" s="217"/>
      <c r="W17" s="362"/>
      <c r="X17" s="363"/>
      <c r="Y17" s="278"/>
      <c r="Z17" s="278"/>
      <c r="AA17" s="404"/>
      <c r="AB17" s="271"/>
      <c r="AC17" s="405"/>
      <c r="AD17" s="271"/>
      <c r="AE17" s="405"/>
      <c r="AF17" s="271"/>
      <c r="AG17" s="405"/>
      <c r="AH17" s="271"/>
      <c r="AI17" s="405"/>
      <c r="AJ17" s="406"/>
      <c r="AK17" s="405"/>
      <c r="AL17" s="406"/>
      <c r="AM17" s="405"/>
      <c r="AN17" s="406"/>
      <c r="AO17" s="405"/>
      <c r="AP17" s="406"/>
      <c r="AQ17" s="405"/>
      <c r="AR17" s="406"/>
      <c r="AS17" s="405"/>
      <c r="AT17" s="406"/>
      <c r="AU17" s="405"/>
      <c r="AV17" s="406"/>
      <c r="AW17" s="405"/>
      <c r="AX17" s="407"/>
      <c r="AY17" s="366"/>
      <c r="AZ17" s="408"/>
      <c r="BA17" s="367"/>
      <c r="BB17" s="409"/>
      <c r="BC17" s="367"/>
      <c r="BD17" s="409"/>
      <c r="BE17" s="367"/>
      <c r="BF17" s="409"/>
      <c r="BG17" s="367"/>
      <c r="BH17" s="409"/>
      <c r="BI17" s="367"/>
      <c r="BJ17" s="409"/>
      <c r="BK17" s="367"/>
      <c r="BL17" s="409"/>
      <c r="BM17" s="367"/>
      <c r="BN17" s="409"/>
      <c r="BO17" s="367"/>
      <c r="BP17" s="409"/>
      <c r="BQ17" s="367"/>
      <c r="BR17" s="409"/>
      <c r="BS17" s="367"/>
      <c r="BT17" s="409"/>
      <c r="BU17" s="368"/>
      <c r="BV17" s="408"/>
      <c r="BW17" s="369"/>
      <c r="BX17" s="409"/>
      <c r="BY17" s="367"/>
      <c r="BZ17" s="409"/>
      <c r="CA17" s="367"/>
      <c r="CB17" s="409"/>
      <c r="CC17" s="367"/>
      <c r="CD17" s="409"/>
      <c r="CE17" s="367"/>
      <c r="CF17" s="409"/>
      <c r="CG17" s="367"/>
      <c r="CH17" s="409"/>
      <c r="CI17" s="367"/>
      <c r="CJ17" s="409"/>
      <c r="CK17" s="367"/>
      <c r="CL17" s="409"/>
      <c r="CM17" s="367"/>
      <c r="CN17" s="409"/>
      <c r="CO17" s="367"/>
      <c r="CP17" s="409"/>
      <c r="CQ17" s="367"/>
      <c r="CR17" s="409"/>
      <c r="CS17" s="368"/>
      <c r="CT17" s="410"/>
      <c r="CU17" s="283"/>
      <c r="CV17" s="411"/>
      <c r="CW17" s="412"/>
      <c r="CX17" s="285"/>
      <c r="CY17" s="227"/>
      <c r="CZ17" s="229"/>
      <c r="DA17" s="370"/>
      <c r="DB17" s="394"/>
      <c r="DC17" s="395"/>
      <c r="DD17" s="372"/>
      <c r="DE17" s="373"/>
      <c r="DF17" s="372"/>
      <c r="DG17" s="373"/>
      <c r="DH17" s="374"/>
      <c r="DI17" s="375"/>
      <c r="DJ17" s="413"/>
      <c r="DK17" s="377"/>
      <c r="DL17" s="378"/>
      <c r="DM17" s="379"/>
      <c r="DN17" s="233"/>
      <c r="DO17" s="233"/>
      <c r="DP17" s="233"/>
      <c r="DQ17" s="233"/>
      <c r="DR17" s="233"/>
      <c r="DS17" s="233"/>
      <c r="DT17" s="233"/>
      <c r="DU17" s="234"/>
      <c r="DV17" s="378"/>
      <c r="DW17" s="378"/>
      <c r="DX17" s="379"/>
      <c r="DY17" s="233"/>
      <c r="DZ17" s="233"/>
      <c r="EA17" s="233"/>
      <c r="EB17" s="233"/>
      <c r="EC17" s="233"/>
      <c r="ED17" s="233"/>
      <c r="EE17" s="233"/>
      <c r="EF17" s="234"/>
      <c r="EG17" s="378"/>
      <c r="EH17" s="378"/>
      <c r="EI17" s="414"/>
      <c r="EJ17" s="415"/>
      <c r="EK17" s="415"/>
      <c r="EL17" s="248"/>
      <c r="EM17" s="272"/>
      <c r="EN17" s="272"/>
      <c r="EO17" s="272"/>
      <c r="EP17" s="272"/>
      <c r="EQ17" s="272"/>
      <c r="ER17" s="272"/>
      <c r="ES17" s="272"/>
      <c r="ET17" s="272"/>
      <c r="EU17" s="297"/>
      <c r="EV17" s="298"/>
      <c r="EW17" s="272"/>
      <c r="EX17" s="272"/>
      <c r="EY17" s="272"/>
      <c r="EZ17" s="248"/>
      <c r="FA17" s="272"/>
      <c r="FB17" s="272"/>
      <c r="FC17" s="297"/>
      <c r="FD17" s="380"/>
      <c r="FE17" s="309"/>
      <c r="FF17" s="381"/>
      <c r="FG17" s="382"/>
      <c r="FH17" s="383"/>
      <c r="FI17" s="384"/>
      <c r="FJ17" s="380"/>
      <c r="FK17" s="385"/>
      <c r="FL17" s="386"/>
      <c r="FM17" s="387"/>
      <c r="FN17" s="386"/>
      <c r="FO17" s="387"/>
      <c r="FP17" s="388"/>
      <c r="FQ17" s="387"/>
      <c r="FR17" s="388"/>
      <c r="FS17" s="387"/>
      <c r="FT17" s="388"/>
      <c r="FU17" s="387"/>
      <c r="FV17" s="388"/>
      <c r="FW17" s="387"/>
      <c r="FX17" s="388"/>
      <c r="FY17" s="387"/>
      <c r="FZ17" s="388"/>
      <c r="GA17" s="387"/>
      <c r="GB17" s="388"/>
      <c r="GC17" s="387"/>
      <c r="GD17" s="388"/>
      <c r="GE17" s="387"/>
      <c r="GF17" s="388"/>
      <c r="GG17" s="389"/>
      <c r="GH17" s="390"/>
      <c r="GI17" s="387"/>
      <c r="GJ17" s="387"/>
      <c r="GK17" s="387"/>
      <c r="GL17" s="387"/>
      <c r="GM17" s="387"/>
      <c r="GN17" s="387"/>
      <c r="GO17" s="387"/>
      <c r="GP17" s="387"/>
      <c r="GQ17" s="387"/>
      <c r="GR17" s="387"/>
      <c r="GS17" s="387"/>
      <c r="GT17" s="387"/>
      <c r="GU17" s="387"/>
      <c r="GV17" s="387"/>
      <c r="GW17" s="387"/>
      <c r="GX17" s="387"/>
      <c r="GY17" s="387"/>
      <c r="GZ17" s="387"/>
      <c r="HA17" s="387"/>
      <c r="HB17" s="387"/>
      <c r="HC17" s="387"/>
      <c r="HD17" s="387"/>
      <c r="HE17" s="391"/>
      <c r="HF17" s="389"/>
      <c r="HG17" s="387"/>
      <c r="HH17" s="387"/>
      <c r="HI17" s="387"/>
      <c r="HJ17" s="387"/>
      <c r="HK17" s="387"/>
      <c r="HL17" s="387"/>
      <c r="HM17" s="387"/>
      <c r="HN17" s="387"/>
      <c r="HO17" s="387"/>
      <c r="HP17" s="387"/>
      <c r="HQ17" s="387"/>
      <c r="HR17" s="387"/>
      <c r="HS17" s="387"/>
      <c r="HT17" s="387"/>
      <c r="HU17" s="387"/>
      <c r="HV17" s="387"/>
      <c r="HW17" s="387"/>
      <c r="HX17" s="387"/>
      <c r="HY17" s="387"/>
      <c r="HZ17" s="387"/>
      <c r="IA17" s="387"/>
      <c r="IB17" s="387"/>
      <c r="IC17" s="392"/>
      <c r="ID17" s="312"/>
      <c r="IE17" s="312"/>
      <c r="IF17" s="312"/>
      <c r="IG17" s="312"/>
      <c r="IH17" s="312"/>
      <c r="II17" s="312"/>
      <c r="IJ17" s="312"/>
      <c r="IK17" s="312"/>
      <c r="IL17" s="312"/>
      <c r="IM17" s="312"/>
      <c r="IN17" s="312"/>
      <c r="IO17" s="312"/>
      <c r="IP17" s="312"/>
      <c r="IQ17" s="312"/>
      <c r="IR17" s="312"/>
      <c r="IS17" s="312"/>
      <c r="IT17" s="312"/>
      <c r="IU17" s="312"/>
      <c r="IV17" s="312"/>
      <c r="IW17" s="312"/>
      <c r="IX17" s="312"/>
      <c r="IY17" s="312"/>
      <c r="IZ17" s="312"/>
      <c r="JA17" s="312"/>
      <c r="JB17" s="312"/>
      <c r="JC17" s="312"/>
      <c r="JD17" s="312"/>
      <c r="JE17" s="312"/>
      <c r="JF17" s="312"/>
      <c r="JG17" s="312"/>
      <c r="JH17" s="312"/>
      <c r="JI17" s="312"/>
      <c r="JJ17" s="312"/>
      <c r="JK17" s="312"/>
      <c r="JL17" s="312"/>
      <c r="JM17" s="312"/>
      <c r="JN17" s="312"/>
      <c r="JO17" s="312"/>
      <c r="JP17" s="312"/>
      <c r="JQ17" s="312"/>
      <c r="JR17" s="312"/>
      <c r="JS17" s="312"/>
      <c r="JT17" s="312"/>
      <c r="JU17" s="312"/>
      <c r="JV17" s="312"/>
      <c r="JW17" s="312"/>
      <c r="JX17" s="312"/>
      <c r="JY17" s="312"/>
      <c r="JZ17" s="312"/>
      <c r="KA17" s="312"/>
      <c r="KB17" s="312"/>
      <c r="KC17" s="312"/>
      <c r="KD17" s="312"/>
      <c r="KE17" s="312"/>
      <c r="KF17" s="312"/>
      <c r="KG17" s="312"/>
      <c r="KH17" s="312"/>
      <c r="KI17" s="312"/>
      <c r="KJ17" s="312"/>
      <c r="KK17" s="312"/>
      <c r="KL17" s="312"/>
      <c r="KM17" s="312"/>
      <c r="KN17" s="312"/>
      <c r="KO17" s="312"/>
      <c r="KP17" s="312"/>
      <c r="KQ17" s="312"/>
      <c r="KR17" s="312"/>
      <c r="KS17" s="312"/>
      <c r="KT17" s="312"/>
      <c r="KU17" s="312"/>
      <c r="KV17" s="312"/>
      <c r="KW17" s="312"/>
      <c r="KX17" s="312"/>
      <c r="KY17" s="312"/>
      <c r="KZ17" s="312"/>
      <c r="LA17" s="312"/>
      <c r="LB17" s="312"/>
      <c r="LC17" s="312"/>
      <c r="LD17" s="312"/>
      <c r="LE17" s="312"/>
      <c r="LF17" s="312"/>
      <c r="LG17" s="312"/>
      <c r="LH17" s="312"/>
      <c r="LI17" s="312"/>
      <c r="LJ17" s="312"/>
    </row>
    <row r="18" spans="1:322" s="393" customFormat="1">
      <c r="A18" s="397"/>
      <c r="B18" s="398"/>
      <c r="C18" s="275"/>
      <c r="D18" s="727"/>
      <c r="E18" s="357"/>
      <c r="F18" s="358"/>
      <c r="G18" s="399"/>
      <c r="H18" s="206"/>
      <c r="I18" s="206"/>
      <c r="J18" s="206"/>
      <c r="K18" s="206"/>
      <c r="L18" s="206"/>
      <c r="M18" s="400"/>
      <c r="N18" s="359"/>
      <c r="O18" s="359"/>
      <c r="P18" s="401"/>
      <c r="Q18" s="401"/>
      <c r="R18" s="360"/>
      <c r="S18" s="402"/>
      <c r="T18" s="211"/>
      <c r="U18" s="403"/>
      <c r="V18" s="217"/>
      <c r="W18" s="362"/>
      <c r="X18" s="363"/>
      <c r="Y18" s="278"/>
      <c r="Z18" s="278"/>
      <c r="AA18" s="404"/>
      <c r="AB18" s="271"/>
      <c r="AC18" s="405"/>
      <c r="AD18" s="271"/>
      <c r="AE18" s="405"/>
      <c r="AF18" s="271"/>
      <c r="AG18" s="405"/>
      <c r="AH18" s="271"/>
      <c r="AI18" s="405"/>
      <c r="AJ18" s="406"/>
      <c r="AK18" s="405"/>
      <c r="AL18" s="406"/>
      <c r="AM18" s="405"/>
      <c r="AN18" s="406"/>
      <c r="AO18" s="405"/>
      <c r="AP18" s="406"/>
      <c r="AQ18" s="405"/>
      <c r="AR18" s="406"/>
      <c r="AS18" s="405"/>
      <c r="AT18" s="406"/>
      <c r="AU18" s="405"/>
      <c r="AV18" s="406"/>
      <c r="AW18" s="405"/>
      <c r="AX18" s="407"/>
      <c r="AY18" s="366"/>
      <c r="AZ18" s="408"/>
      <c r="BA18" s="367"/>
      <c r="BB18" s="409"/>
      <c r="BC18" s="367"/>
      <c r="BD18" s="409"/>
      <c r="BE18" s="367"/>
      <c r="BF18" s="409"/>
      <c r="BG18" s="367"/>
      <c r="BH18" s="409"/>
      <c r="BI18" s="367"/>
      <c r="BJ18" s="409"/>
      <c r="BK18" s="367"/>
      <c r="BL18" s="409"/>
      <c r="BM18" s="367"/>
      <c r="BN18" s="409"/>
      <c r="BO18" s="367"/>
      <c r="BP18" s="409"/>
      <c r="BQ18" s="367"/>
      <c r="BR18" s="409"/>
      <c r="BS18" s="367"/>
      <c r="BT18" s="409"/>
      <c r="BU18" s="368"/>
      <c r="BV18" s="408"/>
      <c r="BW18" s="369"/>
      <c r="BX18" s="409"/>
      <c r="BY18" s="367"/>
      <c r="BZ18" s="409"/>
      <c r="CA18" s="367"/>
      <c r="CB18" s="409"/>
      <c r="CC18" s="367"/>
      <c r="CD18" s="409"/>
      <c r="CE18" s="367"/>
      <c r="CF18" s="409"/>
      <c r="CG18" s="367"/>
      <c r="CH18" s="409"/>
      <c r="CI18" s="367"/>
      <c r="CJ18" s="409"/>
      <c r="CK18" s="367"/>
      <c r="CL18" s="409"/>
      <c r="CM18" s="367"/>
      <c r="CN18" s="409"/>
      <c r="CO18" s="367"/>
      <c r="CP18" s="409"/>
      <c r="CQ18" s="367"/>
      <c r="CR18" s="409"/>
      <c r="CS18" s="368"/>
      <c r="CT18" s="410"/>
      <c r="CU18" s="283"/>
      <c r="CV18" s="411"/>
      <c r="CW18" s="412"/>
      <c r="CX18" s="285"/>
      <c r="CY18" s="227"/>
      <c r="CZ18" s="229"/>
      <c r="DA18" s="370"/>
      <c r="DB18" s="394"/>
      <c r="DC18" s="395"/>
      <c r="DD18" s="372"/>
      <c r="DE18" s="373"/>
      <c r="DF18" s="372"/>
      <c r="DG18" s="373"/>
      <c r="DH18" s="374"/>
      <c r="DI18" s="375"/>
      <c r="DJ18" s="413"/>
      <c r="DK18" s="377"/>
      <c r="DL18" s="378"/>
      <c r="DM18" s="379"/>
      <c r="DN18" s="233"/>
      <c r="DO18" s="233"/>
      <c r="DP18" s="233"/>
      <c r="DQ18" s="233"/>
      <c r="DR18" s="233"/>
      <c r="DS18" s="233"/>
      <c r="DT18" s="233"/>
      <c r="DU18" s="234"/>
      <c r="DV18" s="378"/>
      <c r="DW18" s="378"/>
      <c r="DX18" s="379"/>
      <c r="DY18" s="233"/>
      <c r="DZ18" s="233"/>
      <c r="EA18" s="233"/>
      <c r="EB18" s="233"/>
      <c r="EC18" s="233"/>
      <c r="ED18" s="233"/>
      <c r="EE18" s="233"/>
      <c r="EF18" s="234"/>
      <c r="EG18" s="378"/>
      <c r="EH18" s="378"/>
      <c r="EI18" s="414"/>
      <c r="EJ18" s="415"/>
      <c r="EK18" s="415"/>
      <c r="EL18" s="248"/>
      <c r="EM18" s="272"/>
      <c r="EN18" s="272"/>
      <c r="EO18" s="272"/>
      <c r="EP18" s="272"/>
      <c r="EQ18" s="272"/>
      <c r="ER18" s="272"/>
      <c r="ES18" s="272"/>
      <c r="ET18" s="272"/>
      <c r="EU18" s="297"/>
      <c r="EV18" s="298"/>
      <c r="EW18" s="272"/>
      <c r="EX18" s="272"/>
      <c r="EY18" s="272"/>
      <c r="EZ18" s="248"/>
      <c r="FA18" s="272"/>
      <c r="FB18" s="272"/>
      <c r="FC18" s="297"/>
      <c r="FD18" s="380"/>
      <c r="FE18" s="309"/>
      <c r="FF18" s="381"/>
      <c r="FG18" s="382"/>
      <c r="FH18" s="383"/>
      <c r="FI18" s="384"/>
      <c r="FJ18" s="380"/>
      <c r="FK18" s="385"/>
      <c r="FL18" s="386"/>
      <c r="FM18" s="387"/>
      <c r="FN18" s="386"/>
      <c r="FO18" s="387"/>
      <c r="FP18" s="388"/>
      <c r="FQ18" s="387"/>
      <c r="FR18" s="388"/>
      <c r="FS18" s="387"/>
      <c r="FT18" s="388"/>
      <c r="FU18" s="387"/>
      <c r="FV18" s="388"/>
      <c r="FW18" s="387"/>
      <c r="FX18" s="388"/>
      <c r="FY18" s="387"/>
      <c r="FZ18" s="388"/>
      <c r="GA18" s="387"/>
      <c r="GB18" s="388"/>
      <c r="GC18" s="387"/>
      <c r="GD18" s="388"/>
      <c r="GE18" s="387"/>
      <c r="GF18" s="388"/>
      <c r="GG18" s="389"/>
      <c r="GH18" s="390"/>
      <c r="GI18" s="387"/>
      <c r="GJ18" s="387"/>
      <c r="GK18" s="387"/>
      <c r="GL18" s="387"/>
      <c r="GM18" s="387"/>
      <c r="GN18" s="387"/>
      <c r="GO18" s="387"/>
      <c r="GP18" s="387"/>
      <c r="GQ18" s="387"/>
      <c r="GR18" s="387"/>
      <c r="GS18" s="387"/>
      <c r="GT18" s="387"/>
      <c r="GU18" s="387"/>
      <c r="GV18" s="387"/>
      <c r="GW18" s="387"/>
      <c r="GX18" s="387"/>
      <c r="GY18" s="387"/>
      <c r="GZ18" s="387"/>
      <c r="HA18" s="387"/>
      <c r="HB18" s="387"/>
      <c r="HC18" s="387"/>
      <c r="HD18" s="387"/>
      <c r="HE18" s="391"/>
      <c r="HF18" s="389"/>
      <c r="HG18" s="387"/>
      <c r="HH18" s="387"/>
      <c r="HI18" s="387"/>
      <c r="HJ18" s="387"/>
      <c r="HK18" s="387"/>
      <c r="HL18" s="387"/>
      <c r="HM18" s="387"/>
      <c r="HN18" s="387"/>
      <c r="HO18" s="387"/>
      <c r="HP18" s="387"/>
      <c r="HQ18" s="387"/>
      <c r="HR18" s="387"/>
      <c r="HS18" s="387"/>
      <c r="HT18" s="387"/>
      <c r="HU18" s="387"/>
      <c r="HV18" s="387"/>
      <c r="HW18" s="387"/>
      <c r="HX18" s="387"/>
      <c r="HY18" s="387"/>
      <c r="HZ18" s="387"/>
      <c r="IA18" s="387"/>
      <c r="IB18" s="387"/>
      <c r="IC18" s="392"/>
      <c r="ID18" s="312"/>
      <c r="IE18" s="312"/>
      <c r="IF18" s="312"/>
      <c r="IG18" s="312"/>
      <c r="IH18" s="312"/>
      <c r="II18" s="312"/>
      <c r="IJ18" s="312"/>
      <c r="IK18" s="312"/>
      <c r="IL18" s="312"/>
      <c r="IM18" s="312"/>
      <c r="IN18" s="312"/>
      <c r="IO18" s="312"/>
      <c r="IP18" s="312"/>
      <c r="IQ18" s="312"/>
      <c r="IR18" s="312"/>
      <c r="IS18" s="312"/>
      <c r="IT18" s="312"/>
      <c r="IU18" s="312"/>
      <c r="IV18" s="312"/>
      <c r="IW18" s="312"/>
      <c r="IX18" s="312"/>
      <c r="IY18" s="312"/>
      <c r="IZ18" s="312"/>
      <c r="JA18" s="312"/>
      <c r="JB18" s="312"/>
      <c r="JC18" s="312"/>
      <c r="JD18" s="312"/>
      <c r="JE18" s="312"/>
      <c r="JF18" s="312"/>
      <c r="JG18" s="312"/>
      <c r="JH18" s="312"/>
      <c r="JI18" s="312"/>
      <c r="JJ18" s="312"/>
      <c r="JK18" s="312"/>
      <c r="JL18" s="312"/>
      <c r="JM18" s="312"/>
      <c r="JN18" s="312"/>
      <c r="JO18" s="312"/>
      <c r="JP18" s="312"/>
      <c r="JQ18" s="312"/>
      <c r="JR18" s="312"/>
      <c r="JS18" s="312"/>
      <c r="JT18" s="312"/>
      <c r="JU18" s="312"/>
      <c r="JV18" s="312"/>
      <c r="JW18" s="312"/>
      <c r="JX18" s="312"/>
      <c r="JY18" s="312"/>
      <c r="JZ18" s="312"/>
      <c r="KA18" s="312"/>
      <c r="KB18" s="312"/>
      <c r="KC18" s="312"/>
      <c r="KD18" s="312"/>
      <c r="KE18" s="312"/>
      <c r="KF18" s="312"/>
      <c r="KG18" s="312"/>
      <c r="KH18" s="312"/>
      <c r="KI18" s="312"/>
      <c r="KJ18" s="312"/>
      <c r="KK18" s="312"/>
      <c r="KL18" s="312"/>
      <c r="KM18" s="312"/>
      <c r="KN18" s="312"/>
      <c r="KO18" s="312"/>
      <c r="KP18" s="312"/>
      <c r="KQ18" s="312"/>
      <c r="KR18" s="312"/>
      <c r="KS18" s="312"/>
      <c r="KT18" s="312"/>
      <c r="KU18" s="312"/>
      <c r="KV18" s="312"/>
      <c r="KW18" s="312"/>
      <c r="KX18" s="312"/>
      <c r="KY18" s="312"/>
      <c r="KZ18" s="312"/>
      <c r="LA18" s="312"/>
      <c r="LB18" s="312"/>
      <c r="LC18" s="312"/>
      <c r="LD18" s="312"/>
      <c r="LE18" s="312"/>
      <c r="LF18" s="312"/>
      <c r="LG18" s="312"/>
      <c r="LH18" s="312"/>
      <c r="LI18" s="312"/>
      <c r="LJ18" s="312"/>
    </row>
    <row r="19" spans="1:322" s="393" customFormat="1">
      <c r="A19" s="397"/>
      <c r="B19" s="398"/>
      <c r="C19" s="275"/>
      <c r="D19" s="727"/>
      <c r="E19" s="357"/>
      <c r="F19" s="358"/>
      <c r="G19" s="399"/>
      <c r="H19" s="206"/>
      <c r="I19" s="206"/>
      <c r="J19" s="206"/>
      <c r="K19" s="206"/>
      <c r="L19" s="206"/>
      <c r="M19" s="400"/>
      <c r="N19" s="359"/>
      <c r="O19" s="359"/>
      <c r="P19" s="401"/>
      <c r="Q19" s="401"/>
      <c r="R19" s="360"/>
      <c r="S19" s="402"/>
      <c r="T19" s="211"/>
      <c r="U19" s="403"/>
      <c r="V19" s="217"/>
      <c r="W19" s="362"/>
      <c r="X19" s="363"/>
      <c r="Y19" s="278"/>
      <c r="Z19" s="278"/>
      <c r="AA19" s="404"/>
      <c r="AB19" s="271"/>
      <c r="AC19" s="405"/>
      <c r="AD19" s="271"/>
      <c r="AE19" s="405"/>
      <c r="AF19" s="271"/>
      <c r="AG19" s="405"/>
      <c r="AH19" s="271"/>
      <c r="AI19" s="405"/>
      <c r="AJ19" s="406"/>
      <c r="AK19" s="405"/>
      <c r="AL19" s="406"/>
      <c r="AM19" s="405"/>
      <c r="AN19" s="406"/>
      <c r="AO19" s="405"/>
      <c r="AP19" s="406"/>
      <c r="AQ19" s="405"/>
      <c r="AR19" s="406"/>
      <c r="AS19" s="405"/>
      <c r="AT19" s="406"/>
      <c r="AU19" s="405"/>
      <c r="AV19" s="406"/>
      <c r="AW19" s="405"/>
      <c r="AX19" s="407"/>
      <c r="AY19" s="366"/>
      <c r="AZ19" s="408"/>
      <c r="BA19" s="367"/>
      <c r="BB19" s="409"/>
      <c r="BC19" s="367"/>
      <c r="BD19" s="409"/>
      <c r="BE19" s="367"/>
      <c r="BF19" s="409"/>
      <c r="BG19" s="367"/>
      <c r="BH19" s="409"/>
      <c r="BI19" s="367"/>
      <c r="BJ19" s="409"/>
      <c r="BK19" s="367"/>
      <c r="BL19" s="409"/>
      <c r="BM19" s="367"/>
      <c r="BN19" s="409"/>
      <c r="BO19" s="367"/>
      <c r="BP19" s="409"/>
      <c r="BQ19" s="367"/>
      <c r="BR19" s="409"/>
      <c r="BS19" s="367"/>
      <c r="BT19" s="409"/>
      <c r="BU19" s="368"/>
      <c r="BV19" s="408"/>
      <c r="BW19" s="369"/>
      <c r="BX19" s="409"/>
      <c r="BY19" s="367"/>
      <c r="BZ19" s="409"/>
      <c r="CA19" s="367"/>
      <c r="CB19" s="409"/>
      <c r="CC19" s="367"/>
      <c r="CD19" s="409"/>
      <c r="CE19" s="367"/>
      <c r="CF19" s="409"/>
      <c r="CG19" s="367"/>
      <c r="CH19" s="409"/>
      <c r="CI19" s="367"/>
      <c r="CJ19" s="409"/>
      <c r="CK19" s="367"/>
      <c r="CL19" s="409"/>
      <c r="CM19" s="367"/>
      <c r="CN19" s="409"/>
      <c r="CO19" s="367"/>
      <c r="CP19" s="409"/>
      <c r="CQ19" s="367"/>
      <c r="CR19" s="409"/>
      <c r="CS19" s="368"/>
      <c r="CT19" s="410"/>
      <c r="CU19" s="283"/>
      <c r="CV19" s="411"/>
      <c r="CW19" s="412"/>
      <c r="CX19" s="285"/>
      <c r="CY19" s="227"/>
      <c r="CZ19" s="229"/>
      <c r="DA19" s="370"/>
      <c r="DB19" s="394"/>
      <c r="DC19" s="395"/>
      <c r="DD19" s="372"/>
      <c r="DE19" s="373"/>
      <c r="DF19" s="372"/>
      <c r="DG19" s="373"/>
      <c r="DH19" s="374"/>
      <c r="DI19" s="375"/>
      <c r="DJ19" s="413"/>
      <c r="DK19" s="377"/>
      <c r="DL19" s="378"/>
      <c r="DM19" s="379"/>
      <c r="DN19" s="233"/>
      <c r="DO19" s="233"/>
      <c r="DP19" s="233"/>
      <c r="DQ19" s="233"/>
      <c r="DR19" s="233"/>
      <c r="DS19" s="233"/>
      <c r="DT19" s="233"/>
      <c r="DU19" s="234"/>
      <c r="DV19" s="378"/>
      <c r="DW19" s="378"/>
      <c r="DX19" s="379"/>
      <c r="DY19" s="233"/>
      <c r="DZ19" s="233"/>
      <c r="EA19" s="233"/>
      <c r="EB19" s="233"/>
      <c r="EC19" s="233"/>
      <c r="ED19" s="233"/>
      <c r="EE19" s="233"/>
      <c r="EF19" s="234"/>
      <c r="EG19" s="378"/>
      <c r="EH19" s="378"/>
      <c r="EI19" s="414"/>
      <c r="EJ19" s="415"/>
      <c r="EK19" s="415"/>
      <c r="EL19" s="248"/>
      <c r="EM19" s="272"/>
      <c r="EN19" s="272"/>
      <c r="EO19" s="272"/>
      <c r="EP19" s="272"/>
      <c r="EQ19" s="272"/>
      <c r="ER19" s="272"/>
      <c r="ES19" s="272"/>
      <c r="ET19" s="272"/>
      <c r="EU19" s="297"/>
      <c r="EV19" s="298"/>
      <c r="EW19" s="272"/>
      <c r="EX19" s="272"/>
      <c r="EY19" s="272"/>
      <c r="EZ19" s="248"/>
      <c r="FA19" s="272"/>
      <c r="FB19" s="272"/>
      <c r="FC19" s="297"/>
      <c r="FD19" s="380"/>
      <c r="FE19" s="309"/>
      <c r="FF19" s="381"/>
      <c r="FG19" s="382"/>
      <c r="FH19" s="383"/>
      <c r="FI19" s="384"/>
      <c r="FJ19" s="380"/>
      <c r="FK19" s="385"/>
      <c r="FL19" s="386"/>
      <c r="FM19" s="387"/>
      <c r="FN19" s="386"/>
      <c r="FO19" s="387"/>
      <c r="FP19" s="388"/>
      <c r="FQ19" s="387"/>
      <c r="FR19" s="388"/>
      <c r="FS19" s="387"/>
      <c r="FT19" s="388"/>
      <c r="FU19" s="387"/>
      <c r="FV19" s="388"/>
      <c r="FW19" s="387"/>
      <c r="FX19" s="388"/>
      <c r="FY19" s="387"/>
      <c r="FZ19" s="388"/>
      <c r="GA19" s="387"/>
      <c r="GB19" s="388"/>
      <c r="GC19" s="387"/>
      <c r="GD19" s="388"/>
      <c r="GE19" s="387"/>
      <c r="GF19" s="388"/>
      <c r="GG19" s="389"/>
      <c r="GH19" s="390"/>
      <c r="GI19" s="387"/>
      <c r="GJ19" s="387"/>
      <c r="GK19" s="387"/>
      <c r="GL19" s="387"/>
      <c r="GM19" s="387"/>
      <c r="GN19" s="387"/>
      <c r="GO19" s="387"/>
      <c r="GP19" s="387"/>
      <c r="GQ19" s="387"/>
      <c r="GR19" s="387"/>
      <c r="GS19" s="387"/>
      <c r="GT19" s="387"/>
      <c r="GU19" s="387"/>
      <c r="GV19" s="387"/>
      <c r="GW19" s="387"/>
      <c r="GX19" s="387"/>
      <c r="GY19" s="387"/>
      <c r="GZ19" s="387"/>
      <c r="HA19" s="387"/>
      <c r="HB19" s="387"/>
      <c r="HC19" s="387"/>
      <c r="HD19" s="387"/>
      <c r="HE19" s="391"/>
      <c r="HF19" s="389"/>
      <c r="HG19" s="387"/>
      <c r="HH19" s="387"/>
      <c r="HI19" s="387"/>
      <c r="HJ19" s="387"/>
      <c r="HK19" s="387"/>
      <c r="HL19" s="387"/>
      <c r="HM19" s="387"/>
      <c r="HN19" s="387"/>
      <c r="HO19" s="387"/>
      <c r="HP19" s="387"/>
      <c r="HQ19" s="387"/>
      <c r="HR19" s="387"/>
      <c r="HS19" s="387"/>
      <c r="HT19" s="387"/>
      <c r="HU19" s="387"/>
      <c r="HV19" s="387"/>
      <c r="HW19" s="387"/>
      <c r="HX19" s="387"/>
      <c r="HY19" s="387"/>
      <c r="HZ19" s="387"/>
      <c r="IA19" s="387"/>
      <c r="IB19" s="387"/>
      <c r="IC19" s="392"/>
      <c r="ID19" s="312"/>
      <c r="IE19" s="312"/>
      <c r="IF19" s="312"/>
      <c r="IG19" s="312"/>
      <c r="IH19" s="312"/>
      <c r="II19" s="312"/>
      <c r="IJ19" s="312"/>
      <c r="IK19" s="312"/>
      <c r="IL19" s="312"/>
      <c r="IM19" s="312"/>
      <c r="IN19" s="312"/>
      <c r="IO19" s="312"/>
      <c r="IP19" s="312"/>
      <c r="IQ19" s="312"/>
      <c r="IR19" s="312"/>
      <c r="IS19" s="312"/>
      <c r="IT19" s="312"/>
      <c r="IU19" s="312"/>
      <c r="IV19" s="312"/>
      <c r="IW19" s="312"/>
      <c r="IX19" s="312"/>
      <c r="IY19" s="312"/>
      <c r="IZ19" s="312"/>
      <c r="JA19" s="312"/>
      <c r="JB19" s="312"/>
      <c r="JC19" s="312"/>
      <c r="JD19" s="312"/>
      <c r="JE19" s="312"/>
      <c r="JF19" s="312"/>
      <c r="JG19" s="312"/>
      <c r="JH19" s="312"/>
      <c r="JI19" s="312"/>
      <c r="JJ19" s="312"/>
      <c r="JK19" s="312"/>
      <c r="JL19" s="312"/>
      <c r="JM19" s="312"/>
      <c r="JN19" s="312"/>
      <c r="JO19" s="312"/>
      <c r="JP19" s="312"/>
      <c r="JQ19" s="312"/>
      <c r="JR19" s="312"/>
      <c r="JS19" s="312"/>
      <c r="JT19" s="312"/>
      <c r="JU19" s="312"/>
      <c r="JV19" s="312"/>
      <c r="JW19" s="312"/>
      <c r="JX19" s="312"/>
      <c r="JY19" s="312"/>
      <c r="JZ19" s="312"/>
      <c r="KA19" s="312"/>
      <c r="KB19" s="312"/>
      <c r="KC19" s="312"/>
      <c r="KD19" s="312"/>
      <c r="KE19" s="312"/>
      <c r="KF19" s="312"/>
      <c r="KG19" s="312"/>
      <c r="KH19" s="312"/>
      <c r="KI19" s="312"/>
      <c r="KJ19" s="312"/>
      <c r="KK19" s="312"/>
      <c r="KL19" s="312"/>
      <c r="KM19" s="312"/>
      <c r="KN19" s="312"/>
      <c r="KO19" s="312"/>
      <c r="KP19" s="312"/>
      <c r="KQ19" s="312"/>
      <c r="KR19" s="312"/>
      <c r="KS19" s="312"/>
      <c r="KT19" s="312"/>
      <c r="KU19" s="312"/>
      <c r="KV19" s="312"/>
      <c r="KW19" s="312"/>
      <c r="KX19" s="312"/>
      <c r="KY19" s="312"/>
      <c r="KZ19" s="312"/>
      <c r="LA19" s="312"/>
      <c r="LB19" s="312"/>
      <c r="LC19" s="312"/>
      <c r="LD19" s="312"/>
      <c r="LE19" s="312"/>
      <c r="LF19" s="312"/>
      <c r="LG19" s="312"/>
      <c r="LH19" s="312"/>
      <c r="LI19" s="312"/>
      <c r="LJ19" s="312"/>
    </row>
    <row r="20" spans="1:322" s="393" customFormat="1">
      <c r="A20" s="397"/>
      <c r="B20" s="398"/>
      <c r="C20" s="275"/>
      <c r="D20" s="727"/>
      <c r="E20" s="357"/>
      <c r="F20" s="358"/>
      <c r="G20" s="399"/>
      <c r="H20" s="206"/>
      <c r="I20" s="206"/>
      <c r="J20" s="206"/>
      <c r="K20" s="206"/>
      <c r="L20" s="206"/>
      <c r="M20" s="400"/>
      <c r="N20" s="359"/>
      <c r="O20" s="359"/>
      <c r="P20" s="401"/>
      <c r="Q20" s="401"/>
      <c r="R20" s="360"/>
      <c r="S20" s="402"/>
      <c r="T20" s="211"/>
      <c r="U20" s="403"/>
      <c r="V20" s="217"/>
      <c r="W20" s="362"/>
      <c r="X20" s="363"/>
      <c r="Y20" s="278"/>
      <c r="Z20" s="278"/>
      <c r="AA20" s="404"/>
      <c r="AB20" s="271"/>
      <c r="AC20" s="405"/>
      <c r="AD20" s="271"/>
      <c r="AE20" s="405"/>
      <c r="AF20" s="271"/>
      <c r="AG20" s="405"/>
      <c r="AH20" s="271"/>
      <c r="AI20" s="405"/>
      <c r="AJ20" s="406"/>
      <c r="AK20" s="405"/>
      <c r="AL20" s="406"/>
      <c r="AM20" s="405"/>
      <c r="AN20" s="406"/>
      <c r="AO20" s="405"/>
      <c r="AP20" s="406"/>
      <c r="AQ20" s="405"/>
      <c r="AR20" s="406"/>
      <c r="AS20" s="405"/>
      <c r="AT20" s="406"/>
      <c r="AU20" s="405"/>
      <c r="AV20" s="406"/>
      <c r="AW20" s="405"/>
      <c r="AX20" s="407"/>
      <c r="AY20" s="366"/>
      <c r="AZ20" s="408"/>
      <c r="BA20" s="367"/>
      <c r="BB20" s="409"/>
      <c r="BC20" s="367"/>
      <c r="BD20" s="409"/>
      <c r="BE20" s="367"/>
      <c r="BF20" s="409"/>
      <c r="BG20" s="367"/>
      <c r="BH20" s="409"/>
      <c r="BI20" s="367"/>
      <c r="BJ20" s="409"/>
      <c r="BK20" s="367"/>
      <c r="BL20" s="409"/>
      <c r="BM20" s="367"/>
      <c r="BN20" s="409"/>
      <c r="BO20" s="367"/>
      <c r="BP20" s="409"/>
      <c r="BQ20" s="367"/>
      <c r="BR20" s="409"/>
      <c r="BS20" s="367"/>
      <c r="BT20" s="409"/>
      <c r="BU20" s="368"/>
      <c r="BV20" s="408"/>
      <c r="BW20" s="369"/>
      <c r="BX20" s="409"/>
      <c r="BY20" s="367"/>
      <c r="BZ20" s="409"/>
      <c r="CA20" s="367"/>
      <c r="CB20" s="409"/>
      <c r="CC20" s="367"/>
      <c r="CD20" s="409"/>
      <c r="CE20" s="367"/>
      <c r="CF20" s="409"/>
      <c r="CG20" s="367"/>
      <c r="CH20" s="409"/>
      <c r="CI20" s="367"/>
      <c r="CJ20" s="409"/>
      <c r="CK20" s="367"/>
      <c r="CL20" s="409"/>
      <c r="CM20" s="367"/>
      <c r="CN20" s="409"/>
      <c r="CO20" s="367"/>
      <c r="CP20" s="409"/>
      <c r="CQ20" s="367"/>
      <c r="CR20" s="409"/>
      <c r="CS20" s="368"/>
      <c r="CT20" s="410"/>
      <c r="CU20" s="283"/>
      <c r="CV20" s="411"/>
      <c r="CW20" s="412"/>
      <c r="CX20" s="285"/>
      <c r="CY20" s="227"/>
      <c r="CZ20" s="229"/>
      <c r="DA20" s="370"/>
      <c r="DB20" s="394"/>
      <c r="DC20" s="395"/>
      <c r="DD20" s="372"/>
      <c r="DE20" s="373"/>
      <c r="DF20" s="372"/>
      <c r="DG20" s="373"/>
      <c r="DH20" s="374"/>
      <c r="DI20" s="375"/>
      <c r="DJ20" s="413"/>
      <c r="DK20" s="377"/>
      <c r="DL20" s="378"/>
      <c r="DM20" s="379"/>
      <c r="DN20" s="233"/>
      <c r="DO20" s="233"/>
      <c r="DP20" s="233"/>
      <c r="DQ20" s="233"/>
      <c r="DR20" s="233"/>
      <c r="DS20" s="233"/>
      <c r="DT20" s="233"/>
      <c r="DU20" s="234"/>
      <c r="DV20" s="378"/>
      <c r="DW20" s="378"/>
      <c r="DX20" s="379"/>
      <c r="DY20" s="233"/>
      <c r="DZ20" s="233"/>
      <c r="EA20" s="233"/>
      <c r="EB20" s="233"/>
      <c r="EC20" s="233"/>
      <c r="ED20" s="233"/>
      <c r="EE20" s="233"/>
      <c r="EF20" s="234"/>
      <c r="EG20" s="378"/>
      <c r="EH20" s="378"/>
      <c r="EI20" s="414"/>
      <c r="EJ20" s="415"/>
      <c r="EK20" s="415"/>
      <c r="EL20" s="248"/>
      <c r="EM20" s="272"/>
      <c r="EN20" s="272"/>
      <c r="EO20" s="272"/>
      <c r="EP20" s="272"/>
      <c r="EQ20" s="272"/>
      <c r="ER20" s="272"/>
      <c r="ES20" s="272"/>
      <c r="ET20" s="272"/>
      <c r="EU20" s="297"/>
      <c r="EV20" s="298"/>
      <c r="EW20" s="272"/>
      <c r="EX20" s="272"/>
      <c r="EY20" s="272"/>
      <c r="EZ20" s="248"/>
      <c r="FA20" s="272"/>
      <c r="FB20" s="272"/>
      <c r="FC20" s="297"/>
      <c r="FD20" s="380"/>
      <c r="FE20" s="309"/>
      <c r="FF20" s="381"/>
      <c r="FG20" s="382"/>
      <c r="FH20" s="383"/>
      <c r="FI20" s="384"/>
      <c r="FJ20" s="380"/>
      <c r="FK20" s="385"/>
      <c r="FL20" s="386"/>
      <c r="FM20" s="387"/>
      <c r="FN20" s="386"/>
      <c r="FO20" s="387"/>
      <c r="FP20" s="388"/>
      <c r="FQ20" s="387"/>
      <c r="FR20" s="388"/>
      <c r="FS20" s="387"/>
      <c r="FT20" s="388"/>
      <c r="FU20" s="387"/>
      <c r="FV20" s="388"/>
      <c r="FW20" s="387"/>
      <c r="FX20" s="388"/>
      <c r="FY20" s="387"/>
      <c r="FZ20" s="388"/>
      <c r="GA20" s="387"/>
      <c r="GB20" s="388"/>
      <c r="GC20" s="387"/>
      <c r="GD20" s="388"/>
      <c r="GE20" s="387"/>
      <c r="GF20" s="388"/>
      <c r="GG20" s="389"/>
      <c r="GH20" s="390"/>
      <c r="GI20" s="387"/>
      <c r="GJ20" s="387"/>
      <c r="GK20" s="387"/>
      <c r="GL20" s="387"/>
      <c r="GM20" s="387"/>
      <c r="GN20" s="387"/>
      <c r="GO20" s="387"/>
      <c r="GP20" s="387"/>
      <c r="GQ20" s="387"/>
      <c r="GR20" s="387"/>
      <c r="GS20" s="387"/>
      <c r="GT20" s="387"/>
      <c r="GU20" s="387"/>
      <c r="GV20" s="387"/>
      <c r="GW20" s="387"/>
      <c r="GX20" s="387"/>
      <c r="GY20" s="387"/>
      <c r="GZ20" s="387"/>
      <c r="HA20" s="387"/>
      <c r="HB20" s="387"/>
      <c r="HC20" s="387"/>
      <c r="HD20" s="387"/>
      <c r="HE20" s="391"/>
      <c r="HF20" s="389"/>
      <c r="HG20" s="387"/>
      <c r="HH20" s="387"/>
      <c r="HI20" s="387"/>
      <c r="HJ20" s="387"/>
      <c r="HK20" s="387"/>
      <c r="HL20" s="387"/>
      <c r="HM20" s="387"/>
      <c r="HN20" s="387"/>
      <c r="HO20" s="387"/>
      <c r="HP20" s="387"/>
      <c r="HQ20" s="387"/>
      <c r="HR20" s="387"/>
      <c r="HS20" s="387"/>
      <c r="HT20" s="387"/>
      <c r="HU20" s="387"/>
      <c r="HV20" s="387"/>
      <c r="HW20" s="387"/>
      <c r="HX20" s="387"/>
      <c r="HY20" s="387"/>
      <c r="HZ20" s="387"/>
      <c r="IA20" s="387"/>
      <c r="IB20" s="387"/>
      <c r="IC20" s="392"/>
      <c r="ID20" s="312"/>
      <c r="IE20" s="312"/>
      <c r="IF20" s="312"/>
      <c r="IG20" s="312"/>
      <c r="IH20" s="312"/>
      <c r="II20" s="312"/>
      <c r="IJ20" s="312"/>
      <c r="IK20" s="312"/>
      <c r="IL20" s="312"/>
      <c r="IM20" s="312"/>
      <c r="IN20" s="312"/>
      <c r="IO20" s="312"/>
      <c r="IP20" s="312"/>
      <c r="IQ20" s="312"/>
      <c r="IR20" s="312"/>
      <c r="IS20" s="312"/>
      <c r="IT20" s="312"/>
      <c r="IU20" s="312"/>
      <c r="IV20" s="312"/>
      <c r="IW20" s="312"/>
      <c r="IX20" s="312"/>
      <c r="IY20" s="312"/>
      <c r="IZ20" s="312"/>
      <c r="JA20" s="312"/>
      <c r="JB20" s="312"/>
      <c r="JC20" s="312"/>
      <c r="JD20" s="312"/>
      <c r="JE20" s="312"/>
      <c r="JF20" s="312"/>
      <c r="JG20" s="312"/>
      <c r="JH20" s="312"/>
      <c r="JI20" s="312"/>
      <c r="JJ20" s="312"/>
      <c r="JK20" s="312"/>
      <c r="JL20" s="312"/>
      <c r="JM20" s="312"/>
      <c r="JN20" s="312"/>
      <c r="JO20" s="312"/>
      <c r="JP20" s="312"/>
      <c r="JQ20" s="312"/>
      <c r="JR20" s="312"/>
      <c r="JS20" s="312"/>
      <c r="JT20" s="312"/>
      <c r="JU20" s="312"/>
      <c r="JV20" s="312"/>
      <c r="JW20" s="312"/>
      <c r="JX20" s="312"/>
      <c r="JY20" s="312"/>
      <c r="JZ20" s="312"/>
      <c r="KA20" s="312"/>
      <c r="KB20" s="312"/>
      <c r="KC20" s="312"/>
      <c r="KD20" s="312"/>
      <c r="KE20" s="312"/>
      <c r="KF20" s="312"/>
      <c r="KG20" s="312"/>
      <c r="KH20" s="312"/>
      <c r="KI20" s="312"/>
      <c r="KJ20" s="312"/>
      <c r="KK20" s="312"/>
      <c r="KL20" s="312"/>
      <c r="KM20" s="312"/>
      <c r="KN20" s="312"/>
      <c r="KO20" s="312"/>
      <c r="KP20" s="312"/>
      <c r="KQ20" s="312"/>
      <c r="KR20" s="312"/>
      <c r="KS20" s="312"/>
      <c r="KT20" s="312"/>
      <c r="KU20" s="312"/>
      <c r="KV20" s="312"/>
      <c r="KW20" s="312"/>
      <c r="KX20" s="312"/>
      <c r="KY20" s="312"/>
      <c r="KZ20" s="312"/>
      <c r="LA20" s="312"/>
      <c r="LB20" s="312"/>
      <c r="LC20" s="312"/>
      <c r="LD20" s="312"/>
      <c r="LE20" s="312"/>
      <c r="LF20" s="312"/>
      <c r="LG20" s="312"/>
      <c r="LH20" s="312"/>
      <c r="LI20" s="312"/>
      <c r="LJ20" s="312"/>
    </row>
    <row r="21" spans="1:322" s="393" customFormat="1">
      <c r="A21" s="397"/>
      <c r="B21" s="398"/>
      <c r="C21" s="275"/>
      <c r="D21" s="727"/>
      <c r="E21" s="357"/>
      <c r="F21" s="358"/>
      <c r="G21" s="399"/>
      <c r="H21" s="206"/>
      <c r="I21" s="206"/>
      <c r="J21" s="206"/>
      <c r="K21" s="206"/>
      <c r="L21" s="206"/>
      <c r="M21" s="400"/>
      <c r="N21" s="359"/>
      <c r="O21" s="359"/>
      <c r="P21" s="401"/>
      <c r="Q21" s="401"/>
      <c r="R21" s="360"/>
      <c r="S21" s="402"/>
      <c r="T21" s="211"/>
      <c r="U21" s="403"/>
      <c r="V21" s="217"/>
      <c r="W21" s="362"/>
      <c r="X21" s="363"/>
      <c r="Y21" s="278"/>
      <c r="Z21" s="278"/>
      <c r="AA21" s="404"/>
      <c r="AB21" s="271"/>
      <c r="AC21" s="405"/>
      <c r="AD21" s="271"/>
      <c r="AE21" s="405"/>
      <c r="AF21" s="271"/>
      <c r="AG21" s="405"/>
      <c r="AH21" s="271"/>
      <c r="AI21" s="405"/>
      <c r="AJ21" s="406"/>
      <c r="AK21" s="405"/>
      <c r="AL21" s="406"/>
      <c r="AM21" s="405"/>
      <c r="AN21" s="406"/>
      <c r="AO21" s="405"/>
      <c r="AP21" s="406"/>
      <c r="AQ21" s="405"/>
      <c r="AR21" s="406"/>
      <c r="AS21" s="405"/>
      <c r="AT21" s="406"/>
      <c r="AU21" s="405"/>
      <c r="AV21" s="406"/>
      <c r="AW21" s="405"/>
      <c r="AX21" s="407"/>
      <c r="AY21" s="366"/>
      <c r="AZ21" s="408"/>
      <c r="BA21" s="367"/>
      <c r="BB21" s="409"/>
      <c r="BC21" s="367"/>
      <c r="BD21" s="409"/>
      <c r="BE21" s="367"/>
      <c r="BF21" s="409"/>
      <c r="BG21" s="367"/>
      <c r="BH21" s="409"/>
      <c r="BI21" s="367"/>
      <c r="BJ21" s="409"/>
      <c r="BK21" s="367"/>
      <c r="BL21" s="409"/>
      <c r="BM21" s="367"/>
      <c r="BN21" s="409"/>
      <c r="BO21" s="367"/>
      <c r="BP21" s="409"/>
      <c r="BQ21" s="367"/>
      <c r="BR21" s="409"/>
      <c r="BS21" s="367"/>
      <c r="BT21" s="409"/>
      <c r="BU21" s="368"/>
      <c r="BV21" s="408"/>
      <c r="BW21" s="369"/>
      <c r="BX21" s="409"/>
      <c r="BY21" s="367"/>
      <c r="BZ21" s="409"/>
      <c r="CA21" s="367"/>
      <c r="CB21" s="409"/>
      <c r="CC21" s="367"/>
      <c r="CD21" s="409"/>
      <c r="CE21" s="367"/>
      <c r="CF21" s="409"/>
      <c r="CG21" s="367"/>
      <c r="CH21" s="409"/>
      <c r="CI21" s="367"/>
      <c r="CJ21" s="409"/>
      <c r="CK21" s="367"/>
      <c r="CL21" s="409"/>
      <c r="CM21" s="367"/>
      <c r="CN21" s="409"/>
      <c r="CO21" s="367"/>
      <c r="CP21" s="409"/>
      <c r="CQ21" s="367"/>
      <c r="CR21" s="409"/>
      <c r="CS21" s="368"/>
      <c r="CT21" s="410"/>
      <c r="CU21" s="283"/>
      <c r="CV21" s="411"/>
      <c r="CW21" s="412"/>
      <c r="CX21" s="285"/>
      <c r="CY21" s="227"/>
      <c r="CZ21" s="229"/>
      <c r="DA21" s="370"/>
      <c r="DB21" s="394"/>
      <c r="DC21" s="395"/>
      <c r="DD21" s="372"/>
      <c r="DE21" s="373"/>
      <c r="DF21" s="372"/>
      <c r="DG21" s="373"/>
      <c r="DH21" s="374"/>
      <c r="DI21" s="375"/>
      <c r="DJ21" s="413"/>
      <c r="DK21" s="377"/>
      <c r="DL21" s="378"/>
      <c r="DM21" s="379"/>
      <c r="DN21" s="233"/>
      <c r="DO21" s="233"/>
      <c r="DP21" s="233"/>
      <c r="DQ21" s="233"/>
      <c r="DR21" s="233"/>
      <c r="DS21" s="233"/>
      <c r="DT21" s="233"/>
      <c r="DU21" s="234"/>
      <c r="DV21" s="378"/>
      <c r="DW21" s="378"/>
      <c r="DX21" s="379"/>
      <c r="DY21" s="233"/>
      <c r="DZ21" s="233"/>
      <c r="EA21" s="233"/>
      <c r="EB21" s="233"/>
      <c r="EC21" s="233"/>
      <c r="ED21" s="233"/>
      <c r="EE21" s="233"/>
      <c r="EF21" s="234"/>
      <c r="EG21" s="378"/>
      <c r="EH21" s="378"/>
      <c r="EI21" s="414"/>
      <c r="EJ21" s="415"/>
      <c r="EK21" s="415"/>
      <c r="EL21" s="248"/>
      <c r="EM21" s="272"/>
      <c r="EN21" s="272"/>
      <c r="EO21" s="272"/>
      <c r="EP21" s="272"/>
      <c r="EQ21" s="272"/>
      <c r="ER21" s="272"/>
      <c r="ES21" s="272"/>
      <c r="ET21" s="272"/>
      <c r="EU21" s="297"/>
      <c r="EV21" s="298"/>
      <c r="EW21" s="272"/>
      <c r="EX21" s="272"/>
      <c r="EY21" s="272"/>
      <c r="EZ21" s="248"/>
      <c r="FA21" s="272"/>
      <c r="FB21" s="272"/>
      <c r="FC21" s="297"/>
      <c r="FD21" s="380"/>
      <c r="FE21" s="309"/>
      <c r="FF21" s="381"/>
      <c r="FG21" s="382"/>
      <c r="FH21" s="383"/>
      <c r="FI21" s="384"/>
      <c r="FJ21" s="380"/>
      <c r="FK21" s="385"/>
      <c r="FL21" s="386"/>
      <c r="FM21" s="387"/>
      <c r="FN21" s="386"/>
      <c r="FO21" s="387"/>
      <c r="FP21" s="388"/>
      <c r="FQ21" s="387"/>
      <c r="FR21" s="388"/>
      <c r="FS21" s="387"/>
      <c r="FT21" s="388"/>
      <c r="FU21" s="387"/>
      <c r="FV21" s="388"/>
      <c r="FW21" s="387"/>
      <c r="FX21" s="388"/>
      <c r="FY21" s="387"/>
      <c r="FZ21" s="388"/>
      <c r="GA21" s="387"/>
      <c r="GB21" s="388"/>
      <c r="GC21" s="387"/>
      <c r="GD21" s="388"/>
      <c r="GE21" s="387"/>
      <c r="GF21" s="388"/>
      <c r="GG21" s="389"/>
      <c r="GH21" s="390"/>
      <c r="GI21" s="387"/>
      <c r="GJ21" s="387"/>
      <c r="GK21" s="387"/>
      <c r="GL21" s="387"/>
      <c r="GM21" s="387"/>
      <c r="GN21" s="387"/>
      <c r="GO21" s="387"/>
      <c r="GP21" s="387"/>
      <c r="GQ21" s="387"/>
      <c r="GR21" s="387"/>
      <c r="GS21" s="387"/>
      <c r="GT21" s="387"/>
      <c r="GU21" s="387"/>
      <c r="GV21" s="387"/>
      <c r="GW21" s="387"/>
      <c r="GX21" s="387"/>
      <c r="GY21" s="387"/>
      <c r="GZ21" s="387"/>
      <c r="HA21" s="387"/>
      <c r="HB21" s="387"/>
      <c r="HC21" s="387"/>
      <c r="HD21" s="387"/>
      <c r="HE21" s="391"/>
      <c r="HF21" s="389"/>
      <c r="HG21" s="387"/>
      <c r="HH21" s="387"/>
      <c r="HI21" s="387"/>
      <c r="HJ21" s="387"/>
      <c r="HK21" s="387"/>
      <c r="HL21" s="387"/>
      <c r="HM21" s="387"/>
      <c r="HN21" s="387"/>
      <c r="HO21" s="387"/>
      <c r="HP21" s="387"/>
      <c r="HQ21" s="387"/>
      <c r="HR21" s="387"/>
      <c r="HS21" s="387"/>
      <c r="HT21" s="387"/>
      <c r="HU21" s="387"/>
      <c r="HV21" s="387"/>
      <c r="HW21" s="387"/>
      <c r="HX21" s="387"/>
      <c r="HY21" s="387"/>
      <c r="HZ21" s="387"/>
      <c r="IA21" s="387"/>
      <c r="IB21" s="387"/>
      <c r="IC21" s="39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2"/>
      <c r="IR21" s="312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2"/>
      <c r="JV21" s="312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2"/>
      <c r="LA21" s="312"/>
      <c r="LB21" s="312"/>
      <c r="LC21" s="312"/>
      <c r="LD21" s="312"/>
      <c r="LE21" s="312"/>
      <c r="LF21" s="312"/>
      <c r="LG21" s="312"/>
      <c r="LH21" s="312"/>
      <c r="LI21" s="312"/>
      <c r="LJ21" s="312"/>
    </row>
    <row r="22" spans="1:322" s="393" customFormat="1">
      <c r="A22" s="397"/>
      <c r="B22" s="398"/>
      <c r="C22" s="275"/>
      <c r="D22" s="727"/>
      <c r="E22" s="357"/>
      <c r="F22" s="358"/>
      <c r="G22" s="399"/>
      <c r="H22" s="206"/>
      <c r="I22" s="206"/>
      <c r="J22" s="206"/>
      <c r="K22" s="206"/>
      <c r="L22" s="206"/>
      <c r="M22" s="400"/>
      <c r="N22" s="359"/>
      <c r="O22" s="359"/>
      <c r="P22" s="401"/>
      <c r="Q22" s="401"/>
      <c r="R22" s="360"/>
      <c r="S22" s="402"/>
      <c r="T22" s="211"/>
      <c r="U22" s="403"/>
      <c r="V22" s="217"/>
      <c r="W22" s="362"/>
      <c r="X22" s="363"/>
      <c r="Y22" s="278"/>
      <c r="Z22" s="278"/>
      <c r="AA22" s="404"/>
      <c r="AB22" s="271"/>
      <c r="AC22" s="405"/>
      <c r="AD22" s="271"/>
      <c r="AE22" s="405"/>
      <c r="AF22" s="271"/>
      <c r="AG22" s="405"/>
      <c r="AH22" s="271"/>
      <c r="AI22" s="405"/>
      <c r="AJ22" s="406"/>
      <c r="AK22" s="405"/>
      <c r="AL22" s="406"/>
      <c r="AM22" s="405"/>
      <c r="AN22" s="406"/>
      <c r="AO22" s="405"/>
      <c r="AP22" s="406"/>
      <c r="AQ22" s="405"/>
      <c r="AR22" s="406"/>
      <c r="AS22" s="405"/>
      <c r="AT22" s="406"/>
      <c r="AU22" s="405"/>
      <c r="AV22" s="406"/>
      <c r="AW22" s="405"/>
      <c r="AX22" s="407"/>
      <c r="AY22" s="366"/>
      <c r="AZ22" s="408"/>
      <c r="BA22" s="367"/>
      <c r="BB22" s="409"/>
      <c r="BC22" s="367"/>
      <c r="BD22" s="409"/>
      <c r="BE22" s="367"/>
      <c r="BF22" s="409"/>
      <c r="BG22" s="367"/>
      <c r="BH22" s="409"/>
      <c r="BI22" s="367"/>
      <c r="BJ22" s="409"/>
      <c r="BK22" s="367"/>
      <c r="BL22" s="409"/>
      <c r="BM22" s="367"/>
      <c r="BN22" s="409"/>
      <c r="BO22" s="367"/>
      <c r="BP22" s="409"/>
      <c r="BQ22" s="367"/>
      <c r="BR22" s="409"/>
      <c r="BS22" s="367"/>
      <c r="BT22" s="409"/>
      <c r="BU22" s="368"/>
      <c r="BV22" s="408"/>
      <c r="BW22" s="369"/>
      <c r="BX22" s="409"/>
      <c r="BY22" s="367"/>
      <c r="BZ22" s="409"/>
      <c r="CA22" s="367"/>
      <c r="CB22" s="409"/>
      <c r="CC22" s="367"/>
      <c r="CD22" s="409"/>
      <c r="CE22" s="367"/>
      <c r="CF22" s="409"/>
      <c r="CG22" s="367"/>
      <c r="CH22" s="409"/>
      <c r="CI22" s="367"/>
      <c r="CJ22" s="409"/>
      <c r="CK22" s="367"/>
      <c r="CL22" s="409"/>
      <c r="CM22" s="367"/>
      <c r="CN22" s="409"/>
      <c r="CO22" s="367"/>
      <c r="CP22" s="409"/>
      <c r="CQ22" s="367"/>
      <c r="CR22" s="409"/>
      <c r="CS22" s="368"/>
      <c r="CT22" s="410"/>
      <c r="CU22" s="283"/>
      <c r="CV22" s="411"/>
      <c r="CW22" s="412"/>
      <c r="CX22" s="285"/>
      <c r="CY22" s="227"/>
      <c r="CZ22" s="229"/>
      <c r="DA22" s="370"/>
      <c r="DB22" s="394"/>
      <c r="DC22" s="395"/>
      <c r="DD22" s="372"/>
      <c r="DE22" s="373"/>
      <c r="DF22" s="372"/>
      <c r="DG22" s="373"/>
      <c r="DH22" s="374"/>
      <c r="DI22" s="375"/>
      <c r="DJ22" s="413"/>
      <c r="DK22" s="377"/>
      <c r="DL22" s="378"/>
      <c r="DM22" s="379"/>
      <c r="DN22" s="233"/>
      <c r="DO22" s="233"/>
      <c r="DP22" s="233"/>
      <c r="DQ22" s="233"/>
      <c r="DR22" s="233"/>
      <c r="DS22" s="233"/>
      <c r="DT22" s="233"/>
      <c r="DU22" s="234"/>
      <c r="DV22" s="378"/>
      <c r="DW22" s="378"/>
      <c r="DX22" s="379"/>
      <c r="DY22" s="233"/>
      <c r="DZ22" s="233"/>
      <c r="EA22" s="233"/>
      <c r="EB22" s="233"/>
      <c r="EC22" s="233"/>
      <c r="ED22" s="233"/>
      <c r="EE22" s="233"/>
      <c r="EF22" s="234"/>
      <c r="EG22" s="378"/>
      <c r="EH22" s="378"/>
      <c r="EI22" s="414"/>
      <c r="EJ22" s="415"/>
      <c r="EK22" s="415"/>
      <c r="EL22" s="248"/>
      <c r="EM22" s="272"/>
      <c r="EN22" s="272"/>
      <c r="EO22" s="272"/>
      <c r="EP22" s="272"/>
      <c r="EQ22" s="272"/>
      <c r="ER22" s="272"/>
      <c r="ES22" s="272"/>
      <c r="ET22" s="272"/>
      <c r="EU22" s="297"/>
      <c r="EV22" s="298"/>
      <c r="EW22" s="272"/>
      <c r="EX22" s="272"/>
      <c r="EY22" s="272"/>
      <c r="EZ22" s="248"/>
      <c r="FA22" s="272"/>
      <c r="FB22" s="272"/>
      <c r="FC22" s="297"/>
      <c r="FD22" s="380"/>
      <c r="FE22" s="309"/>
      <c r="FF22" s="381"/>
      <c r="FG22" s="382"/>
      <c r="FH22" s="383"/>
      <c r="FI22" s="384"/>
      <c r="FJ22" s="380"/>
      <c r="FK22" s="385"/>
      <c r="FL22" s="386"/>
      <c r="FM22" s="387"/>
      <c r="FN22" s="386"/>
      <c r="FO22" s="387"/>
      <c r="FP22" s="388"/>
      <c r="FQ22" s="387"/>
      <c r="FR22" s="388"/>
      <c r="FS22" s="387"/>
      <c r="FT22" s="388"/>
      <c r="FU22" s="387"/>
      <c r="FV22" s="388"/>
      <c r="FW22" s="387"/>
      <c r="FX22" s="388"/>
      <c r="FY22" s="387"/>
      <c r="FZ22" s="388"/>
      <c r="GA22" s="387"/>
      <c r="GB22" s="388"/>
      <c r="GC22" s="387"/>
      <c r="GD22" s="388"/>
      <c r="GE22" s="387"/>
      <c r="GF22" s="388"/>
      <c r="GG22" s="389"/>
      <c r="GH22" s="390"/>
      <c r="GI22" s="387"/>
      <c r="GJ22" s="387"/>
      <c r="GK22" s="387"/>
      <c r="GL22" s="387"/>
      <c r="GM22" s="387"/>
      <c r="GN22" s="387"/>
      <c r="GO22" s="387"/>
      <c r="GP22" s="387"/>
      <c r="GQ22" s="387"/>
      <c r="GR22" s="387"/>
      <c r="GS22" s="387"/>
      <c r="GT22" s="387"/>
      <c r="GU22" s="387"/>
      <c r="GV22" s="387"/>
      <c r="GW22" s="387"/>
      <c r="GX22" s="387"/>
      <c r="GY22" s="387"/>
      <c r="GZ22" s="387"/>
      <c r="HA22" s="387"/>
      <c r="HB22" s="387"/>
      <c r="HC22" s="387"/>
      <c r="HD22" s="387"/>
      <c r="HE22" s="391"/>
      <c r="HF22" s="389"/>
      <c r="HG22" s="387"/>
      <c r="HH22" s="387"/>
      <c r="HI22" s="387"/>
      <c r="HJ22" s="387"/>
      <c r="HK22" s="387"/>
      <c r="HL22" s="387"/>
      <c r="HM22" s="387"/>
      <c r="HN22" s="387"/>
      <c r="HO22" s="387"/>
      <c r="HP22" s="387"/>
      <c r="HQ22" s="387"/>
      <c r="HR22" s="387"/>
      <c r="HS22" s="387"/>
      <c r="HT22" s="387"/>
      <c r="HU22" s="387"/>
      <c r="HV22" s="387"/>
      <c r="HW22" s="387"/>
      <c r="HX22" s="387"/>
      <c r="HY22" s="387"/>
      <c r="HZ22" s="387"/>
      <c r="IA22" s="387"/>
      <c r="IB22" s="387"/>
      <c r="IC22" s="39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2"/>
      <c r="IR22" s="312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2"/>
      <c r="JV22" s="312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2"/>
      <c r="LA22" s="312"/>
      <c r="LB22" s="312"/>
      <c r="LC22" s="312"/>
      <c r="LD22" s="312"/>
      <c r="LE22" s="312"/>
      <c r="LF22" s="312"/>
      <c r="LG22" s="312"/>
      <c r="LH22" s="312"/>
      <c r="LI22" s="312"/>
      <c r="LJ22" s="312"/>
    </row>
    <row r="23" spans="1:322" s="393" customFormat="1">
      <c r="A23" s="397"/>
      <c r="B23" s="398"/>
      <c r="C23" s="275"/>
      <c r="D23" s="727"/>
      <c r="E23" s="357"/>
      <c r="F23" s="358"/>
      <c r="G23" s="399"/>
      <c r="H23" s="206"/>
      <c r="I23" s="206"/>
      <c r="J23" s="206"/>
      <c r="K23" s="206"/>
      <c r="L23" s="206"/>
      <c r="M23" s="400"/>
      <c r="N23" s="359"/>
      <c r="O23" s="359"/>
      <c r="P23" s="401"/>
      <c r="Q23" s="401"/>
      <c r="R23" s="360"/>
      <c r="S23" s="402"/>
      <c r="T23" s="211"/>
      <c r="U23" s="403"/>
      <c r="V23" s="217"/>
      <c r="W23" s="362"/>
      <c r="X23" s="363"/>
      <c r="Y23" s="278"/>
      <c r="Z23" s="278"/>
      <c r="AA23" s="404"/>
      <c r="AB23" s="271"/>
      <c r="AC23" s="405"/>
      <c r="AD23" s="271"/>
      <c r="AE23" s="405"/>
      <c r="AF23" s="271"/>
      <c r="AG23" s="405"/>
      <c r="AH23" s="271"/>
      <c r="AI23" s="405"/>
      <c r="AJ23" s="406"/>
      <c r="AK23" s="405"/>
      <c r="AL23" s="406"/>
      <c r="AM23" s="405"/>
      <c r="AN23" s="406"/>
      <c r="AO23" s="405"/>
      <c r="AP23" s="406"/>
      <c r="AQ23" s="405"/>
      <c r="AR23" s="406"/>
      <c r="AS23" s="405"/>
      <c r="AT23" s="406"/>
      <c r="AU23" s="405"/>
      <c r="AV23" s="406"/>
      <c r="AW23" s="405"/>
      <c r="AX23" s="407"/>
      <c r="AY23" s="366"/>
      <c r="AZ23" s="408"/>
      <c r="BA23" s="367"/>
      <c r="BB23" s="409"/>
      <c r="BC23" s="367"/>
      <c r="BD23" s="409"/>
      <c r="BE23" s="367"/>
      <c r="BF23" s="409"/>
      <c r="BG23" s="367"/>
      <c r="BH23" s="409"/>
      <c r="BI23" s="367"/>
      <c r="BJ23" s="409"/>
      <c r="BK23" s="367"/>
      <c r="BL23" s="409"/>
      <c r="BM23" s="367"/>
      <c r="BN23" s="409"/>
      <c r="BO23" s="367"/>
      <c r="BP23" s="409"/>
      <c r="BQ23" s="367"/>
      <c r="BR23" s="409"/>
      <c r="BS23" s="367"/>
      <c r="BT23" s="409"/>
      <c r="BU23" s="368"/>
      <c r="BV23" s="408"/>
      <c r="BW23" s="369"/>
      <c r="BX23" s="409"/>
      <c r="BY23" s="367"/>
      <c r="BZ23" s="409"/>
      <c r="CA23" s="367"/>
      <c r="CB23" s="409"/>
      <c r="CC23" s="367"/>
      <c r="CD23" s="409"/>
      <c r="CE23" s="367"/>
      <c r="CF23" s="409"/>
      <c r="CG23" s="367"/>
      <c r="CH23" s="409"/>
      <c r="CI23" s="367"/>
      <c r="CJ23" s="409"/>
      <c r="CK23" s="367"/>
      <c r="CL23" s="409"/>
      <c r="CM23" s="367"/>
      <c r="CN23" s="409"/>
      <c r="CO23" s="367"/>
      <c r="CP23" s="409"/>
      <c r="CQ23" s="367"/>
      <c r="CR23" s="409"/>
      <c r="CS23" s="368"/>
      <c r="CT23" s="410"/>
      <c r="CU23" s="283"/>
      <c r="CV23" s="411"/>
      <c r="CW23" s="412"/>
      <c r="CX23" s="285"/>
      <c r="CY23" s="227"/>
      <c r="CZ23" s="229"/>
      <c r="DA23" s="370"/>
      <c r="DB23" s="394"/>
      <c r="DC23" s="395"/>
      <c r="DD23" s="372"/>
      <c r="DE23" s="373"/>
      <c r="DF23" s="372"/>
      <c r="DG23" s="373"/>
      <c r="DH23" s="374"/>
      <c r="DI23" s="375"/>
      <c r="DJ23" s="413"/>
      <c r="DK23" s="377"/>
      <c r="DL23" s="378"/>
      <c r="DM23" s="379"/>
      <c r="DN23" s="233"/>
      <c r="DO23" s="233"/>
      <c r="DP23" s="233"/>
      <c r="DQ23" s="233"/>
      <c r="DR23" s="233"/>
      <c r="DS23" s="233"/>
      <c r="DT23" s="233"/>
      <c r="DU23" s="234"/>
      <c r="DV23" s="378"/>
      <c r="DW23" s="378"/>
      <c r="DX23" s="379"/>
      <c r="DY23" s="233"/>
      <c r="DZ23" s="233"/>
      <c r="EA23" s="233"/>
      <c r="EB23" s="233"/>
      <c r="EC23" s="233"/>
      <c r="ED23" s="233"/>
      <c r="EE23" s="233"/>
      <c r="EF23" s="234"/>
      <c r="EG23" s="378"/>
      <c r="EH23" s="378"/>
      <c r="EI23" s="414"/>
      <c r="EJ23" s="415"/>
      <c r="EK23" s="415"/>
      <c r="EL23" s="248"/>
      <c r="EM23" s="272"/>
      <c r="EN23" s="272"/>
      <c r="EO23" s="272"/>
      <c r="EP23" s="272"/>
      <c r="EQ23" s="272"/>
      <c r="ER23" s="272"/>
      <c r="ES23" s="272"/>
      <c r="ET23" s="272"/>
      <c r="EU23" s="297"/>
      <c r="EV23" s="298"/>
      <c r="EW23" s="272"/>
      <c r="EX23" s="272"/>
      <c r="EY23" s="272"/>
      <c r="EZ23" s="248"/>
      <c r="FA23" s="272"/>
      <c r="FB23" s="272"/>
      <c r="FC23" s="297"/>
      <c r="FD23" s="380"/>
      <c r="FE23" s="309"/>
      <c r="FF23" s="381"/>
      <c r="FG23" s="382"/>
      <c r="FH23" s="383"/>
      <c r="FI23" s="384"/>
      <c r="FJ23" s="380"/>
      <c r="FK23" s="385"/>
      <c r="FL23" s="386"/>
      <c r="FM23" s="387"/>
      <c r="FN23" s="386"/>
      <c r="FO23" s="387"/>
      <c r="FP23" s="388"/>
      <c r="FQ23" s="387"/>
      <c r="FR23" s="388"/>
      <c r="FS23" s="387"/>
      <c r="FT23" s="388"/>
      <c r="FU23" s="387"/>
      <c r="FV23" s="388"/>
      <c r="FW23" s="387"/>
      <c r="FX23" s="388"/>
      <c r="FY23" s="387"/>
      <c r="FZ23" s="388"/>
      <c r="GA23" s="387"/>
      <c r="GB23" s="388"/>
      <c r="GC23" s="387"/>
      <c r="GD23" s="388"/>
      <c r="GE23" s="387"/>
      <c r="GF23" s="388"/>
      <c r="GG23" s="389"/>
      <c r="GH23" s="390"/>
      <c r="GI23" s="387"/>
      <c r="GJ23" s="387"/>
      <c r="GK23" s="387"/>
      <c r="GL23" s="387"/>
      <c r="GM23" s="387"/>
      <c r="GN23" s="387"/>
      <c r="GO23" s="387"/>
      <c r="GP23" s="387"/>
      <c r="GQ23" s="387"/>
      <c r="GR23" s="387"/>
      <c r="GS23" s="387"/>
      <c r="GT23" s="387"/>
      <c r="GU23" s="387"/>
      <c r="GV23" s="387"/>
      <c r="GW23" s="387"/>
      <c r="GX23" s="387"/>
      <c r="GY23" s="387"/>
      <c r="GZ23" s="387"/>
      <c r="HA23" s="387"/>
      <c r="HB23" s="387"/>
      <c r="HC23" s="387"/>
      <c r="HD23" s="387"/>
      <c r="HE23" s="391"/>
      <c r="HF23" s="389"/>
      <c r="HG23" s="387"/>
      <c r="HH23" s="387"/>
      <c r="HI23" s="387"/>
      <c r="HJ23" s="387"/>
      <c r="HK23" s="387"/>
      <c r="HL23" s="387"/>
      <c r="HM23" s="387"/>
      <c r="HN23" s="387"/>
      <c r="HO23" s="387"/>
      <c r="HP23" s="387"/>
      <c r="HQ23" s="387"/>
      <c r="HR23" s="387"/>
      <c r="HS23" s="387"/>
      <c r="HT23" s="387"/>
      <c r="HU23" s="387"/>
      <c r="HV23" s="387"/>
      <c r="HW23" s="387"/>
      <c r="HX23" s="387"/>
      <c r="HY23" s="387"/>
      <c r="HZ23" s="387"/>
      <c r="IA23" s="387"/>
      <c r="IB23" s="387"/>
      <c r="IC23" s="392"/>
      <c r="ID23" s="312"/>
      <c r="IE23" s="312"/>
      <c r="IF23" s="312"/>
      <c r="IG23" s="312"/>
      <c r="IH23" s="312"/>
      <c r="II23" s="312"/>
      <c r="IJ23" s="312"/>
      <c r="IK23" s="312"/>
      <c r="IL23" s="312"/>
      <c r="IM23" s="312"/>
      <c r="IN23" s="312"/>
      <c r="IO23" s="312"/>
      <c r="IP23" s="312"/>
      <c r="IQ23" s="312"/>
      <c r="IR23" s="312"/>
      <c r="IS23" s="312"/>
      <c r="IT23" s="312"/>
      <c r="IU23" s="312"/>
      <c r="IV23" s="312"/>
      <c r="IW23" s="312"/>
      <c r="IX23" s="312"/>
      <c r="IY23" s="312"/>
      <c r="IZ23" s="312"/>
      <c r="JA23" s="312"/>
      <c r="JB23" s="312"/>
      <c r="JC23" s="312"/>
      <c r="JD23" s="312"/>
      <c r="JE23" s="312"/>
      <c r="JF23" s="312"/>
      <c r="JG23" s="312"/>
      <c r="JH23" s="312"/>
      <c r="JI23" s="312"/>
      <c r="JJ23" s="312"/>
      <c r="JK23" s="312"/>
      <c r="JL23" s="312"/>
      <c r="JM23" s="312"/>
      <c r="JN23" s="312"/>
      <c r="JO23" s="312"/>
      <c r="JP23" s="312"/>
      <c r="JQ23" s="312"/>
      <c r="JR23" s="312"/>
      <c r="JS23" s="312"/>
      <c r="JT23" s="312"/>
      <c r="JU23" s="312"/>
      <c r="JV23" s="312"/>
      <c r="JW23" s="312"/>
      <c r="JX23" s="312"/>
      <c r="JY23" s="312"/>
      <c r="JZ23" s="312"/>
      <c r="KA23" s="312"/>
      <c r="KB23" s="312"/>
      <c r="KC23" s="312"/>
      <c r="KD23" s="312"/>
      <c r="KE23" s="312"/>
      <c r="KF23" s="312"/>
      <c r="KG23" s="312"/>
      <c r="KH23" s="312"/>
      <c r="KI23" s="312"/>
      <c r="KJ23" s="312"/>
      <c r="KK23" s="312"/>
      <c r="KL23" s="312"/>
      <c r="KM23" s="312"/>
      <c r="KN23" s="312"/>
      <c r="KO23" s="312"/>
      <c r="KP23" s="312"/>
      <c r="KQ23" s="312"/>
      <c r="KR23" s="312"/>
      <c r="KS23" s="312"/>
      <c r="KT23" s="312"/>
      <c r="KU23" s="312"/>
      <c r="KV23" s="312"/>
      <c r="KW23" s="312"/>
      <c r="KX23" s="312"/>
      <c r="KY23" s="312"/>
      <c r="KZ23" s="312"/>
      <c r="LA23" s="312"/>
      <c r="LB23" s="312"/>
      <c r="LC23" s="312"/>
      <c r="LD23" s="312"/>
      <c r="LE23" s="312"/>
      <c r="LF23" s="312"/>
      <c r="LG23" s="312"/>
      <c r="LH23" s="312"/>
      <c r="LI23" s="312"/>
      <c r="LJ23" s="312"/>
    </row>
    <row r="24" spans="1:322" s="393" customFormat="1">
      <c r="A24" s="397"/>
      <c r="B24" s="398"/>
      <c r="C24" s="275"/>
      <c r="D24" s="727"/>
      <c r="E24" s="357"/>
      <c r="F24" s="358"/>
      <c r="G24" s="399"/>
      <c r="H24" s="206"/>
      <c r="I24" s="206"/>
      <c r="J24" s="206"/>
      <c r="K24" s="206"/>
      <c r="L24" s="206"/>
      <c r="M24" s="400"/>
      <c r="N24" s="359"/>
      <c r="O24" s="359"/>
      <c r="P24" s="401"/>
      <c r="Q24" s="401"/>
      <c r="R24" s="360"/>
      <c r="S24" s="402"/>
      <c r="T24" s="211"/>
      <c r="U24" s="403"/>
      <c r="V24" s="217"/>
      <c r="W24" s="362"/>
      <c r="X24" s="363"/>
      <c r="Y24" s="278"/>
      <c r="Z24" s="278"/>
      <c r="AA24" s="404"/>
      <c r="AB24" s="271"/>
      <c r="AC24" s="405"/>
      <c r="AD24" s="271"/>
      <c r="AE24" s="405"/>
      <c r="AF24" s="271"/>
      <c r="AG24" s="405"/>
      <c r="AH24" s="271"/>
      <c r="AI24" s="405"/>
      <c r="AJ24" s="406"/>
      <c r="AK24" s="405"/>
      <c r="AL24" s="406"/>
      <c r="AM24" s="405"/>
      <c r="AN24" s="406"/>
      <c r="AO24" s="405"/>
      <c r="AP24" s="406"/>
      <c r="AQ24" s="405"/>
      <c r="AR24" s="406"/>
      <c r="AS24" s="405"/>
      <c r="AT24" s="406"/>
      <c r="AU24" s="405"/>
      <c r="AV24" s="406"/>
      <c r="AW24" s="405"/>
      <c r="AX24" s="407"/>
      <c r="AY24" s="366"/>
      <c r="AZ24" s="408"/>
      <c r="BA24" s="367"/>
      <c r="BB24" s="409"/>
      <c r="BC24" s="367"/>
      <c r="BD24" s="409"/>
      <c r="BE24" s="367"/>
      <c r="BF24" s="409"/>
      <c r="BG24" s="367"/>
      <c r="BH24" s="409"/>
      <c r="BI24" s="367"/>
      <c r="BJ24" s="409"/>
      <c r="BK24" s="367"/>
      <c r="BL24" s="409"/>
      <c r="BM24" s="367"/>
      <c r="BN24" s="409"/>
      <c r="BO24" s="367"/>
      <c r="BP24" s="409"/>
      <c r="BQ24" s="367"/>
      <c r="BR24" s="409"/>
      <c r="BS24" s="367"/>
      <c r="BT24" s="409"/>
      <c r="BU24" s="368"/>
      <c r="BV24" s="408"/>
      <c r="BW24" s="369"/>
      <c r="BX24" s="409"/>
      <c r="BY24" s="367"/>
      <c r="BZ24" s="409"/>
      <c r="CA24" s="367"/>
      <c r="CB24" s="409"/>
      <c r="CC24" s="367"/>
      <c r="CD24" s="409"/>
      <c r="CE24" s="367"/>
      <c r="CF24" s="409"/>
      <c r="CG24" s="367"/>
      <c r="CH24" s="409"/>
      <c r="CI24" s="367"/>
      <c r="CJ24" s="409"/>
      <c r="CK24" s="367"/>
      <c r="CL24" s="409"/>
      <c r="CM24" s="367"/>
      <c r="CN24" s="409"/>
      <c r="CO24" s="367"/>
      <c r="CP24" s="409"/>
      <c r="CQ24" s="367"/>
      <c r="CR24" s="409"/>
      <c r="CS24" s="368"/>
      <c r="CT24" s="410"/>
      <c r="CU24" s="283"/>
      <c r="CV24" s="411"/>
      <c r="CW24" s="412"/>
      <c r="CX24" s="285"/>
      <c r="CY24" s="227"/>
      <c r="CZ24" s="229"/>
      <c r="DA24" s="370"/>
      <c r="DB24" s="394"/>
      <c r="DC24" s="395"/>
      <c r="DD24" s="372"/>
      <c r="DE24" s="373"/>
      <c r="DF24" s="372"/>
      <c r="DG24" s="373"/>
      <c r="DH24" s="374"/>
      <c r="DI24" s="375"/>
      <c r="DJ24" s="413"/>
      <c r="DK24" s="377"/>
      <c r="DL24" s="378"/>
      <c r="DM24" s="379"/>
      <c r="DN24" s="233"/>
      <c r="DO24" s="233"/>
      <c r="DP24" s="233"/>
      <c r="DQ24" s="233"/>
      <c r="DR24" s="233"/>
      <c r="DS24" s="233"/>
      <c r="DT24" s="233"/>
      <c r="DU24" s="234"/>
      <c r="DV24" s="378"/>
      <c r="DW24" s="378"/>
      <c r="DX24" s="379"/>
      <c r="DY24" s="233"/>
      <c r="DZ24" s="233"/>
      <c r="EA24" s="233"/>
      <c r="EB24" s="233"/>
      <c r="EC24" s="233"/>
      <c r="ED24" s="233"/>
      <c r="EE24" s="233"/>
      <c r="EF24" s="234"/>
      <c r="EG24" s="378"/>
      <c r="EH24" s="378"/>
      <c r="EI24" s="414"/>
      <c r="EJ24" s="415"/>
      <c r="EK24" s="415"/>
      <c r="EL24" s="248"/>
      <c r="EM24" s="272"/>
      <c r="EN24" s="272"/>
      <c r="EO24" s="272"/>
      <c r="EP24" s="272"/>
      <c r="EQ24" s="272"/>
      <c r="ER24" s="272"/>
      <c r="ES24" s="272"/>
      <c r="ET24" s="272"/>
      <c r="EU24" s="297"/>
      <c r="EV24" s="298"/>
      <c r="EW24" s="272"/>
      <c r="EX24" s="272"/>
      <c r="EY24" s="272"/>
      <c r="EZ24" s="248"/>
      <c r="FA24" s="272"/>
      <c r="FB24" s="272"/>
      <c r="FC24" s="297"/>
      <c r="FD24" s="380"/>
      <c r="FE24" s="309"/>
      <c r="FF24" s="381"/>
      <c r="FG24" s="382"/>
      <c r="FH24" s="383"/>
      <c r="FI24" s="384"/>
      <c r="FJ24" s="380"/>
      <c r="FK24" s="385"/>
      <c r="FL24" s="386"/>
      <c r="FM24" s="387"/>
      <c r="FN24" s="386"/>
      <c r="FO24" s="387"/>
      <c r="FP24" s="388"/>
      <c r="FQ24" s="387"/>
      <c r="FR24" s="388"/>
      <c r="FS24" s="387"/>
      <c r="FT24" s="388"/>
      <c r="FU24" s="387"/>
      <c r="FV24" s="388"/>
      <c r="FW24" s="387"/>
      <c r="FX24" s="388"/>
      <c r="FY24" s="387"/>
      <c r="FZ24" s="388"/>
      <c r="GA24" s="387"/>
      <c r="GB24" s="388"/>
      <c r="GC24" s="387"/>
      <c r="GD24" s="388"/>
      <c r="GE24" s="387"/>
      <c r="GF24" s="388"/>
      <c r="GG24" s="389"/>
      <c r="GH24" s="390"/>
      <c r="GI24" s="387"/>
      <c r="GJ24" s="387"/>
      <c r="GK24" s="387"/>
      <c r="GL24" s="387"/>
      <c r="GM24" s="387"/>
      <c r="GN24" s="387"/>
      <c r="GO24" s="387"/>
      <c r="GP24" s="387"/>
      <c r="GQ24" s="387"/>
      <c r="GR24" s="387"/>
      <c r="GS24" s="387"/>
      <c r="GT24" s="387"/>
      <c r="GU24" s="387"/>
      <c r="GV24" s="387"/>
      <c r="GW24" s="387"/>
      <c r="GX24" s="387"/>
      <c r="GY24" s="387"/>
      <c r="GZ24" s="387"/>
      <c r="HA24" s="387"/>
      <c r="HB24" s="387"/>
      <c r="HC24" s="387"/>
      <c r="HD24" s="387"/>
      <c r="HE24" s="391"/>
      <c r="HF24" s="389"/>
      <c r="HG24" s="387"/>
      <c r="HH24" s="387"/>
      <c r="HI24" s="387"/>
      <c r="HJ24" s="387"/>
      <c r="HK24" s="387"/>
      <c r="HL24" s="387"/>
      <c r="HM24" s="387"/>
      <c r="HN24" s="387"/>
      <c r="HO24" s="387"/>
      <c r="HP24" s="387"/>
      <c r="HQ24" s="387"/>
      <c r="HR24" s="387"/>
      <c r="HS24" s="387"/>
      <c r="HT24" s="387"/>
      <c r="HU24" s="387"/>
      <c r="HV24" s="387"/>
      <c r="HW24" s="387"/>
      <c r="HX24" s="387"/>
      <c r="HY24" s="387"/>
      <c r="HZ24" s="387"/>
      <c r="IA24" s="387"/>
      <c r="IB24" s="387"/>
      <c r="IC24" s="392"/>
      <c r="ID24" s="312"/>
      <c r="IE24" s="312"/>
      <c r="IF24" s="312"/>
      <c r="IG24" s="312"/>
      <c r="IH24" s="312"/>
      <c r="II24" s="312"/>
      <c r="IJ24" s="312"/>
      <c r="IK24" s="312"/>
      <c r="IL24" s="312"/>
      <c r="IM24" s="312"/>
      <c r="IN24" s="312"/>
      <c r="IO24" s="312"/>
      <c r="IP24" s="312"/>
      <c r="IQ24" s="312"/>
      <c r="IR24" s="312"/>
      <c r="IS24" s="312"/>
      <c r="IT24" s="312"/>
      <c r="IU24" s="312"/>
      <c r="IV24" s="312"/>
      <c r="IW24" s="312"/>
      <c r="IX24" s="312"/>
      <c r="IY24" s="312"/>
      <c r="IZ24" s="312"/>
      <c r="JA24" s="312"/>
      <c r="JB24" s="312"/>
      <c r="JC24" s="312"/>
      <c r="JD24" s="312"/>
      <c r="JE24" s="312"/>
      <c r="JF24" s="312"/>
      <c r="JG24" s="312"/>
      <c r="JH24" s="312"/>
      <c r="JI24" s="312"/>
      <c r="JJ24" s="312"/>
      <c r="JK24" s="312"/>
      <c r="JL24" s="312"/>
      <c r="JM24" s="312"/>
      <c r="JN24" s="312"/>
      <c r="JO24" s="312"/>
      <c r="JP24" s="312"/>
      <c r="JQ24" s="312"/>
      <c r="JR24" s="312"/>
      <c r="JS24" s="312"/>
      <c r="JT24" s="312"/>
      <c r="JU24" s="312"/>
      <c r="JV24" s="312"/>
      <c r="JW24" s="312"/>
      <c r="JX24" s="312"/>
      <c r="JY24" s="312"/>
      <c r="JZ24" s="312"/>
      <c r="KA24" s="312"/>
      <c r="KB24" s="312"/>
      <c r="KC24" s="312"/>
      <c r="KD24" s="312"/>
      <c r="KE24" s="312"/>
      <c r="KF24" s="312"/>
      <c r="KG24" s="312"/>
      <c r="KH24" s="312"/>
      <c r="KI24" s="312"/>
      <c r="KJ24" s="312"/>
      <c r="KK24" s="312"/>
      <c r="KL24" s="312"/>
      <c r="KM24" s="312"/>
      <c r="KN24" s="312"/>
      <c r="KO24" s="312"/>
      <c r="KP24" s="312"/>
      <c r="KQ24" s="312"/>
      <c r="KR24" s="312"/>
      <c r="KS24" s="312"/>
      <c r="KT24" s="312"/>
      <c r="KU24" s="312"/>
      <c r="KV24" s="312"/>
      <c r="KW24" s="312"/>
      <c r="KX24" s="312"/>
      <c r="KY24" s="312"/>
      <c r="KZ24" s="312"/>
      <c r="LA24" s="312"/>
      <c r="LB24" s="312"/>
      <c r="LC24" s="312"/>
      <c r="LD24" s="312"/>
      <c r="LE24" s="312"/>
      <c r="LF24" s="312"/>
      <c r="LG24" s="312"/>
      <c r="LH24" s="312"/>
      <c r="LI24" s="312"/>
      <c r="LJ24" s="312"/>
    </row>
    <row r="25" spans="1:322" s="393" customFormat="1">
      <c r="A25" s="397"/>
      <c r="B25" s="398"/>
      <c r="C25" s="275"/>
      <c r="D25" s="727"/>
      <c r="E25" s="357"/>
      <c r="F25" s="358"/>
      <c r="G25" s="399"/>
      <c r="H25" s="206"/>
      <c r="I25" s="206"/>
      <c r="J25" s="206"/>
      <c r="K25" s="206"/>
      <c r="L25" s="206"/>
      <c r="M25" s="400"/>
      <c r="N25" s="359"/>
      <c r="O25" s="359"/>
      <c r="P25" s="401"/>
      <c r="Q25" s="401"/>
      <c r="R25" s="360"/>
      <c r="S25" s="402"/>
      <c r="T25" s="211"/>
      <c r="U25" s="403"/>
      <c r="V25" s="217"/>
      <c r="W25" s="362"/>
      <c r="X25" s="363"/>
      <c r="Y25" s="278"/>
      <c r="Z25" s="278"/>
      <c r="AA25" s="404"/>
      <c r="AB25" s="271"/>
      <c r="AC25" s="405"/>
      <c r="AD25" s="271"/>
      <c r="AE25" s="405"/>
      <c r="AF25" s="271"/>
      <c r="AG25" s="405"/>
      <c r="AH25" s="271"/>
      <c r="AI25" s="405"/>
      <c r="AJ25" s="406"/>
      <c r="AK25" s="405"/>
      <c r="AL25" s="406"/>
      <c r="AM25" s="405"/>
      <c r="AN25" s="406"/>
      <c r="AO25" s="405"/>
      <c r="AP25" s="406"/>
      <c r="AQ25" s="405"/>
      <c r="AR25" s="406"/>
      <c r="AS25" s="405"/>
      <c r="AT25" s="406"/>
      <c r="AU25" s="405"/>
      <c r="AV25" s="406"/>
      <c r="AW25" s="405"/>
      <c r="AX25" s="407"/>
      <c r="AY25" s="366"/>
      <c r="AZ25" s="408"/>
      <c r="BA25" s="367"/>
      <c r="BB25" s="409"/>
      <c r="BC25" s="367"/>
      <c r="BD25" s="409"/>
      <c r="BE25" s="367"/>
      <c r="BF25" s="409"/>
      <c r="BG25" s="367"/>
      <c r="BH25" s="409"/>
      <c r="BI25" s="367"/>
      <c r="BJ25" s="409"/>
      <c r="BK25" s="367"/>
      <c r="BL25" s="409"/>
      <c r="BM25" s="367"/>
      <c r="BN25" s="409"/>
      <c r="BO25" s="367"/>
      <c r="BP25" s="409"/>
      <c r="BQ25" s="367"/>
      <c r="BR25" s="409"/>
      <c r="BS25" s="367"/>
      <c r="BT25" s="409"/>
      <c r="BU25" s="368"/>
      <c r="BV25" s="408"/>
      <c r="BW25" s="369"/>
      <c r="BX25" s="409"/>
      <c r="BY25" s="367"/>
      <c r="BZ25" s="409"/>
      <c r="CA25" s="367"/>
      <c r="CB25" s="409"/>
      <c r="CC25" s="367"/>
      <c r="CD25" s="409"/>
      <c r="CE25" s="367"/>
      <c r="CF25" s="409"/>
      <c r="CG25" s="367"/>
      <c r="CH25" s="409"/>
      <c r="CI25" s="367"/>
      <c r="CJ25" s="409"/>
      <c r="CK25" s="367"/>
      <c r="CL25" s="409"/>
      <c r="CM25" s="367"/>
      <c r="CN25" s="409"/>
      <c r="CO25" s="367"/>
      <c r="CP25" s="409"/>
      <c r="CQ25" s="367"/>
      <c r="CR25" s="409"/>
      <c r="CS25" s="368"/>
      <c r="CT25" s="410"/>
      <c r="CU25" s="283"/>
      <c r="CV25" s="411"/>
      <c r="CW25" s="412"/>
      <c r="CX25" s="285"/>
      <c r="CY25" s="227"/>
      <c r="CZ25" s="229"/>
      <c r="DA25" s="370"/>
      <c r="DB25" s="394"/>
      <c r="DC25" s="395"/>
      <c r="DD25" s="372"/>
      <c r="DE25" s="373"/>
      <c r="DF25" s="372"/>
      <c r="DG25" s="373"/>
      <c r="DH25" s="374"/>
      <c r="DI25" s="375"/>
      <c r="DJ25" s="413"/>
      <c r="DK25" s="377"/>
      <c r="DL25" s="378"/>
      <c r="DM25" s="379"/>
      <c r="DN25" s="233"/>
      <c r="DO25" s="233"/>
      <c r="DP25" s="233"/>
      <c r="DQ25" s="233"/>
      <c r="DR25" s="233"/>
      <c r="DS25" s="233"/>
      <c r="DT25" s="233"/>
      <c r="DU25" s="234"/>
      <c r="DV25" s="378"/>
      <c r="DW25" s="378"/>
      <c r="DX25" s="379"/>
      <c r="DY25" s="233"/>
      <c r="DZ25" s="233"/>
      <c r="EA25" s="233"/>
      <c r="EB25" s="233"/>
      <c r="EC25" s="233"/>
      <c r="ED25" s="233"/>
      <c r="EE25" s="233"/>
      <c r="EF25" s="234"/>
      <c r="EG25" s="378"/>
      <c r="EH25" s="378"/>
      <c r="EI25" s="414"/>
      <c r="EJ25" s="415"/>
      <c r="EK25" s="415"/>
      <c r="EL25" s="248"/>
      <c r="EM25" s="272"/>
      <c r="EN25" s="272"/>
      <c r="EO25" s="272"/>
      <c r="EP25" s="272"/>
      <c r="EQ25" s="272"/>
      <c r="ER25" s="272"/>
      <c r="ES25" s="272"/>
      <c r="ET25" s="272"/>
      <c r="EU25" s="297"/>
      <c r="EV25" s="298"/>
      <c r="EW25" s="272"/>
      <c r="EX25" s="272"/>
      <c r="EY25" s="272"/>
      <c r="EZ25" s="248"/>
      <c r="FA25" s="272"/>
      <c r="FB25" s="272"/>
      <c r="FC25" s="297"/>
      <c r="FD25" s="380"/>
      <c r="FE25" s="309"/>
      <c r="FF25" s="381"/>
      <c r="FG25" s="382"/>
      <c r="FH25" s="383"/>
      <c r="FI25" s="384"/>
      <c r="FJ25" s="380"/>
      <c r="FK25" s="385"/>
      <c r="FL25" s="386"/>
      <c r="FM25" s="387"/>
      <c r="FN25" s="386"/>
      <c r="FO25" s="387"/>
      <c r="FP25" s="388"/>
      <c r="FQ25" s="387"/>
      <c r="FR25" s="388"/>
      <c r="FS25" s="387"/>
      <c r="FT25" s="388"/>
      <c r="FU25" s="387"/>
      <c r="FV25" s="388"/>
      <c r="FW25" s="387"/>
      <c r="FX25" s="388"/>
      <c r="FY25" s="387"/>
      <c r="FZ25" s="388"/>
      <c r="GA25" s="387"/>
      <c r="GB25" s="388"/>
      <c r="GC25" s="387"/>
      <c r="GD25" s="388"/>
      <c r="GE25" s="387"/>
      <c r="GF25" s="388"/>
      <c r="GG25" s="389"/>
      <c r="GH25" s="390"/>
      <c r="GI25" s="387"/>
      <c r="GJ25" s="387"/>
      <c r="GK25" s="387"/>
      <c r="GL25" s="387"/>
      <c r="GM25" s="387"/>
      <c r="GN25" s="387"/>
      <c r="GO25" s="387"/>
      <c r="GP25" s="387"/>
      <c r="GQ25" s="387"/>
      <c r="GR25" s="387"/>
      <c r="GS25" s="387"/>
      <c r="GT25" s="387"/>
      <c r="GU25" s="387"/>
      <c r="GV25" s="387"/>
      <c r="GW25" s="387"/>
      <c r="GX25" s="387"/>
      <c r="GY25" s="387"/>
      <c r="GZ25" s="387"/>
      <c r="HA25" s="387"/>
      <c r="HB25" s="387"/>
      <c r="HC25" s="387"/>
      <c r="HD25" s="387"/>
      <c r="HE25" s="391"/>
      <c r="HF25" s="389"/>
      <c r="HG25" s="387"/>
      <c r="HH25" s="387"/>
      <c r="HI25" s="387"/>
      <c r="HJ25" s="387"/>
      <c r="HK25" s="387"/>
      <c r="HL25" s="387"/>
      <c r="HM25" s="387"/>
      <c r="HN25" s="387"/>
      <c r="HO25" s="387"/>
      <c r="HP25" s="387"/>
      <c r="HQ25" s="387"/>
      <c r="HR25" s="387"/>
      <c r="HS25" s="387"/>
      <c r="HT25" s="387"/>
      <c r="HU25" s="387"/>
      <c r="HV25" s="387"/>
      <c r="HW25" s="387"/>
      <c r="HX25" s="387"/>
      <c r="HY25" s="387"/>
      <c r="HZ25" s="387"/>
      <c r="IA25" s="387"/>
      <c r="IB25" s="387"/>
      <c r="IC25" s="392"/>
      <c r="ID25" s="312"/>
      <c r="IE25" s="312"/>
      <c r="IF25" s="312"/>
      <c r="IG25" s="312"/>
      <c r="IH25" s="312"/>
      <c r="II25" s="312"/>
      <c r="IJ25" s="312"/>
      <c r="IK25" s="312"/>
      <c r="IL25" s="312"/>
      <c r="IM25" s="312"/>
      <c r="IN25" s="312"/>
      <c r="IO25" s="312"/>
      <c r="IP25" s="312"/>
      <c r="IQ25" s="312"/>
      <c r="IR25" s="312"/>
      <c r="IS25" s="312"/>
      <c r="IT25" s="312"/>
      <c r="IU25" s="312"/>
      <c r="IV25" s="312"/>
      <c r="IW25" s="312"/>
      <c r="IX25" s="312"/>
      <c r="IY25" s="312"/>
      <c r="IZ25" s="312"/>
      <c r="JA25" s="312"/>
      <c r="JB25" s="312"/>
      <c r="JC25" s="312"/>
      <c r="JD25" s="312"/>
      <c r="JE25" s="312"/>
      <c r="JF25" s="312"/>
      <c r="JG25" s="312"/>
      <c r="JH25" s="312"/>
      <c r="JI25" s="312"/>
      <c r="JJ25" s="312"/>
      <c r="JK25" s="312"/>
      <c r="JL25" s="312"/>
      <c r="JM25" s="312"/>
      <c r="JN25" s="312"/>
      <c r="JO25" s="312"/>
      <c r="JP25" s="312"/>
      <c r="JQ25" s="312"/>
      <c r="JR25" s="312"/>
      <c r="JS25" s="312"/>
      <c r="JT25" s="312"/>
      <c r="JU25" s="312"/>
      <c r="JV25" s="312"/>
      <c r="JW25" s="312"/>
      <c r="JX25" s="312"/>
      <c r="JY25" s="312"/>
      <c r="JZ25" s="312"/>
      <c r="KA25" s="312"/>
      <c r="KB25" s="312"/>
      <c r="KC25" s="312"/>
      <c r="KD25" s="312"/>
      <c r="KE25" s="312"/>
      <c r="KF25" s="312"/>
      <c r="KG25" s="312"/>
      <c r="KH25" s="312"/>
      <c r="KI25" s="312"/>
      <c r="KJ25" s="312"/>
      <c r="KK25" s="312"/>
      <c r="KL25" s="312"/>
      <c r="KM25" s="312"/>
      <c r="KN25" s="312"/>
      <c r="KO25" s="312"/>
      <c r="KP25" s="312"/>
      <c r="KQ25" s="312"/>
      <c r="KR25" s="312"/>
      <c r="KS25" s="312"/>
      <c r="KT25" s="312"/>
      <c r="KU25" s="312"/>
      <c r="KV25" s="312"/>
      <c r="KW25" s="312"/>
      <c r="KX25" s="312"/>
      <c r="KY25" s="312"/>
      <c r="KZ25" s="312"/>
      <c r="LA25" s="312"/>
      <c r="LB25" s="312"/>
      <c r="LC25" s="312"/>
      <c r="LD25" s="312"/>
      <c r="LE25" s="312"/>
      <c r="LF25" s="312"/>
      <c r="LG25" s="312"/>
      <c r="LH25" s="312"/>
      <c r="LI25" s="312"/>
      <c r="LJ25" s="312"/>
    </row>
    <row r="26" spans="1:322" s="393" customFormat="1">
      <c r="A26" s="397"/>
      <c r="B26" s="398"/>
      <c r="C26" s="275"/>
      <c r="D26" s="727"/>
      <c r="E26" s="357"/>
      <c r="F26" s="358"/>
      <c r="G26" s="399"/>
      <c r="H26" s="206"/>
      <c r="I26" s="206"/>
      <c r="J26" s="206"/>
      <c r="K26" s="206"/>
      <c r="L26" s="206"/>
      <c r="M26" s="400"/>
      <c r="N26" s="359"/>
      <c r="O26" s="359"/>
      <c r="P26" s="401"/>
      <c r="Q26" s="401"/>
      <c r="R26" s="360"/>
      <c r="S26" s="402"/>
      <c r="T26" s="211"/>
      <c r="U26" s="403"/>
      <c r="V26" s="217"/>
      <c r="W26" s="362"/>
      <c r="X26" s="363"/>
      <c r="Y26" s="278"/>
      <c r="Z26" s="278"/>
      <c r="AA26" s="404"/>
      <c r="AB26" s="271"/>
      <c r="AC26" s="405"/>
      <c r="AD26" s="271"/>
      <c r="AE26" s="405"/>
      <c r="AF26" s="271"/>
      <c r="AG26" s="405"/>
      <c r="AH26" s="271"/>
      <c r="AI26" s="405"/>
      <c r="AJ26" s="406"/>
      <c r="AK26" s="405"/>
      <c r="AL26" s="406"/>
      <c r="AM26" s="405"/>
      <c r="AN26" s="406"/>
      <c r="AO26" s="405"/>
      <c r="AP26" s="406"/>
      <c r="AQ26" s="405"/>
      <c r="AR26" s="406"/>
      <c r="AS26" s="405"/>
      <c r="AT26" s="406"/>
      <c r="AU26" s="405"/>
      <c r="AV26" s="406"/>
      <c r="AW26" s="405"/>
      <c r="AX26" s="407"/>
      <c r="AY26" s="366"/>
      <c r="AZ26" s="408"/>
      <c r="BA26" s="367"/>
      <c r="BB26" s="409"/>
      <c r="BC26" s="367"/>
      <c r="BD26" s="409"/>
      <c r="BE26" s="367"/>
      <c r="BF26" s="409"/>
      <c r="BG26" s="367"/>
      <c r="BH26" s="409"/>
      <c r="BI26" s="367"/>
      <c r="BJ26" s="409"/>
      <c r="BK26" s="367"/>
      <c r="BL26" s="409"/>
      <c r="BM26" s="367"/>
      <c r="BN26" s="409"/>
      <c r="BO26" s="367"/>
      <c r="BP26" s="409"/>
      <c r="BQ26" s="367"/>
      <c r="BR26" s="409"/>
      <c r="BS26" s="367"/>
      <c r="BT26" s="409"/>
      <c r="BU26" s="368"/>
      <c r="BV26" s="408"/>
      <c r="BW26" s="369"/>
      <c r="BX26" s="409"/>
      <c r="BY26" s="367"/>
      <c r="BZ26" s="409"/>
      <c r="CA26" s="367"/>
      <c r="CB26" s="409"/>
      <c r="CC26" s="367"/>
      <c r="CD26" s="409"/>
      <c r="CE26" s="367"/>
      <c r="CF26" s="409"/>
      <c r="CG26" s="367"/>
      <c r="CH26" s="409"/>
      <c r="CI26" s="367"/>
      <c r="CJ26" s="409"/>
      <c r="CK26" s="367"/>
      <c r="CL26" s="409"/>
      <c r="CM26" s="367"/>
      <c r="CN26" s="409"/>
      <c r="CO26" s="367"/>
      <c r="CP26" s="409"/>
      <c r="CQ26" s="367"/>
      <c r="CR26" s="409"/>
      <c r="CS26" s="368"/>
      <c r="CT26" s="410"/>
      <c r="CU26" s="283"/>
      <c r="CV26" s="411"/>
      <c r="CW26" s="412"/>
      <c r="CX26" s="285"/>
      <c r="CY26" s="227"/>
      <c r="CZ26" s="229"/>
      <c r="DA26" s="370"/>
      <c r="DB26" s="394"/>
      <c r="DC26" s="395"/>
      <c r="DD26" s="372"/>
      <c r="DE26" s="373"/>
      <c r="DF26" s="372"/>
      <c r="DG26" s="373"/>
      <c r="DH26" s="374"/>
      <c r="DI26" s="375"/>
      <c r="DJ26" s="413"/>
      <c r="DK26" s="377"/>
      <c r="DL26" s="378"/>
      <c r="DM26" s="379"/>
      <c r="DN26" s="233"/>
      <c r="DO26" s="233"/>
      <c r="DP26" s="233"/>
      <c r="DQ26" s="233"/>
      <c r="DR26" s="233"/>
      <c r="DS26" s="233"/>
      <c r="DT26" s="233"/>
      <c r="DU26" s="234"/>
      <c r="DV26" s="378"/>
      <c r="DW26" s="378"/>
      <c r="DX26" s="379"/>
      <c r="DY26" s="233"/>
      <c r="DZ26" s="233"/>
      <c r="EA26" s="233"/>
      <c r="EB26" s="233"/>
      <c r="EC26" s="233"/>
      <c r="ED26" s="233"/>
      <c r="EE26" s="233"/>
      <c r="EF26" s="234"/>
      <c r="EG26" s="378"/>
      <c r="EH26" s="378"/>
      <c r="EI26" s="414"/>
      <c r="EJ26" s="415"/>
      <c r="EK26" s="415"/>
      <c r="EL26" s="248"/>
      <c r="EM26" s="272"/>
      <c r="EN26" s="272"/>
      <c r="EO26" s="272"/>
      <c r="EP26" s="272"/>
      <c r="EQ26" s="272"/>
      <c r="ER26" s="272"/>
      <c r="ES26" s="272"/>
      <c r="ET26" s="272"/>
      <c r="EU26" s="297"/>
      <c r="EV26" s="298"/>
      <c r="EW26" s="272"/>
      <c r="EX26" s="272"/>
      <c r="EY26" s="272"/>
      <c r="EZ26" s="248"/>
      <c r="FA26" s="272"/>
      <c r="FB26" s="272"/>
      <c r="FC26" s="297"/>
      <c r="FD26" s="380"/>
      <c r="FE26" s="309"/>
      <c r="FF26" s="381"/>
      <c r="FG26" s="382"/>
      <c r="FH26" s="383"/>
      <c r="FI26" s="384"/>
      <c r="FJ26" s="380"/>
      <c r="FK26" s="385"/>
      <c r="FL26" s="386"/>
      <c r="FM26" s="387"/>
      <c r="FN26" s="386"/>
      <c r="FO26" s="387"/>
      <c r="FP26" s="388"/>
      <c r="FQ26" s="387"/>
      <c r="FR26" s="388"/>
      <c r="FS26" s="387"/>
      <c r="FT26" s="388"/>
      <c r="FU26" s="387"/>
      <c r="FV26" s="388"/>
      <c r="FW26" s="387"/>
      <c r="FX26" s="388"/>
      <c r="FY26" s="387"/>
      <c r="FZ26" s="388"/>
      <c r="GA26" s="387"/>
      <c r="GB26" s="388"/>
      <c r="GC26" s="387"/>
      <c r="GD26" s="388"/>
      <c r="GE26" s="387"/>
      <c r="GF26" s="388"/>
      <c r="GG26" s="389"/>
      <c r="GH26" s="390"/>
      <c r="GI26" s="387"/>
      <c r="GJ26" s="387"/>
      <c r="GK26" s="387"/>
      <c r="GL26" s="387"/>
      <c r="GM26" s="387"/>
      <c r="GN26" s="387"/>
      <c r="GO26" s="387"/>
      <c r="GP26" s="387"/>
      <c r="GQ26" s="387"/>
      <c r="GR26" s="387"/>
      <c r="GS26" s="387"/>
      <c r="GT26" s="387"/>
      <c r="GU26" s="387"/>
      <c r="GV26" s="387"/>
      <c r="GW26" s="387"/>
      <c r="GX26" s="387"/>
      <c r="GY26" s="387"/>
      <c r="GZ26" s="387"/>
      <c r="HA26" s="387"/>
      <c r="HB26" s="387"/>
      <c r="HC26" s="387"/>
      <c r="HD26" s="387"/>
      <c r="HE26" s="391"/>
      <c r="HF26" s="389"/>
      <c r="HG26" s="387"/>
      <c r="HH26" s="387"/>
      <c r="HI26" s="387"/>
      <c r="HJ26" s="387"/>
      <c r="HK26" s="387"/>
      <c r="HL26" s="387"/>
      <c r="HM26" s="387"/>
      <c r="HN26" s="387"/>
      <c r="HO26" s="387"/>
      <c r="HP26" s="387"/>
      <c r="HQ26" s="387"/>
      <c r="HR26" s="387"/>
      <c r="HS26" s="387"/>
      <c r="HT26" s="387"/>
      <c r="HU26" s="387"/>
      <c r="HV26" s="387"/>
      <c r="HW26" s="387"/>
      <c r="HX26" s="387"/>
      <c r="HY26" s="387"/>
      <c r="HZ26" s="387"/>
      <c r="IA26" s="387"/>
      <c r="IB26" s="387"/>
      <c r="IC26" s="392"/>
      <c r="ID26" s="312"/>
      <c r="IE26" s="312"/>
      <c r="IF26" s="312"/>
      <c r="IG26" s="312"/>
      <c r="IH26" s="312"/>
      <c r="II26" s="312"/>
      <c r="IJ26" s="312"/>
      <c r="IK26" s="312"/>
      <c r="IL26" s="312"/>
      <c r="IM26" s="312"/>
      <c r="IN26" s="312"/>
      <c r="IO26" s="312"/>
      <c r="IP26" s="312"/>
      <c r="IQ26" s="312"/>
      <c r="IR26" s="312"/>
      <c r="IS26" s="312"/>
      <c r="IT26" s="312"/>
      <c r="IU26" s="312"/>
      <c r="IV26" s="312"/>
      <c r="IW26" s="312"/>
      <c r="IX26" s="312"/>
      <c r="IY26" s="312"/>
      <c r="IZ26" s="312"/>
      <c r="JA26" s="312"/>
      <c r="JB26" s="312"/>
      <c r="JC26" s="312"/>
      <c r="JD26" s="312"/>
      <c r="JE26" s="312"/>
      <c r="JF26" s="312"/>
      <c r="JG26" s="312"/>
      <c r="JH26" s="312"/>
      <c r="JI26" s="312"/>
      <c r="JJ26" s="312"/>
      <c r="JK26" s="312"/>
      <c r="JL26" s="312"/>
      <c r="JM26" s="312"/>
      <c r="JN26" s="312"/>
      <c r="JO26" s="312"/>
      <c r="JP26" s="312"/>
      <c r="JQ26" s="312"/>
      <c r="JR26" s="312"/>
      <c r="JS26" s="312"/>
      <c r="JT26" s="312"/>
      <c r="JU26" s="312"/>
      <c r="JV26" s="312"/>
      <c r="JW26" s="312"/>
      <c r="JX26" s="312"/>
      <c r="JY26" s="312"/>
      <c r="JZ26" s="312"/>
      <c r="KA26" s="312"/>
      <c r="KB26" s="312"/>
      <c r="KC26" s="312"/>
      <c r="KD26" s="312"/>
      <c r="KE26" s="312"/>
      <c r="KF26" s="312"/>
      <c r="KG26" s="312"/>
      <c r="KH26" s="312"/>
      <c r="KI26" s="312"/>
      <c r="KJ26" s="312"/>
      <c r="KK26" s="312"/>
      <c r="KL26" s="312"/>
      <c r="KM26" s="312"/>
      <c r="KN26" s="312"/>
      <c r="KO26" s="312"/>
      <c r="KP26" s="312"/>
      <c r="KQ26" s="312"/>
      <c r="KR26" s="312"/>
      <c r="KS26" s="312"/>
      <c r="KT26" s="312"/>
      <c r="KU26" s="312"/>
      <c r="KV26" s="312"/>
      <c r="KW26" s="312"/>
      <c r="KX26" s="312"/>
      <c r="KY26" s="312"/>
      <c r="KZ26" s="312"/>
      <c r="LA26" s="312"/>
      <c r="LB26" s="312"/>
      <c r="LC26" s="312"/>
      <c r="LD26" s="312"/>
      <c r="LE26" s="312"/>
      <c r="LF26" s="312"/>
      <c r="LG26" s="312"/>
      <c r="LH26" s="312"/>
      <c r="LI26" s="312"/>
      <c r="LJ26" s="312"/>
    </row>
    <row r="27" spans="1:322" s="393" customFormat="1">
      <c r="A27" s="397"/>
      <c r="B27" s="398"/>
      <c r="C27" s="275"/>
      <c r="D27" s="727"/>
      <c r="E27" s="357"/>
      <c r="F27" s="358"/>
      <c r="G27" s="399"/>
      <c r="H27" s="206"/>
      <c r="I27" s="206"/>
      <c r="J27" s="206"/>
      <c r="K27" s="206"/>
      <c r="L27" s="206"/>
      <c r="M27" s="400"/>
      <c r="N27" s="359"/>
      <c r="O27" s="359"/>
      <c r="P27" s="401"/>
      <c r="Q27" s="401"/>
      <c r="R27" s="360"/>
      <c r="S27" s="402"/>
      <c r="T27" s="211"/>
      <c r="U27" s="403"/>
      <c r="V27" s="217"/>
      <c r="W27" s="362"/>
      <c r="X27" s="363"/>
      <c r="Y27" s="278"/>
      <c r="Z27" s="278"/>
      <c r="AA27" s="404"/>
      <c r="AB27" s="271"/>
      <c r="AC27" s="405"/>
      <c r="AD27" s="271"/>
      <c r="AE27" s="405"/>
      <c r="AF27" s="271"/>
      <c r="AG27" s="405"/>
      <c r="AH27" s="271"/>
      <c r="AI27" s="405"/>
      <c r="AJ27" s="406"/>
      <c r="AK27" s="405"/>
      <c r="AL27" s="406"/>
      <c r="AM27" s="405"/>
      <c r="AN27" s="406"/>
      <c r="AO27" s="405"/>
      <c r="AP27" s="406"/>
      <c r="AQ27" s="405"/>
      <c r="AR27" s="406"/>
      <c r="AS27" s="405"/>
      <c r="AT27" s="406"/>
      <c r="AU27" s="405"/>
      <c r="AV27" s="406"/>
      <c r="AW27" s="405"/>
      <c r="AX27" s="407"/>
      <c r="AY27" s="366"/>
      <c r="AZ27" s="408"/>
      <c r="BA27" s="367"/>
      <c r="BB27" s="409"/>
      <c r="BC27" s="367"/>
      <c r="BD27" s="409"/>
      <c r="BE27" s="367"/>
      <c r="BF27" s="409"/>
      <c r="BG27" s="367"/>
      <c r="BH27" s="409"/>
      <c r="BI27" s="367"/>
      <c r="BJ27" s="409"/>
      <c r="BK27" s="367"/>
      <c r="BL27" s="409"/>
      <c r="BM27" s="367"/>
      <c r="BN27" s="409"/>
      <c r="BO27" s="367"/>
      <c r="BP27" s="409"/>
      <c r="BQ27" s="367"/>
      <c r="BR27" s="409"/>
      <c r="BS27" s="367"/>
      <c r="BT27" s="409"/>
      <c r="BU27" s="368"/>
      <c r="BV27" s="408"/>
      <c r="BW27" s="369"/>
      <c r="BX27" s="409"/>
      <c r="BY27" s="367"/>
      <c r="BZ27" s="409"/>
      <c r="CA27" s="367"/>
      <c r="CB27" s="409"/>
      <c r="CC27" s="367"/>
      <c r="CD27" s="409"/>
      <c r="CE27" s="367"/>
      <c r="CF27" s="409"/>
      <c r="CG27" s="367"/>
      <c r="CH27" s="409"/>
      <c r="CI27" s="367"/>
      <c r="CJ27" s="409"/>
      <c r="CK27" s="367"/>
      <c r="CL27" s="409"/>
      <c r="CM27" s="367"/>
      <c r="CN27" s="409"/>
      <c r="CO27" s="367"/>
      <c r="CP27" s="409"/>
      <c r="CQ27" s="367"/>
      <c r="CR27" s="409"/>
      <c r="CS27" s="368"/>
      <c r="CT27" s="410"/>
      <c r="CU27" s="283"/>
      <c r="CV27" s="411"/>
      <c r="CW27" s="412"/>
      <c r="CX27" s="285"/>
      <c r="CY27" s="227"/>
      <c r="CZ27" s="229"/>
      <c r="DA27" s="370"/>
      <c r="DB27" s="394"/>
      <c r="DC27" s="395"/>
      <c r="DD27" s="372"/>
      <c r="DE27" s="373"/>
      <c r="DF27" s="372"/>
      <c r="DG27" s="373"/>
      <c r="DH27" s="374"/>
      <c r="DI27" s="375"/>
      <c r="DJ27" s="413"/>
      <c r="DK27" s="377"/>
      <c r="DL27" s="378"/>
      <c r="DM27" s="379"/>
      <c r="DN27" s="233"/>
      <c r="DO27" s="233"/>
      <c r="DP27" s="233"/>
      <c r="DQ27" s="233"/>
      <c r="DR27" s="233"/>
      <c r="DS27" s="233"/>
      <c r="DT27" s="233"/>
      <c r="DU27" s="234"/>
      <c r="DV27" s="378"/>
      <c r="DW27" s="378"/>
      <c r="DX27" s="379"/>
      <c r="DY27" s="233"/>
      <c r="DZ27" s="233"/>
      <c r="EA27" s="233"/>
      <c r="EB27" s="233"/>
      <c r="EC27" s="233"/>
      <c r="ED27" s="233"/>
      <c r="EE27" s="233"/>
      <c r="EF27" s="234"/>
      <c r="EG27" s="378"/>
      <c r="EH27" s="378"/>
      <c r="EI27" s="414"/>
      <c r="EJ27" s="415"/>
      <c r="EK27" s="415"/>
      <c r="EL27" s="248"/>
      <c r="EM27" s="272"/>
      <c r="EN27" s="272"/>
      <c r="EO27" s="272"/>
      <c r="EP27" s="272"/>
      <c r="EQ27" s="272"/>
      <c r="ER27" s="272"/>
      <c r="ES27" s="272"/>
      <c r="ET27" s="272"/>
      <c r="EU27" s="297"/>
      <c r="EV27" s="298"/>
      <c r="EW27" s="272"/>
      <c r="EX27" s="272"/>
      <c r="EY27" s="272"/>
      <c r="EZ27" s="248"/>
      <c r="FA27" s="272"/>
      <c r="FB27" s="272"/>
      <c r="FC27" s="297"/>
      <c r="FD27" s="380"/>
      <c r="FE27" s="309"/>
      <c r="FF27" s="381"/>
      <c r="FG27" s="382"/>
      <c r="FH27" s="383"/>
      <c r="FI27" s="384"/>
      <c r="FJ27" s="380"/>
      <c r="FK27" s="385"/>
      <c r="FL27" s="386"/>
      <c r="FM27" s="387"/>
      <c r="FN27" s="386"/>
      <c r="FO27" s="387"/>
      <c r="FP27" s="388"/>
      <c r="FQ27" s="387"/>
      <c r="FR27" s="388"/>
      <c r="FS27" s="387"/>
      <c r="FT27" s="388"/>
      <c r="FU27" s="387"/>
      <c r="FV27" s="388"/>
      <c r="FW27" s="387"/>
      <c r="FX27" s="388"/>
      <c r="FY27" s="387"/>
      <c r="FZ27" s="388"/>
      <c r="GA27" s="387"/>
      <c r="GB27" s="388"/>
      <c r="GC27" s="387"/>
      <c r="GD27" s="388"/>
      <c r="GE27" s="387"/>
      <c r="GF27" s="388"/>
      <c r="GG27" s="389"/>
      <c r="GH27" s="390"/>
      <c r="GI27" s="387"/>
      <c r="GJ27" s="387"/>
      <c r="GK27" s="387"/>
      <c r="GL27" s="387"/>
      <c r="GM27" s="387"/>
      <c r="GN27" s="387"/>
      <c r="GO27" s="387"/>
      <c r="GP27" s="387"/>
      <c r="GQ27" s="387"/>
      <c r="GR27" s="387"/>
      <c r="GS27" s="387"/>
      <c r="GT27" s="387"/>
      <c r="GU27" s="387"/>
      <c r="GV27" s="387"/>
      <c r="GW27" s="387"/>
      <c r="GX27" s="387"/>
      <c r="GY27" s="387"/>
      <c r="GZ27" s="387"/>
      <c r="HA27" s="387"/>
      <c r="HB27" s="387"/>
      <c r="HC27" s="387"/>
      <c r="HD27" s="387"/>
      <c r="HE27" s="391"/>
      <c r="HF27" s="389"/>
      <c r="HG27" s="387"/>
      <c r="HH27" s="387"/>
      <c r="HI27" s="387"/>
      <c r="HJ27" s="387"/>
      <c r="HK27" s="387"/>
      <c r="HL27" s="387"/>
      <c r="HM27" s="387"/>
      <c r="HN27" s="387"/>
      <c r="HO27" s="387"/>
      <c r="HP27" s="387"/>
      <c r="HQ27" s="387"/>
      <c r="HR27" s="387"/>
      <c r="HS27" s="387"/>
      <c r="HT27" s="387"/>
      <c r="HU27" s="387"/>
      <c r="HV27" s="387"/>
      <c r="HW27" s="387"/>
      <c r="HX27" s="387"/>
      <c r="HY27" s="387"/>
      <c r="HZ27" s="387"/>
      <c r="IA27" s="387"/>
      <c r="IB27" s="387"/>
      <c r="IC27" s="392"/>
      <c r="ID27" s="312"/>
      <c r="IE27" s="312"/>
      <c r="IF27" s="312"/>
      <c r="IG27" s="312"/>
      <c r="IH27" s="312"/>
      <c r="II27" s="312"/>
      <c r="IJ27" s="312"/>
      <c r="IK27" s="312"/>
      <c r="IL27" s="312"/>
      <c r="IM27" s="312"/>
      <c r="IN27" s="312"/>
      <c r="IO27" s="312"/>
      <c r="IP27" s="312"/>
      <c r="IQ27" s="312"/>
      <c r="IR27" s="312"/>
      <c r="IS27" s="312"/>
      <c r="IT27" s="312"/>
      <c r="IU27" s="312"/>
      <c r="IV27" s="312"/>
      <c r="IW27" s="312"/>
      <c r="IX27" s="312"/>
      <c r="IY27" s="312"/>
      <c r="IZ27" s="312"/>
      <c r="JA27" s="312"/>
      <c r="JB27" s="312"/>
      <c r="JC27" s="312"/>
      <c r="JD27" s="312"/>
      <c r="JE27" s="312"/>
      <c r="JF27" s="312"/>
      <c r="JG27" s="312"/>
      <c r="JH27" s="312"/>
      <c r="JI27" s="312"/>
      <c r="JJ27" s="312"/>
      <c r="JK27" s="312"/>
      <c r="JL27" s="312"/>
      <c r="JM27" s="312"/>
      <c r="JN27" s="312"/>
      <c r="JO27" s="312"/>
      <c r="JP27" s="312"/>
      <c r="JQ27" s="312"/>
      <c r="JR27" s="312"/>
      <c r="JS27" s="312"/>
      <c r="JT27" s="312"/>
      <c r="JU27" s="312"/>
      <c r="JV27" s="312"/>
      <c r="JW27" s="312"/>
      <c r="JX27" s="312"/>
      <c r="JY27" s="312"/>
      <c r="JZ27" s="312"/>
      <c r="KA27" s="312"/>
      <c r="KB27" s="312"/>
      <c r="KC27" s="312"/>
      <c r="KD27" s="312"/>
      <c r="KE27" s="312"/>
      <c r="KF27" s="312"/>
      <c r="KG27" s="312"/>
      <c r="KH27" s="312"/>
      <c r="KI27" s="312"/>
      <c r="KJ27" s="312"/>
      <c r="KK27" s="312"/>
      <c r="KL27" s="312"/>
      <c r="KM27" s="312"/>
      <c r="KN27" s="312"/>
      <c r="KO27" s="312"/>
      <c r="KP27" s="312"/>
      <c r="KQ27" s="312"/>
      <c r="KR27" s="312"/>
      <c r="KS27" s="312"/>
      <c r="KT27" s="312"/>
      <c r="KU27" s="312"/>
      <c r="KV27" s="312"/>
      <c r="KW27" s="312"/>
      <c r="KX27" s="312"/>
      <c r="KY27" s="312"/>
      <c r="KZ27" s="312"/>
      <c r="LA27" s="312"/>
      <c r="LB27" s="312"/>
      <c r="LC27" s="312"/>
      <c r="LD27" s="312"/>
      <c r="LE27" s="312"/>
      <c r="LF27" s="312"/>
      <c r="LG27" s="312"/>
      <c r="LH27" s="312"/>
      <c r="LI27" s="312"/>
      <c r="LJ27" s="312"/>
    </row>
    <row r="28" spans="1:322" s="393" customFormat="1">
      <c r="A28" s="397"/>
      <c r="B28" s="398"/>
      <c r="C28" s="275"/>
      <c r="D28" s="727"/>
      <c r="E28" s="357"/>
      <c r="F28" s="358"/>
      <c r="G28" s="399"/>
      <c r="H28" s="206"/>
      <c r="I28" s="206"/>
      <c r="J28" s="206"/>
      <c r="K28" s="206"/>
      <c r="L28" s="206"/>
      <c r="M28" s="400"/>
      <c r="N28" s="359"/>
      <c r="O28" s="359"/>
      <c r="P28" s="401"/>
      <c r="Q28" s="401"/>
      <c r="R28" s="360"/>
      <c r="S28" s="402"/>
      <c r="T28" s="211"/>
      <c r="U28" s="403"/>
      <c r="V28" s="217"/>
      <c r="W28" s="362"/>
      <c r="X28" s="363"/>
      <c r="Y28" s="278"/>
      <c r="Z28" s="278"/>
      <c r="AA28" s="404"/>
      <c r="AB28" s="271"/>
      <c r="AC28" s="405"/>
      <c r="AD28" s="271"/>
      <c r="AE28" s="405"/>
      <c r="AF28" s="271"/>
      <c r="AG28" s="405"/>
      <c r="AH28" s="271"/>
      <c r="AI28" s="405"/>
      <c r="AJ28" s="406"/>
      <c r="AK28" s="405"/>
      <c r="AL28" s="406"/>
      <c r="AM28" s="405"/>
      <c r="AN28" s="406"/>
      <c r="AO28" s="405"/>
      <c r="AP28" s="406"/>
      <c r="AQ28" s="405"/>
      <c r="AR28" s="406"/>
      <c r="AS28" s="405"/>
      <c r="AT28" s="406"/>
      <c r="AU28" s="405"/>
      <c r="AV28" s="406"/>
      <c r="AW28" s="405"/>
      <c r="AX28" s="407"/>
      <c r="AY28" s="366"/>
      <c r="AZ28" s="408"/>
      <c r="BA28" s="367"/>
      <c r="BB28" s="409"/>
      <c r="BC28" s="367"/>
      <c r="BD28" s="409"/>
      <c r="BE28" s="367"/>
      <c r="BF28" s="409"/>
      <c r="BG28" s="367"/>
      <c r="BH28" s="409"/>
      <c r="BI28" s="367"/>
      <c r="BJ28" s="409"/>
      <c r="BK28" s="367"/>
      <c r="BL28" s="409"/>
      <c r="BM28" s="367"/>
      <c r="BN28" s="409"/>
      <c r="BO28" s="367"/>
      <c r="BP28" s="409"/>
      <c r="BQ28" s="367"/>
      <c r="BR28" s="409"/>
      <c r="BS28" s="367"/>
      <c r="BT28" s="409"/>
      <c r="BU28" s="368"/>
      <c r="BV28" s="408"/>
      <c r="BW28" s="369"/>
      <c r="BX28" s="409"/>
      <c r="BY28" s="367"/>
      <c r="BZ28" s="409"/>
      <c r="CA28" s="367"/>
      <c r="CB28" s="409"/>
      <c r="CC28" s="367"/>
      <c r="CD28" s="409"/>
      <c r="CE28" s="367"/>
      <c r="CF28" s="409"/>
      <c r="CG28" s="367"/>
      <c r="CH28" s="409"/>
      <c r="CI28" s="367"/>
      <c r="CJ28" s="409"/>
      <c r="CK28" s="367"/>
      <c r="CL28" s="409"/>
      <c r="CM28" s="367"/>
      <c r="CN28" s="409"/>
      <c r="CO28" s="367"/>
      <c r="CP28" s="409"/>
      <c r="CQ28" s="367"/>
      <c r="CR28" s="409"/>
      <c r="CS28" s="368"/>
      <c r="CT28" s="410"/>
      <c r="CU28" s="283"/>
      <c r="CV28" s="411"/>
      <c r="CW28" s="412"/>
      <c r="CX28" s="285"/>
      <c r="CY28" s="227"/>
      <c r="CZ28" s="229"/>
      <c r="DA28" s="370"/>
      <c r="DB28" s="394"/>
      <c r="DC28" s="395"/>
      <c r="DD28" s="372"/>
      <c r="DE28" s="373"/>
      <c r="DF28" s="372"/>
      <c r="DG28" s="373"/>
      <c r="DH28" s="374"/>
      <c r="DI28" s="375"/>
      <c r="DJ28" s="413"/>
      <c r="DK28" s="377"/>
      <c r="DL28" s="378"/>
      <c r="DM28" s="379"/>
      <c r="DN28" s="233"/>
      <c r="DO28" s="233"/>
      <c r="DP28" s="233"/>
      <c r="DQ28" s="233"/>
      <c r="DR28" s="233"/>
      <c r="DS28" s="233"/>
      <c r="DT28" s="233"/>
      <c r="DU28" s="234"/>
      <c r="DV28" s="378"/>
      <c r="DW28" s="378"/>
      <c r="DX28" s="379"/>
      <c r="DY28" s="233"/>
      <c r="DZ28" s="233"/>
      <c r="EA28" s="233"/>
      <c r="EB28" s="233"/>
      <c r="EC28" s="233"/>
      <c r="ED28" s="233"/>
      <c r="EE28" s="233"/>
      <c r="EF28" s="234"/>
      <c r="EG28" s="378"/>
      <c r="EH28" s="378"/>
      <c r="EI28" s="414"/>
      <c r="EJ28" s="415"/>
      <c r="EK28" s="415"/>
      <c r="EL28" s="248"/>
      <c r="EM28" s="272"/>
      <c r="EN28" s="272"/>
      <c r="EO28" s="272"/>
      <c r="EP28" s="272"/>
      <c r="EQ28" s="272"/>
      <c r="ER28" s="272"/>
      <c r="ES28" s="272"/>
      <c r="ET28" s="272"/>
      <c r="EU28" s="297"/>
      <c r="EV28" s="298"/>
      <c r="EW28" s="272"/>
      <c r="EX28" s="272"/>
      <c r="EY28" s="272"/>
      <c r="EZ28" s="248"/>
      <c r="FA28" s="272"/>
      <c r="FB28" s="272"/>
      <c r="FC28" s="297"/>
      <c r="FD28" s="380"/>
      <c r="FE28" s="309"/>
      <c r="FF28" s="381"/>
      <c r="FG28" s="382"/>
      <c r="FH28" s="383"/>
      <c r="FI28" s="384"/>
      <c r="FJ28" s="380"/>
      <c r="FK28" s="385"/>
      <c r="FL28" s="386"/>
      <c r="FM28" s="387"/>
      <c r="FN28" s="386"/>
      <c r="FO28" s="387"/>
      <c r="FP28" s="388"/>
      <c r="FQ28" s="387"/>
      <c r="FR28" s="388"/>
      <c r="FS28" s="387"/>
      <c r="FT28" s="388"/>
      <c r="FU28" s="387"/>
      <c r="FV28" s="388"/>
      <c r="FW28" s="387"/>
      <c r="FX28" s="388"/>
      <c r="FY28" s="387"/>
      <c r="FZ28" s="388"/>
      <c r="GA28" s="387"/>
      <c r="GB28" s="388"/>
      <c r="GC28" s="387"/>
      <c r="GD28" s="388"/>
      <c r="GE28" s="387"/>
      <c r="GF28" s="388"/>
      <c r="GG28" s="389"/>
      <c r="GH28" s="390"/>
      <c r="GI28" s="387"/>
      <c r="GJ28" s="387"/>
      <c r="GK28" s="387"/>
      <c r="GL28" s="387"/>
      <c r="GM28" s="387"/>
      <c r="GN28" s="387"/>
      <c r="GO28" s="387"/>
      <c r="GP28" s="387"/>
      <c r="GQ28" s="387"/>
      <c r="GR28" s="387"/>
      <c r="GS28" s="387"/>
      <c r="GT28" s="387"/>
      <c r="GU28" s="387"/>
      <c r="GV28" s="387"/>
      <c r="GW28" s="387"/>
      <c r="GX28" s="387"/>
      <c r="GY28" s="387"/>
      <c r="GZ28" s="387"/>
      <c r="HA28" s="387"/>
      <c r="HB28" s="387"/>
      <c r="HC28" s="387"/>
      <c r="HD28" s="387"/>
      <c r="HE28" s="391"/>
      <c r="HF28" s="389"/>
      <c r="HG28" s="387"/>
      <c r="HH28" s="387"/>
      <c r="HI28" s="387"/>
      <c r="HJ28" s="387"/>
      <c r="HK28" s="387"/>
      <c r="HL28" s="387"/>
      <c r="HM28" s="387"/>
      <c r="HN28" s="387"/>
      <c r="HO28" s="387"/>
      <c r="HP28" s="387"/>
      <c r="HQ28" s="387"/>
      <c r="HR28" s="387"/>
      <c r="HS28" s="387"/>
      <c r="HT28" s="387"/>
      <c r="HU28" s="387"/>
      <c r="HV28" s="387"/>
      <c r="HW28" s="387"/>
      <c r="HX28" s="387"/>
      <c r="HY28" s="387"/>
      <c r="HZ28" s="387"/>
      <c r="IA28" s="387"/>
      <c r="IB28" s="387"/>
      <c r="IC28" s="392"/>
      <c r="ID28" s="312"/>
      <c r="IE28" s="312"/>
      <c r="IF28" s="312"/>
      <c r="IG28" s="312"/>
      <c r="IH28" s="312"/>
      <c r="II28" s="312"/>
      <c r="IJ28" s="312"/>
      <c r="IK28" s="312"/>
      <c r="IL28" s="312"/>
      <c r="IM28" s="312"/>
      <c r="IN28" s="312"/>
      <c r="IO28" s="312"/>
      <c r="IP28" s="312"/>
      <c r="IQ28" s="312"/>
      <c r="IR28" s="312"/>
      <c r="IS28" s="312"/>
      <c r="IT28" s="312"/>
      <c r="IU28" s="312"/>
      <c r="IV28" s="312"/>
      <c r="IW28" s="312"/>
      <c r="IX28" s="312"/>
      <c r="IY28" s="312"/>
      <c r="IZ28" s="312"/>
      <c r="JA28" s="312"/>
      <c r="JB28" s="312"/>
      <c r="JC28" s="312"/>
      <c r="JD28" s="312"/>
      <c r="JE28" s="312"/>
      <c r="JF28" s="312"/>
      <c r="JG28" s="312"/>
      <c r="JH28" s="312"/>
      <c r="JI28" s="312"/>
      <c r="JJ28" s="312"/>
      <c r="JK28" s="312"/>
      <c r="JL28" s="312"/>
      <c r="JM28" s="312"/>
      <c r="JN28" s="312"/>
      <c r="JO28" s="312"/>
      <c r="JP28" s="312"/>
      <c r="JQ28" s="312"/>
      <c r="JR28" s="312"/>
      <c r="JS28" s="312"/>
      <c r="JT28" s="312"/>
      <c r="JU28" s="312"/>
      <c r="JV28" s="312"/>
      <c r="JW28" s="312"/>
      <c r="JX28" s="312"/>
      <c r="JY28" s="312"/>
      <c r="JZ28" s="312"/>
      <c r="KA28" s="312"/>
      <c r="KB28" s="312"/>
      <c r="KC28" s="312"/>
      <c r="KD28" s="312"/>
      <c r="KE28" s="312"/>
      <c r="KF28" s="312"/>
      <c r="KG28" s="312"/>
      <c r="KH28" s="312"/>
      <c r="KI28" s="312"/>
      <c r="KJ28" s="312"/>
      <c r="KK28" s="312"/>
      <c r="KL28" s="312"/>
      <c r="KM28" s="312"/>
      <c r="KN28" s="312"/>
      <c r="KO28" s="312"/>
      <c r="KP28" s="312"/>
      <c r="KQ28" s="312"/>
      <c r="KR28" s="312"/>
      <c r="KS28" s="312"/>
      <c r="KT28" s="312"/>
      <c r="KU28" s="312"/>
      <c r="KV28" s="312"/>
      <c r="KW28" s="312"/>
      <c r="KX28" s="312"/>
      <c r="KY28" s="312"/>
      <c r="KZ28" s="312"/>
    </row>
    <row r="29" spans="1:322" s="393" customFormat="1">
      <c r="A29" s="397"/>
      <c r="B29" s="398"/>
      <c r="C29" s="275"/>
      <c r="D29" s="727"/>
      <c r="E29" s="357"/>
      <c r="F29" s="358"/>
      <c r="G29" s="399"/>
      <c r="H29" s="206"/>
      <c r="I29" s="206"/>
      <c r="J29" s="206"/>
      <c r="K29" s="206"/>
      <c r="L29" s="206"/>
      <c r="M29" s="400"/>
      <c r="N29" s="359"/>
      <c r="O29" s="359"/>
      <c r="P29" s="401"/>
      <c r="Q29" s="401"/>
      <c r="R29" s="360"/>
      <c r="S29" s="402"/>
      <c r="T29" s="211"/>
      <c r="U29" s="403"/>
      <c r="V29" s="217"/>
      <c r="W29" s="362"/>
      <c r="X29" s="363"/>
      <c r="Y29" s="278"/>
      <c r="Z29" s="278"/>
      <c r="AA29" s="404"/>
      <c r="AB29" s="271"/>
      <c r="AC29" s="405"/>
      <c r="AD29" s="271"/>
      <c r="AE29" s="405"/>
      <c r="AF29" s="271"/>
      <c r="AG29" s="405"/>
      <c r="AH29" s="271"/>
      <c r="AI29" s="405"/>
      <c r="AJ29" s="406"/>
      <c r="AK29" s="405"/>
      <c r="AL29" s="406"/>
      <c r="AM29" s="405"/>
      <c r="AN29" s="406"/>
      <c r="AO29" s="405"/>
      <c r="AP29" s="406"/>
      <c r="AQ29" s="405"/>
      <c r="AR29" s="406"/>
      <c r="AS29" s="405"/>
      <c r="AT29" s="406"/>
      <c r="AU29" s="405"/>
      <c r="AV29" s="406"/>
      <c r="AW29" s="405"/>
      <c r="AX29" s="407"/>
      <c r="AY29" s="366"/>
      <c r="AZ29" s="408"/>
      <c r="BA29" s="367"/>
      <c r="BB29" s="409"/>
      <c r="BC29" s="367"/>
      <c r="BD29" s="409"/>
      <c r="BE29" s="367"/>
      <c r="BF29" s="409"/>
      <c r="BG29" s="367"/>
      <c r="BH29" s="409"/>
      <c r="BI29" s="367"/>
      <c r="BJ29" s="409"/>
      <c r="BK29" s="367"/>
      <c r="BL29" s="409"/>
      <c r="BM29" s="367"/>
      <c r="BN29" s="409"/>
      <c r="BO29" s="367"/>
      <c r="BP29" s="409"/>
      <c r="BQ29" s="367"/>
      <c r="BR29" s="409"/>
      <c r="BS29" s="367"/>
      <c r="BT29" s="409"/>
      <c r="BU29" s="368"/>
      <c r="BV29" s="408"/>
      <c r="BW29" s="369"/>
      <c r="BX29" s="409"/>
      <c r="BY29" s="367"/>
      <c r="BZ29" s="409"/>
      <c r="CA29" s="367"/>
      <c r="CB29" s="409"/>
      <c r="CC29" s="367"/>
      <c r="CD29" s="409"/>
      <c r="CE29" s="367"/>
      <c r="CF29" s="409"/>
      <c r="CG29" s="367"/>
      <c r="CH29" s="409"/>
      <c r="CI29" s="367"/>
      <c r="CJ29" s="409"/>
      <c r="CK29" s="367"/>
      <c r="CL29" s="409"/>
      <c r="CM29" s="367"/>
      <c r="CN29" s="409"/>
      <c r="CO29" s="367"/>
      <c r="CP29" s="409"/>
      <c r="CQ29" s="367"/>
      <c r="CR29" s="409"/>
      <c r="CS29" s="368"/>
      <c r="CT29" s="410"/>
      <c r="CU29" s="283"/>
      <c r="CV29" s="411"/>
      <c r="CW29" s="412"/>
      <c r="CX29" s="285"/>
      <c r="CY29" s="227"/>
      <c r="CZ29" s="229"/>
      <c r="DA29" s="370"/>
      <c r="DB29" s="394"/>
      <c r="DC29" s="395"/>
      <c r="DD29" s="372"/>
      <c r="DE29" s="373"/>
      <c r="DF29" s="372"/>
      <c r="DG29" s="373"/>
      <c r="DH29" s="374"/>
      <c r="DI29" s="375"/>
      <c r="DJ29" s="413"/>
      <c r="DK29" s="377"/>
      <c r="DL29" s="378"/>
      <c r="DM29" s="379"/>
      <c r="DN29" s="233"/>
      <c r="DO29" s="233"/>
      <c r="DP29" s="233"/>
      <c r="DQ29" s="233"/>
      <c r="DR29" s="233"/>
      <c r="DS29" s="233"/>
      <c r="DT29" s="233"/>
      <c r="DU29" s="234"/>
      <c r="DV29" s="378"/>
      <c r="DW29" s="378"/>
      <c r="DX29" s="379"/>
      <c r="DY29" s="233"/>
      <c r="DZ29" s="233"/>
      <c r="EA29" s="233"/>
      <c r="EB29" s="233"/>
      <c r="EC29" s="233"/>
      <c r="ED29" s="233"/>
      <c r="EE29" s="233"/>
      <c r="EF29" s="234"/>
      <c r="EG29" s="378"/>
      <c r="EH29" s="378"/>
      <c r="EI29" s="414"/>
      <c r="EJ29" s="415"/>
      <c r="EK29" s="415"/>
      <c r="EL29" s="248"/>
      <c r="EM29" s="272"/>
      <c r="EN29" s="272"/>
      <c r="EO29" s="272"/>
      <c r="EP29" s="272"/>
      <c r="EQ29" s="272"/>
      <c r="ER29" s="272"/>
      <c r="ES29" s="272"/>
      <c r="ET29" s="272"/>
      <c r="EU29" s="297"/>
      <c r="EV29" s="298"/>
      <c r="EW29" s="272"/>
      <c r="EX29" s="272"/>
      <c r="EY29" s="272"/>
      <c r="EZ29" s="248"/>
      <c r="FA29" s="272"/>
      <c r="FB29" s="272"/>
      <c r="FC29" s="297"/>
      <c r="FD29" s="380"/>
      <c r="FE29" s="309"/>
      <c r="FF29" s="381"/>
      <c r="FG29" s="382"/>
      <c r="FH29" s="383"/>
      <c r="FI29" s="384"/>
      <c r="FJ29" s="380"/>
      <c r="FK29" s="385"/>
      <c r="FL29" s="386"/>
      <c r="FM29" s="387"/>
      <c r="FN29" s="386"/>
      <c r="FO29" s="387"/>
      <c r="FP29" s="388"/>
      <c r="FQ29" s="387"/>
      <c r="FR29" s="388"/>
      <c r="FS29" s="387"/>
      <c r="FT29" s="388"/>
      <c r="FU29" s="387"/>
      <c r="FV29" s="388"/>
      <c r="FW29" s="387"/>
      <c r="FX29" s="388"/>
      <c r="FY29" s="387"/>
      <c r="FZ29" s="388"/>
      <c r="GA29" s="387"/>
      <c r="GB29" s="388"/>
      <c r="GC29" s="387"/>
      <c r="GD29" s="388"/>
      <c r="GE29" s="387"/>
      <c r="GF29" s="388"/>
      <c r="GG29" s="389"/>
      <c r="GH29" s="390"/>
      <c r="GI29" s="387"/>
      <c r="GJ29" s="387"/>
      <c r="GK29" s="387"/>
      <c r="GL29" s="387"/>
      <c r="GM29" s="387"/>
      <c r="GN29" s="387"/>
      <c r="GO29" s="387"/>
      <c r="GP29" s="387"/>
      <c r="GQ29" s="387"/>
      <c r="GR29" s="387"/>
      <c r="GS29" s="387"/>
      <c r="GT29" s="387"/>
      <c r="GU29" s="387"/>
      <c r="GV29" s="387"/>
      <c r="GW29" s="387"/>
      <c r="GX29" s="387"/>
      <c r="GY29" s="387"/>
      <c r="GZ29" s="387"/>
      <c r="HA29" s="387"/>
      <c r="HB29" s="387"/>
      <c r="HC29" s="387"/>
      <c r="HD29" s="387"/>
      <c r="HE29" s="391"/>
      <c r="HF29" s="389"/>
      <c r="HG29" s="387"/>
      <c r="HH29" s="387"/>
      <c r="HI29" s="387"/>
      <c r="HJ29" s="387"/>
      <c r="HK29" s="387"/>
      <c r="HL29" s="387"/>
      <c r="HM29" s="387"/>
      <c r="HN29" s="387"/>
      <c r="HO29" s="387"/>
      <c r="HP29" s="387"/>
      <c r="HQ29" s="387"/>
      <c r="HR29" s="387"/>
      <c r="HS29" s="387"/>
      <c r="HT29" s="387"/>
      <c r="HU29" s="387"/>
      <c r="HV29" s="387"/>
      <c r="HW29" s="387"/>
      <c r="HX29" s="387"/>
      <c r="HY29" s="387"/>
      <c r="HZ29" s="387"/>
      <c r="IA29" s="387"/>
      <c r="IB29" s="387"/>
      <c r="IC29" s="392"/>
      <c r="ID29" s="312"/>
      <c r="IE29" s="312"/>
      <c r="IF29" s="312"/>
      <c r="IG29" s="312"/>
      <c r="IH29" s="312"/>
      <c r="II29" s="312"/>
      <c r="IJ29" s="312"/>
      <c r="IK29" s="312"/>
      <c r="IL29" s="312"/>
      <c r="IM29" s="312"/>
      <c r="IN29" s="312"/>
      <c r="IO29" s="312"/>
      <c r="IP29" s="312"/>
      <c r="IQ29" s="312"/>
      <c r="IR29" s="312"/>
      <c r="IS29" s="312"/>
      <c r="IT29" s="312"/>
      <c r="IU29" s="312"/>
      <c r="IV29" s="312"/>
      <c r="IW29" s="312"/>
      <c r="IX29" s="312"/>
      <c r="IY29" s="312"/>
      <c r="IZ29" s="312"/>
      <c r="JA29" s="312"/>
      <c r="JB29" s="312"/>
      <c r="JC29" s="312"/>
      <c r="JD29" s="312"/>
      <c r="JE29" s="312"/>
      <c r="JF29" s="312"/>
      <c r="JG29" s="312"/>
      <c r="JH29" s="312"/>
      <c r="JI29" s="312"/>
      <c r="JJ29" s="312"/>
      <c r="JK29" s="312"/>
      <c r="JL29" s="312"/>
      <c r="JM29" s="312"/>
      <c r="JN29" s="312"/>
      <c r="JO29" s="312"/>
      <c r="JP29" s="312"/>
      <c r="JQ29" s="312"/>
      <c r="JR29" s="312"/>
      <c r="JS29" s="312"/>
      <c r="JT29" s="312"/>
      <c r="JU29" s="312"/>
      <c r="JV29" s="312"/>
      <c r="JW29" s="312"/>
      <c r="JX29" s="312"/>
      <c r="JY29" s="312"/>
      <c r="JZ29" s="312"/>
      <c r="KA29" s="312"/>
      <c r="KB29" s="312"/>
      <c r="KC29" s="312"/>
      <c r="KD29" s="312"/>
      <c r="KE29" s="312"/>
      <c r="KF29" s="312"/>
      <c r="KG29" s="312"/>
      <c r="KH29" s="312"/>
      <c r="KI29" s="312"/>
      <c r="KJ29" s="312"/>
      <c r="KK29" s="312"/>
      <c r="KL29" s="312"/>
      <c r="KM29" s="312"/>
      <c r="KN29" s="312"/>
      <c r="KO29" s="312"/>
      <c r="KP29" s="312"/>
      <c r="KQ29" s="312"/>
      <c r="KR29" s="312"/>
      <c r="KS29" s="312"/>
      <c r="KT29" s="312"/>
      <c r="KU29" s="312"/>
      <c r="KV29" s="312"/>
      <c r="KW29" s="312"/>
      <c r="KX29" s="312"/>
      <c r="KY29" s="312"/>
      <c r="KZ29" s="312"/>
    </row>
    <row r="30" spans="1:322">
      <c r="DA30" s="370"/>
      <c r="GH30" s="390"/>
      <c r="GI30" s="387"/>
      <c r="GJ30" s="387"/>
      <c r="GK30" s="387"/>
      <c r="GL30" s="387"/>
      <c r="GM30" s="387"/>
      <c r="GN30" s="387"/>
      <c r="GO30" s="387"/>
      <c r="GP30" s="387"/>
      <c r="GQ30" s="387"/>
      <c r="GR30" s="387"/>
      <c r="GS30" s="387"/>
      <c r="GT30" s="387"/>
      <c r="GU30" s="387"/>
      <c r="GV30" s="387"/>
      <c r="GW30" s="387"/>
      <c r="GX30" s="387"/>
      <c r="GY30" s="387"/>
      <c r="GZ30" s="387"/>
      <c r="HA30" s="387"/>
      <c r="HB30" s="387"/>
      <c r="HC30" s="387"/>
      <c r="HD30" s="387"/>
      <c r="HE30" s="391"/>
      <c r="HF30" s="417"/>
      <c r="HG30" s="387"/>
      <c r="HH30" s="387"/>
      <c r="HI30" s="387"/>
      <c r="HJ30" s="387"/>
      <c r="HK30" s="387"/>
      <c r="HL30" s="387"/>
      <c r="HM30" s="387"/>
      <c r="HN30" s="387"/>
      <c r="HO30" s="387"/>
      <c r="HP30" s="387"/>
      <c r="HQ30" s="387"/>
      <c r="HR30" s="387"/>
      <c r="HS30" s="387"/>
      <c r="HT30" s="387"/>
      <c r="HU30" s="387"/>
      <c r="HV30" s="387"/>
      <c r="HW30" s="387"/>
      <c r="HX30" s="387"/>
      <c r="HY30" s="387"/>
      <c r="HZ30" s="387"/>
      <c r="IA30" s="387"/>
      <c r="IB30" s="387"/>
      <c r="IC30" s="392"/>
      <c r="ID30" s="312"/>
      <c r="IE30" s="312"/>
      <c r="IF30" s="312"/>
      <c r="IG30" s="312"/>
      <c r="IH30" s="312"/>
      <c r="II30" s="312"/>
      <c r="IJ30" s="312"/>
      <c r="IK30" s="312"/>
      <c r="IL30" s="312"/>
      <c r="IM30" s="312"/>
      <c r="IN30" s="312"/>
      <c r="IO30" s="312"/>
      <c r="IP30" s="312"/>
      <c r="IQ30" s="312"/>
      <c r="IR30" s="312"/>
      <c r="IS30" s="312"/>
      <c r="IT30" s="312"/>
      <c r="IU30" s="312"/>
      <c r="IV30" s="312"/>
      <c r="IW30" s="312"/>
      <c r="IX30" s="312"/>
      <c r="IY30" s="312"/>
      <c r="IZ30" s="312"/>
      <c r="JA30" s="312"/>
      <c r="JB30" s="312"/>
      <c r="JC30" s="312"/>
      <c r="JD30" s="312"/>
      <c r="JE30" s="312"/>
      <c r="JF30" s="312"/>
      <c r="JG30" s="312"/>
      <c r="JH30" s="312"/>
      <c r="JI30" s="312"/>
      <c r="JJ30" s="312"/>
      <c r="JK30" s="312"/>
      <c r="JL30" s="312"/>
      <c r="JM30" s="312"/>
      <c r="JN30" s="312"/>
      <c r="JO30" s="312"/>
      <c r="JP30" s="312"/>
      <c r="JQ30" s="312"/>
      <c r="JR30" s="312"/>
      <c r="JS30" s="312"/>
      <c r="JT30" s="312"/>
      <c r="JU30" s="312"/>
      <c r="JV30" s="312"/>
      <c r="JW30" s="312"/>
      <c r="JX30" s="312"/>
      <c r="JY30" s="312"/>
      <c r="JZ30" s="312"/>
      <c r="KA30" s="312"/>
      <c r="KB30" s="312"/>
      <c r="KC30" s="312"/>
      <c r="KD30" s="312"/>
      <c r="KE30" s="312"/>
      <c r="KF30" s="312"/>
      <c r="KG30" s="312"/>
      <c r="KH30" s="312"/>
      <c r="KI30" s="312"/>
      <c r="KJ30" s="312"/>
      <c r="KK30" s="312"/>
      <c r="KL30" s="312"/>
      <c r="KM30" s="312"/>
      <c r="KN30" s="312"/>
      <c r="KO30" s="312"/>
      <c r="KP30" s="312"/>
      <c r="KQ30" s="312"/>
      <c r="KR30" s="312"/>
      <c r="KS30" s="312"/>
      <c r="KT30" s="312"/>
      <c r="KU30" s="312"/>
      <c r="KV30" s="312"/>
      <c r="KW30" s="312"/>
      <c r="KX30" s="312"/>
      <c r="KY30" s="312"/>
      <c r="KZ30" s="312"/>
    </row>
    <row r="31" spans="1:322">
      <c r="DA31" s="370"/>
      <c r="GH31" s="390"/>
      <c r="GI31" s="387"/>
      <c r="GJ31" s="387"/>
      <c r="GK31" s="387"/>
      <c r="GL31" s="387"/>
      <c r="GM31" s="387"/>
      <c r="GN31" s="387"/>
      <c r="GO31" s="387"/>
      <c r="GP31" s="387"/>
      <c r="GQ31" s="387"/>
      <c r="GR31" s="387"/>
      <c r="GS31" s="387"/>
      <c r="GT31" s="387"/>
      <c r="GU31" s="387"/>
      <c r="GV31" s="387"/>
      <c r="GW31" s="387"/>
      <c r="GX31" s="387"/>
      <c r="GY31" s="387"/>
      <c r="GZ31" s="387"/>
      <c r="HA31" s="387"/>
      <c r="HB31" s="387"/>
      <c r="HC31" s="387"/>
      <c r="HD31" s="387"/>
      <c r="HE31" s="391"/>
      <c r="HF31" s="417"/>
      <c r="HG31" s="387"/>
      <c r="HH31" s="387"/>
      <c r="HI31" s="387"/>
      <c r="HJ31" s="387"/>
      <c r="HK31" s="387"/>
      <c r="HL31" s="387"/>
      <c r="HM31" s="387"/>
      <c r="HN31" s="387"/>
      <c r="HO31" s="387"/>
      <c r="HP31" s="387"/>
      <c r="HQ31" s="387"/>
      <c r="HR31" s="387"/>
      <c r="HS31" s="387"/>
      <c r="HT31" s="387"/>
      <c r="HU31" s="387"/>
      <c r="HV31" s="387"/>
      <c r="HW31" s="387"/>
      <c r="HX31" s="387"/>
      <c r="HY31" s="387"/>
      <c r="HZ31" s="387"/>
      <c r="IA31" s="387"/>
      <c r="IB31" s="387"/>
      <c r="IC31" s="392"/>
      <c r="ID31" s="312"/>
      <c r="IE31" s="312"/>
      <c r="IF31" s="312"/>
      <c r="IG31" s="312"/>
      <c r="IH31" s="312"/>
      <c r="II31" s="312"/>
      <c r="IJ31" s="312"/>
      <c r="IK31" s="312"/>
      <c r="IL31" s="312"/>
      <c r="IM31" s="312"/>
      <c r="IN31" s="312"/>
      <c r="IO31" s="312"/>
      <c r="IP31" s="312"/>
      <c r="IQ31" s="312"/>
      <c r="IR31" s="312"/>
      <c r="IS31" s="312"/>
      <c r="IT31" s="312"/>
      <c r="IU31" s="312"/>
      <c r="IV31" s="312"/>
      <c r="IW31" s="312"/>
      <c r="IX31" s="312"/>
      <c r="IY31" s="312"/>
      <c r="IZ31" s="312"/>
      <c r="JA31" s="312"/>
      <c r="JB31" s="312"/>
      <c r="JC31" s="312"/>
      <c r="JD31" s="312"/>
      <c r="JE31" s="312"/>
      <c r="JF31" s="312"/>
      <c r="JG31" s="312"/>
      <c r="JH31" s="312"/>
      <c r="JI31" s="312"/>
      <c r="JJ31" s="312"/>
      <c r="JK31" s="312"/>
      <c r="JL31" s="312"/>
      <c r="JM31" s="312"/>
      <c r="JN31" s="312"/>
      <c r="JO31" s="312"/>
      <c r="JP31" s="312"/>
      <c r="JQ31" s="312"/>
      <c r="JR31" s="312"/>
      <c r="JS31" s="312"/>
      <c r="JT31" s="312"/>
      <c r="JU31" s="312"/>
      <c r="JV31" s="312"/>
      <c r="JW31" s="312"/>
      <c r="JX31" s="312"/>
      <c r="JY31" s="312"/>
      <c r="JZ31" s="312"/>
      <c r="KA31" s="312"/>
      <c r="KB31" s="312"/>
      <c r="KC31" s="312"/>
      <c r="KD31" s="312"/>
      <c r="KE31" s="312"/>
      <c r="KF31" s="312"/>
      <c r="KG31" s="312"/>
      <c r="KH31" s="312"/>
      <c r="KI31" s="312"/>
      <c r="KJ31" s="312"/>
      <c r="KK31" s="312"/>
      <c r="KL31" s="312"/>
      <c r="KM31" s="312"/>
      <c r="KN31" s="312"/>
      <c r="KO31" s="312"/>
      <c r="KP31" s="312"/>
      <c r="KQ31" s="312"/>
      <c r="KR31" s="312"/>
      <c r="KS31" s="312"/>
      <c r="KT31" s="312"/>
      <c r="KU31" s="312"/>
      <c r="KV31" s="312"/>
      <c r="KW31" s="312"/>
      <c r="KX31" s="312"/>
      <c r="KY31" s="312"/>
      <c r="KZ31" s="312"/>
    </row>
    <row r="32" spans="1:322">
      <c r="DA32" s="370"/>
      <c r="GH32" s="390"/>
      <c r="GI32" s="387"/>
      <c r="GJ32" s="387"/>
      <c r="GK32" s="387"/>
      <c r="GL32" s="387"/>
      <c r="GM32" s="387"/>
      <c r="GN32" s="387"/>
      <c r="GO32" s="387"/>
      <c r="GP32" s="387"/>
      <c r="GQ32" s="387"/>
      <c r="GR32" s="387"/>
      <c r="GS32" s="387"/>
      <c r="GT32" s="387"/>
      <c r="GU32" s="387"/>
      <c r="GV32" s="387"/>
      <c r="GW32" s="387"/>
      <c r="GX32" s="387"/>
      <c r="GY32" s="387"/>
      <c r="GZ32" s="387"/>
      <c r="HA32" s="387"/>
      <c r="HB32" s="387"/>
      <c r="HC32" s="387"/>
      <c r="HD32" s="387"/>
      <c r="HE32" s="391"/>
      <c r="HF32" s="417"/>
      <c r="HG32" s="387"/>
      <c r="HH32" s="387"/>
      <c r="HI32" s="387"/>
      <c r="HJ32" s="387"/>
      <c r="HK32" s="387"/>
      <c r="HL32" s="387"/>
      <c r="HM32" s="387"/>
      <c r="HN32" s="387"/>
      <c r="HO32" s="387"/>
      <c r="HP32" s="387"/>
      <c r="HQ32" s="387"/>
      <c r="HR32" s="387"/>
      <c r="HS32" s="387"/>
      <c r="HT32" s="387"/>
      <c r="HU32" s="387"/>
      <c r="HV32" s="387"/>
      <c r="HW32" s="387"/>
      <c r="HX32" s="387"/>
      <c r="HY32" s="387"/>
      <c r="HZ32" s="387"/>
      <c r="IA32" s="387"/>
      <c r="IB32" s="387"/>
      <c r="IC32" s="392"/>
      <c r="ID32" s="312"/>
      <c r="IE32" s="312"/>
      <c r="IF32" s="312"/>
      <c r="IG32" s="312"/>
      <c r="IH32" s="312"/>
      <c r="II32" s="312"/>
      <c r="IJ32" s="312"/>
      <c r="IK32" s="312"/>
      <c r="IL32" s="312"/>
      <c r="IM32" s="312"/>
      <c r="IN32" s="312"/>
      <c r="IO32" s="312"/>
      <c r="IP32" s="312"/>
      <c r="IQ32" s="312"/>
      <c r="IR32" s="312"/>
      <c r="IS32" s="312"/>
      <c r="IT32" s="312"/>
      <c r="IU32" s="312"/>
      <c r="IV32" s="312"/>
      <c r="IW32" s="312"/>
      <c r="IX32" s="312"/>
      <c r="IY32" s="312"/>
      <c r="IZ32" s="312"/>
      <c r="JA32" s="312"/>
      <c r="JB32" s="312"/>
      <c r="JC32" s="312"/>
      <c r="JD32" s="312"/>
      <c r="JE32" s="312"/>
      <c r="JF32" s="312"/>
      <c r="JG32" s="312"/>
      <c r="JH32" s="312"/>
      <c r="JI32" s="312"/>
      <c r="JJ32" s="312"/>
      <c r="JK32" s="312"/>
      <c r="JL32" s="312"/>
      <c r="JM32" s="312"/>
      <c r="JN32" s="312"/>
      <c r="JO32" s="312"/>
      <c r="JP32" s="312"/>
      <c r="JQ32" s="312"/>
      <c r="JR32" s="312"/>
      <c r="JS32" s="312"/>
      <c r="JT32" s="312"/>
      <c r="JU32" s="312"/>
      <c r="JV32" s="312"/>
      <c r="JW32" s="312"/>
      <c r="JX32" s="312"/>
      <c r="JY32" s="312"/>
      <c r="JZ32" s="312"/>
      <c r="KA32" s="312"/>
      <c r="KB32" s="312"/>
      <c r="KC32" s="312"/>
      <c r="KD32" s="312"/>
      <c r="KE32" s="312"/>
      <c r="KF32" s="312"/>
      <c r="KG32" s="312"/>
      <c r="KH32" s="312"/>
      <c r="KI32" s="312"/>
      <c r="KJ32" s="312"/>
      <c r="KK32" s="312"/>
      <c r="KL32" s="312"/>
      <c r="KM32" s="312"/>
      <c r="KN32" s="312"/>
      <c r="KO32" s="312"/>
      <c r="KP32" s="312"/>
      <c r="KQ32" s="312"/>
      <c r="KR32" s="312"/>
      <c r="KS32" s="312"/>
      <c r="KT32" s="312"/>
      <c r="KU32" s="312"/>
      <c r="KV32" s="312"/>
      <c r="KW32" s="312"/>
      <c r="KX32" s="312"/>
      <c r="KY32" s="312"/>
      <c r="KZ32" s="312"/>
    </row>
    <row r="33" spans="105:312">
      <c r="DA33" s="370"/>
      <c r="GH33" s="390"/>
      <c r="GI33" s="387"/>
      <c r="GJ33" s="387"/>
      <c r="GK33" s="387"/>
      <c r="GL33" s="387"/>
      <c r="GM33" s="387"/>
      <c r="GN33" s="387"/>
      <c r="GO33" s="387"/>
      <c r="GP33" s="387"/>
      <c r="GQ33" s="387"/>
      <c r="GR33" s="387"/>
      <c r="GS33" s="387"/>
      <c r="GT33" s="387"/>
      <c r="GU33" s="387"/>
      <c r="GV33" s="387"/>
      <c r="GW33" s="387"/>
      <c r="GX33" s="387"/>
      <c r="GY33" s="387"/>
      <c r="GZ33" s="387"/>
      <c r="HA33" s="387"/>
      <c r="HB33" s="387"/>
      <c r="HC33" s="387"/>
      <c r="HD33" s="387"/>
      <c r="HE33" s="391"/>
      <c r="HF33" s="417"/>
      <c r="HG33" s="387"/>
      <c r="HH33" s="387"/>
      <c r="HI33" s="387"/>
      <c r="HJ33" s="387"/>
      <c r="HK33" s="387"/>
      <c r="HL33" s="387"/>
      <c r="HM33" s="387"/>
      <c r="HN33" s="387"/>
      <c r="HO33" s="387"/>
      <c r="HP33" s="387"/>
      <c r="HQ33" s="387"/>
      <c r="HR33" s="387"/>
      <c r="HS33" s="387"/>
      <c r="HT33" s="387"/>
      <c r="HU33" s="387"/>
      <c r="HV33" s="387"/>
      <c r="HW33" s="387"/>
      <c r="HX33" s="387"/>
      <c r="HY33" s="387"/>
      <c r="HZ33" s="387"/>
      <c r="IA33" s="387"/>
      <c r="IB33" s="387"/>
      <c r="IC33" s="392"/>
      <c r="ID33" s="312"/>
      <c r="IE33" s="312"/>
      <c r="IF33" s="312"/>
      <c r="IG33" s="312"/>
      <c r="IH33" s="312"/>
      <c r="II33" s="312"/>
      <c r="IJ33" s="312"/>
      <c r="IK33" s="312"/>
      <c r="IL33" s="312"/>
      <c r="IM33" s="312"/>
      <c r="IN33" s="312"/>
      <c r="IO33" s="312"/>
      <c r="IP33" s="312"/>
      <c r="IQ33" s="312"/>
      <c r="IR33" s="312"/>
      <c r="IS33" s="312"/>
      <c r="IT33" s="312"/>
      <c r="IU33" s="312"/>
      <c r="IV33" s="312"/>
      <c r="IW33" s="312"/>
      <c r="JR33" s="312"/>
      <c r="JS33" s="312"/>
      <c r="JT33" s="312"/>
      <c r="JU33" s="312"/>
      <c r="JV33" s="312"/>
      <c r="JW33" s="312"/>
      <c r="JX33" s="312"/>
      <c r="JY33" s="312"/>
      <c r="JZ33" s="312"/>
      <c r="KA33" s="312"/>
      <c r="KB33" s="312"/>
      <c r="KC33" s="312"/>
      <c r="KD33" s="312"/>
      <c r="KE33" s="312"/>
      <c r="KF33" s="312"/>
      <c r="KG33" s="312"/>
      <c r="KH33" s="312"/>
      <c r="KI33" s="312"/>
      <c r="KJ33" s="312"/>
      <c r="KK33" s="312"/>
      <c r="KL33" s="312"/>
      <c r="KM33" s="312"/>
      <c r="KN33" s="312"/>
      <c r="KO33" s="312"/>
      <c r="KP33" s="312"/>
      <c r="KQ33" s="312"/>
      <c r="KR33" s="312"/>
      <c r="KS33" s="312"/>
      <c r="KT33" s="312"/>
      <c r="KU33" s="312"/>
      <c r="KV33" s="312"/>
      <c r="KW33" s="312"/>
      <c r="KX33" s="312"/>
      <c r="KY33" s="312"/>
      <c r="KZ33" s="312"/>
    </row>
    <row r="34" spans="105:312">
      <c r="DA34" s="370"/>
      <c r="GH34" s="390"/>
      <c r="GI34" s="387"/>
      <c r="GJ34" s="387"/>
      <c r="GK34" s="387"/>
      <c r="GL34" s="387"/>
      <c r="GM34" s="387"/>
      <c r="GN34" s="387"/>
      <c r="GO34" s="387"/>
      <c r="GP34" s="387"/>
      <c r="GQ34" s="387"/>
      <c r="GR34" s="387"/>
      <c r="GS34" s="387"/>
      <c r="GT34" s="387"/>
      <c r="GU34" s="387"/>
      <c r="GV34" s="387"/>
      <c r="GW34" s="387"/>
      <c r="GX34" s="387"/>
      <c r="GY34" s="387"/>
      <c r="GZ34" s="387"/>
      <c r="HA34" s="387"/>
      <c r="HB34" s="387"/>
      <c r="HC34" s="387"/>
      <c r="HD34" s="387"/>
      <c r="HE34" s="391"/>
      <c r="HF34" s="417"/>
      <c r="HG34" s="387"/>
      <c r="HH34" s="387"/>
      <c r="HI34" s="387"/>
      <c r="HJ34" s="387"/>
      <c r="HK34" s="387"/>
      <c r="HL34" s="387"/>
      <c r="HM34" s="387"/>
      <c r="HN34" s="387"/>
      <c r="HO34" s="387"/>
      <c r="HP34" s="387"/>
      <c r="HQ34" s="387"/>
      <c r="HR34" s="387"/>
      <c r="HS34" s="387"/>
      <c r="HT34" s="387"/>
      <c r="HU34" s="387"/>
      <c r="HV34" s="387"/>
      <c r="HW34" s="387"/>
      <c r="HX34" s="387"/>
      <c r="HY34" s="387"/>
      <c r="HZ34" s="387"/>
      <c r="IA34" s="387"/>
      <c r="IB34" s="387"/>
      <c r="IC34" s="392"/>
      <c r="ID34" s="312"/>
      <c r="IE34" s="312"/>
      <c r="IF34" s="312"/>
      <c r="IG34" s="312"/>
      <c r="IH34" s="312"/>
      <c r="II34" s="312"/>
      <c r="IJ34" s="312"/>
      <c r="IK34" s="312"/>
      <c r="IL34" s="312"/>
      <c r="IM34" s="312"/>
      <c r="IN34" s="312"/>
      <c r="IO34" s="312"/>
      <c r="IP34" s="312"/>
      <c r="IQ34" s="312"/>
      <c r="IR34" s="312"/>
      <c r="IS34" s="312"/>
      <c r="IT34" s="312"/>
      <c r="IU34" s="312"/>
      <c r="IV34" s="312"/>
      <c r="IW34" s="312"/>
      <c r="JR34" s="312"/>
      <c r="JS34" s="312"/>
      <c r="JT34" s="312"/>
      <c r="JU34" s="312"/>
      <c r="JV34" s="312"/>
      <c r="JW34" s="312"/>
      <c r="JX34" s="312"/>
      <c r="JY34" s="312"/>
      <c r="JZ34" s="312"/>
      <c r="KA34" s="312"/>
      <c r="KB34" s="312"/>
      <c r="KC34" s="312"/>
      <c r="KD34" s="312"/>
      <c r="KE34" s="312"/>
      <c r="KF34" s="312"/>
      <c r="KG34" s="312"/>
      <c r="KH34" s="312"/>
      <c r="KI34" s="312"/>
      <c r="KJ34" s="312"/>
      <c r="KK34" s="312"/>
      <c r="KL34" s="312"/>
      <c r="KM34" s="312"/>
      <c r="KN34" s="312"/>
      <c r="KO34" s="312"/>
      <c r="KP34" s="312"/>
      <c r="KQ34" s="312"/>
      <c r="KR34" s="312"/>
      <c r="KS34" s="312"/>
      <c r="KT34" s="312"/>
      <c r="KU34" s="312"/>
      <c r="KV34" s="312"/>
      <c r="KW34" s="312"/>
      <c r="KX34" s="312"/>
      <c r="KY34" s="312"/>
      <c r="KZ34" s="312"/>
    </row>
    <row r="35" spans="105:312">
      <c r="DA35" s="370"/>
      <c r="GH35" s="390"/>
      <c r="GI35" s="387"/>
      <c r="GJ35" s="387"/>
      <c r="GK35" s="387"/>
      <c r="GL35" s="387"/>
      <c r="GM35" s="387"/>
      <c r="GN35" s="387"/>
      <c r="GO35" s="387"/>
      <c r="GP35" s="387"/>
      <c r="GQ35" s="387"/>
      <c r="GR35" s="387"/>
      <c r="GS35" s="387"/>
      <c r="GT35" s="387"/>
      <c r="GU35" s="387"/>
      <c r="GV35" s="387"/>
      <c r="GW35" s="387"/>
      <c r="GX35" s="387"/>
      <c r="GY35" s="387"/>
      <c r="GZ35" s="387"/>
      <c r="HA35" s="387"/>
      <c r="HB35" s="387"/>
      <c r="HC35" s="387"/>
      <c r="HD35" s="387"/>
      <c r="HE35" s="391"/>
      <c r="HF35" s="417"/>
      <c r="HG35" s="387"/>
      <c r="HH35" s="387"/>
      <c r="HI35" s="387"/>
      <c r="HJ35" s="387"/>
      <c r="HK35" s="387"/>
      <c r="HL35" s="387"/>
      <c r="HM35" s="387"/>
      <c r="HN35" s="387"/>
      <c r="HO35" s="387"/>
      <c r="HP35" s="387"/>
      <c r="HQ35" s="387"/>
      <c r="HR35" s="387"/>
      <c r="HS35" s="387"/>
      <c r="HT35" s="387"/>
      <c r="HU35" s="387"/>
      <c r="HV35" s="387"/>
      <c r="HW35" s="387"/>
      <c r="HX35" s="387"/>
      <c r="HY35" s="387"/>
      <c r="HZ35" s="387"/>
      <c r="IA35" s="387"/>
      <c r="IB35" s="387"/>
      <c r="IC35" s="392"/>
      <c r="ID35" s="312"/>
      <c r="IE35" s="312"/>
      <c r="IF35" s="312"/>
      <c r="IG35" s="312"/>
      <c r="IH35" s="312"/>
      <c r="II35" s="312"/>
      <c r="IJ35" s="312"/>
      <c r="IK35" s="312"/>
      <c r="IL35" s="312"/>
      <c r="IM35" s="312"/>
      <c r="IN35" s="312"/>
      <c r="IO35" s="312"/>
      <c r="IP35" s="312"/>
      <c r="IQ35" s="312"/>
      <c r="IR35" s="312"/>
      <c r="IS35" s="312"/>
      <c r="IT35" s="312"/>
      <c r="IU35" s="312"/>
      <c r="IV35" s="312"/>
      <c r="IW35" s="312"/>
      <c r="JR35" s="312"/>
      <c r="JS35" s="312"/>
      <c r="JT35" s="312"/>
      <c r="JU35" s="312"/>
      <c r="JV35" s="312"/>
      <c r="JW35" s="312"/>
      <c r="JX35" s="312"/>
      <c r="JY35" s="312"/>
      <c r="JZ35" s="312"/>
      <c r="KA35" s="312"/>
      <c r="KB35" s="312"/>
      <c r="KC35" s="312"/>
      <c r="KD35" s="312"/>
      <c r="KE35" s="312"/>
      <c r="KF35" s="312"/>
      <c r="KG35" s="312"/>
      <c r="KH35" s="312"/>
      <c r="KI35" s="312"/>
      <c r="KJ35" s="312"/>
      <c r="KK35" s="312"/>
      <c r="KL35" s="312"/>
      <c r="KM35" s="312"/>
      <c r="KN35" s="312"/>
      <c r="KO35" s="312"/>
      <c r="KP35" s="312"/>
      <c r="KQ35" s="312"/>
      <c r="KR35" s="312"/>
      <c r="KS35" s="312"/>
      <c r="KT35" s="312"/>
      <c r="KU35" s="312"/>
      <c r="KV35" s="312"/>
      <c r="KW35" s="312"/>
      <c r="KX35" s="312"/>
      <c r="KY35" s="312"/>
      <c r="KZ35" s="312"/>
    </row>
    <row r="36" spans="105:312">
      <c r="DA36" s="370"/>
      <c r="GH36" s="390"/>
      <c r="GI36" s="387"/>
      <c r="GJ36" s="387"/>
      <c r="GK36" s="387"/>
      <c r="GL36" s="387"/>
      <c r="GM36" s="387"/>
      <c r="GN36" s="387"/>
      <c r="GO36" s="387"/>
      <c r="GP36" s="387"/>
      <c r="GQ36" s="387"/>
      <c r="GR36" s="387"/>
      <c r="GS36" s="387"/>
      <c r="GT36" s="387"/>
      <c r="GU36" s="387"/>
      <c r="GV36" s="387"/>
      <c r="GW36" s="387"/>
      <c r="GX36" s="387"/>
      <c r="GY36" s="387"/>
      <c r="GZ36" s="387"/>
      <c r="HA36" s="387"/>
      <c r="HB36" s="387"/>
      <c r="HC36" s="387"/>
      <c r="HD36" s="387"/>
      <c r="HE36" s="391"/>
      <c r="HF36" s="417"/>
      <c r="HG36" s="387"/>
      <c r="HH36" s="387"/>
      <c r="HI36" s="387"/>
      <c r="HJ36" s="387"/>
      <c r="HK36" s="387"/>
      <c r="HL36" s="387"/>
      <c r="HM36" s="387"/>
      <c r="HN36" s="387"/>
      <c r="HO36" s="387"/>
      <c r="HP36" s="387"/>
      <c r="HQ36" s="387"/>
      <c r="HR36" s="387"/>
      <c r="HS36" s="387"/>
      <c r="HT36" s="387"/>
      <c r="HU36" s="387"/>
      <c r="HV36" s="387"/>
      <c r="HW36" s="387"/>
      <c r="HX36" s="387"/>
      <c r="HY36" s="387"/>
      <c r="HZ36" s="387"/>
      <c r="IA36" s="387"/>
      <c r="IB36" s="387"/>
      <c r="IC36" s="392"/>
      <c r="ID36" s="312"/>
      <c r="IE36" s="312"/>
      <c r="IF36" s="312"/>
      <c r="IG36" s="312"/>
      <c r="IH36" s="312"/>
      <c r="II36" s="312"/>
      <c r="IJ36" s="312"/>
      <c r="IK36" s="312"/>
      <c r="IL36" s="312"/>
      <c r="IM36" s="312"/>
      <c r="IN36" s="312"/>
      <c r="IO36" s="312"/>
      <c r="IP36" s="312"/>
      <c r="IQ36" s="312"/>
      <c r="IR36" s="312"/>
      <c r="IS36" s="312"/>
      <c r="IT36" s="312"/>
      <c r="IU36" s="312"/>
      <c r="IV36" s="312"/>
      <c r="IW36" s="312"/>
      <c r="JR36" s="312"/>
      <c r="JS36" s="312"/>
      <c r="JT36" s="312"/>
      <c r="JU36" s="312"/>
      <c r="JV36" s="312"/>
      <c r="JW36" s="312"/>
      <c r="JX36" s="312"/>
      <c r="JY36" s="312"/>
      <c r="JZ36" s="312"/>
      <c r="KA36" s="312"/>
      <c r="KB36" s="312"/>
      <c r="KC36" s="312"/>
      <c r="KD36" s="312"/>
      <c r="KE36" s="312"/>
      <c r="KF36" s="312"/>
      <c r="KG36" s="312"/>
      <c r="KH36" s="312"/>
      <c r="KI36" s="312"/>
      <c r="KJ36" s="312"/>
      <c r="KK36" s="312"/>
      <c r="KL36" s="312"/>
      <c r="KM36" s="312"/>
      <c r="KN36" s="312"/>
      <c r="KO36" s="312"/>
      <c r="KP36" s="312"/>
      <c r="KQ36" s="312"/>
      <c r="KR36" s="312"/>
      <c r="KS36" s="312"/>
      <c r="KT36" s="312"/>
      <c r="KU36" s="312"/>
      <c r="KV36" s="312"/>
      <c r="KW36" s="312"/>
      <c r="KX36" s="312"/>
      <c r="KY36" s="312"/>
      <c r="KZ36" s="312"/>
    </row>
    <row r="37" spans="105:312">
      <c r="DA37" s="370"/>
      <c r="GH37" s="390"/>
      <c r="GI37" s="387"/>
      <c r="GJ37" s="387"/>
      <c r="GK37" s="387"/>
      <c r="GL37" s="387"/>
      <c r="GM37" s="387"/>
      <c r="GN37" s="387"/>
      <c r="GO37" s="387"/>
      <c r="GP37" s="387"/>
      <c r="GQ37" s="387"/>
      <c r="GR37" s="387"/>
      <c r="GS37" s="387"/>
      <c r="GT37" s="387"/>
      <c r="GU37" s="387"/>
      <c r="GV37" s="387"/>
      <c r="GW37" s="387"/>
      <c r="GX37" s="387"/>
      <c r="GY37" s="387"/>
      <c r="GZ37" s="387"/>
      <c r="HA37" s="387"/>
      <c r="HB37" s="387"/>
      <c r="HC37" s="387"/>
      <c r="HD37" s="387"/>
      <c r="HE37" s="391"/>
      <c r="HF37" s="417"/>
      <c r="HG37" s="387"/>
      <c r="HH37" s="387"/>
      <c r="HI37" s="387"/>
      <c r="HJ37" s="387"/>
      <c r="HK37" s="387"/>
      <c r="HL37" s="387"/>
      <c r="HM37" s="387"/>
      <c r="HN37" s="387"/>
      <c r="HO37" s="387"/>
      <c r="HP37" s="387"/>
      <c r="HQ37" s="387"/>
      <c r="HR37" s="387"/>
      <c r="HS37" s="387"/>
      <c r="HT37" s="387"/>
      <c r="HU37" s="387"/>
      <c r="HV37" s="387"/>
      <c r="HW37" s="387"/>
      <c r="HX37" s="387"/>
      <c r="HY37" s="387"/>
      <c r="HZ37" s="387"/>
      <c r="IA37" s="387"/>
      <c r="IB37" s="387"/>
      <c r="IC37" s="392"/>
      <c r="ID37" s="312"/>
      <c r="IE37" s="312"/>
      <c r="IF37" s="312"/>
      <c r="IG37" s="312"/>
      <c r="IH37" s="312"/>
      <c r="II37" s="312"/>
      <c r="IJ37" s="312"/>
      <c r="IK37" s="312"/>
      <c r="IL37" s="312"/>
      <c r="IM37" s="312"/>
      <c r="IN37" s="312"/>
      <c r="IO37" s="312"/>
      <c r="IP37" s="312"/>
      <c r="IQ37" s="312"/>
      <c r="IR37" s="312"/>
      <c r="IS37" s="312"/>
      <c r="IT37" s="312"/>
      <c r="IU37" s="312"/>
      <c r="IV37" s="312"/>
      <c r="IW37" s="312"/>
      <c r="JR37" s="312"/>
      <c r="JS37" s="312"/>
      <c r="JT37" s="312"/>
      <c r="JU37" s="312"/>
      <c r="JV37" s="312"/>
      <c r="JW37" s="312"/>
      <c r="JX37" s="312"/>
      <c r="JY37" s="312"/>
      <c r="JZ37" s="312"/>
      <c r="KA37" s="312"/>
      <c r="KB37" s="312"/>
      <c r="KC37" s="312"/>
      <c r="KD37" s="312"/>
      <c r="KE37" s="312"/>
      <c r="KF37" s="312"/>
      <c r="KG37" s="312"/>
      <c r="KH37" s="312"/>
      <c r="KI37" s="312"/>
      <c r="KJ37" s="312"/>
      <c r="KK37" s="312"/>
      <c r="KL37" s="312"/>
      <c r="KM37" s="312"/>
      <c r="KN37" s="312"/>
      <c r="KO37" s="312"/>
      <c r="KP37" s="312"/>
      <c r="KQ37" s="312"/>
      <c r="KR37" s="312"/>
      <c r="KS37" s="312"/>
      <c r="KT37" s="312"/>
      <c r="KU37" s="312"/>
      <c r="KV37" s="312"/>
      <c r="KW37" s="312"/>
      <c r="KX37" s="312"/>
      <c r="KY37" s="312"/>
      <c r="KZ37" s="312"/>
    </row>
    <row r="38" spans="105:312">
      <c r="DA38" s="370"/>
      <c r="GH38" s="390"/>
      <c r="GI38" s="387"/>
      <c r="GJ38" s="387"/>
      <c r="GK38" s="387"/>
      <c r="GL38" s="387"/>
      <c r="GM38" s="387"/>
      <c r="GN38" s="387"/>
      <c r="GO38" s="387"/>
      <c r="GP38" s="387"/>
      <c r="GQ38" s="387"/>
      <c r="GR38" s="387"/>
      <c r="GS38" s="387"/>
      <c r="GT38" s="387"/>
      <c r="GU38" s="387"/>
      <c r="GV38" s="387"/>
      <c r="GW38" s="387"/>
      <c r="GX38" s="387"/>
      <c r="GY38" s="387"/>
      <c r="GZ38" s="387"/>
      <c r="HA38" s="387"/>
      <c r="HB38" s="387"/>
      <c r="HC38" s="387"/>
      <c r="HD38" s="387"/>
      <c r="HE38" s="391"/>
      <c r="HF38" s="417"/>
      <c r="HG38" s="387"/>
      <c r="HH38" s="387"/>
      <c r="HI38" s="387"/>
      <c r="HJ38" s="387"/>
      <c r="HK38" s="387"/>
      <c r="HL38" s="387"/>
      <c r="HM38" s="387"/>
      <c r="HN38" s="387"/>
      <c r="HO38" s="387"/>
      <c r="HP38" s="387"/>
      <c r="HQ38" s="387"/>
      <c r="HR38" s="387"/>
      <c r="HS38" s="387"/>
      <c r="HT38" s="387"/>
      <c r="HU38" s="387"/>
      <c r="HV38" s="387"/>
      <c r="HW38" s="387"/>
      <c r="HX38" s="387"/>
      <c r="HY38" s="387"/>
      <c r="HZ38" s="387"/>
      <c r="IA38" s="387"/>
      <c r="IB38" s="387"/>
      <c r="IC38" s="392"/>
      <c r="ID38" s="312"/>
      <c r="IE38" s="312"/>
      <c r="IF38" s="312"/>
      <c r="IG38" s="312"/>
      <c r="IH38" s="312"/>
      <c r="II38" s="312"/>
      <c r="IJ38" s="312"/>
      <c r="IK38" s="312"/>
      <c r="IL38" s="312"/>
      <c r="IM38" s="312"/>
      <c r="IN38" s="312"/>
      <c r="IO38" s="312"/>
      <c r="IP38" s="312"/>
      <c r="IQ38" s="312"/>
      <c r="IR38" s="312"/>
      <c r="IS38" s="312"/>
      <c r="IT38" s="312"/>
      <c r="IU38" s="312"/>
      <c r="IV38" s="312"/>
      <c r="IW38" s="312"/>
      <c r="JR38" s="312"/>
      <c r="JS38" s="312"/>
      <c r="JT38" s="312"/>
      <c r="JU38" s="312"/>
      <c r="JV38" s="312"/>
      <c r="JW38" s="312"/>
      <c r="JX38" s="312"/>
      <c r="JY38" s="312"/>
      <c r="JZ38" s="312"/>
      <c r="KA38" s="312"/>
      <c r="KB38" s="312"/>
      <c r="KC38" s="312"/>
      <c r="KD38" s="312"/>
      <c r="KE38" s="312"/>
      <c r="KF38" s="312"/>
      <c r="KG38" s="312"/>
      <c r="KH38" s="312"/>
      <c r="KI38" s="312"/>
      <c r="KJ38" s="312"/>
      <c r="KK38" s="312"/>
      <c r="KL38" s="312"/>
      <c r="KM38" s="312"/>
      <c r="KN38" s="312"/>
      <c r="KO38" s="312"/>
      <c r="KP38" s="312"/>
      <c r="KQ38" s="312"/>
      <c r="KR38" s="312"/>
      <c r="KS38" s="312"/>
      <c r="KT38" s="312"/>
      <c r="KU38" s="312"/>
      <c r="KV38" s="312"/>
      <c r="KW38" s="312"/>
      <c r="KX38" s="312"/>
      <c r="KY38" s="312"/>
      <c r="KZ38" s="312"/>
    </row>
    <row r="39" spans="105:312">
      <c r="DA39" s="370"/>
      <c r="GH39" s="390"/>
      <c r="GI39" s="387"/>
      <c r="GJ39" s="387"/>
      <c r="GK39" s="387"/>
      <c r="GL39" s="387"/>
      <c r="GM39" s="387"/>
      <c r="GN39" s="387"/>
      <c r="GO39" s="387"/>
      <c r="GP39" s="387"/>
      <c r="GQ39" s="387"/>
      <c r="GR39" s="387"/>
      <c r="GS39" s="387"/>
      <c r="GT39" s="387"/>
      <c r="GU39" s="387"/>
      <c r="GV39" s="387"/>
      <c r="GW39" s="387"/>
      <c r="GX39" s="387"/>
      <c r="GY39" s="387"/>
      <c r="GZ39" s="387"/>
      <c r="HA39" s="387"/>
      <c r="HB39" s="387"/>
      <c r="HC39" s="387"/>
      <c r="HD39" s="387"/>
      <c r="HE39" s="391"/>
      <c r="HF39" s="417"/>
      <c r="HG39" s="387"/>
      <c r="HH39" s="387"/>
      <c r="HI39" s="387"/>
      <c r="HJ39" s="387"/>
      <c r="HK39" s="387"/>
      <c r="HL39" s="387"/>
      <c r="HM39" s="387"/>
      <c r="HN39" s="387"/>
      <c r="HO39" s="387"/>
      <c r="HP39" s="387"/>
      <c r="HQ39" s="387"/>
      <c r="HR39" s="387"/>
      <c r="HS39" s="387"/>
      <c r="HT39" s="387"/>
      <c r="HU39" s="387"/>
      <c r="HV39" s="387"/>
      <c r="HW39" s="387"/>
      <c r="HX39" s="387"/>
      <c r="HY39" s="387"/>
      <c r="HZ39" s="387"/>
      <c r="IA39" s="387"/>
      <c r="IB39" s="387"/>
      <c r="IC39" s="392"/>
      <c r="ID39" s="312"/>
      <c r="IE39" s="312"/>
      <c r="IF39" s="312"/>
      <c r="IG39" s="312"/>
      <c r="IH39" s="312"/>
      <c r="II39" s="312"/>
      <c r="IJ39" s="312"/>
      <c r="IK39" s="312"/>
      <c r="IL39" s="312"/>
      <c r="IM39" s="312"/>
      <c r="IN39" s="312"/>
      <c r="IO39" s="312"/>
      <c r="IP39" s="312"/>
      <c r="IQ39" s="312"/>
      <c r="IR39" s="312"/>
      <c r="IS39" s="312"/>
      <c r="IT39" s="312"/>
      <c r="IU39" s="312"/>
      <c r="IV39" s="312"/>
      <c r="IW39" s="312"/>
      <c r="JR39" s="312"/>
      <c r="JS39" s="312"/>
      <c r="JT39" s="312"/>
      <c r="JU39" s="312"/>
      <c r="JV39" s="312"/>
      <c r="JW39" s="312"/>
      <c r="JX39" s="312"/>
      <c r="JY39" s="312"/>
      <c r="JZ39" s="312"/>
      <c r="KA39" s="312"/>
      <c r="KB39" s="312"/>
      <c r="KC39" s="312"/>
      <c r="KD39" s="312"/>
      <c r="KE39" s="312"/>
      <c r="KF39" s="312"/>
      <c r="KG39" s="312"/>
      <c r="KH39" s="312"/>
      <c r="KI39" s="312"/>
      <c r="KJ39" s="312"/>
      <c r="KK39" s="312"/>
      <c r="KL39" s="312"/>
      <c r="KM39" s="312"/>
      <c r="KN39" s="312"/>
      <c r="KO39" s="312"/>
      <c r="KP39" s="312"/>
      <c r="KQ39" s="312"/>
      <c r="KR39" s="312"/>
      <c r="KS39" s="312"/>
      <c r="KT39" s="312"/>
      <c r="KU39" s="312"/>
      <c r="KV39" s="312"/>
      <c r="KW39" s="312"/>
      <c r="KX39" s="312"/>
      <c r="KY39" s="312"/>
      <c r="KZ39" s="312"/>
    </row>
    <row r="40" spans="105:312">
      <c r="DA40" s="370"/>
      <c r="GH40" s="390"/>
      <c r="GI40" s="387"/>
      <c r="GJ40" s="387"/>
      <c r="GK40" s="387"/>
      <c r="GL40" s="387"/>
      <c r="GM40" s="387"/>
      <c r="GN40" s="387"/>
      <c r="GO40" s="387"/>
      <c r="GP40" s="387"/>
      <c r="GQ40" s="387"/>
      <c r="GR40" s="387"/>
      <c r="GS40" s="387"/>
      <c r="GT40" s="387"/>
      <c r="GU40" s="387"/>
      <c r="GV40" s="387"/>
      <c r="GW40" s="387"/>
      <c r="GX40" s="387"/>
      <c r="GY40" s="387"/>
      <c r="GZ40" s="387"/>
      <c r="HA40" s="387"/>
      <c r="HB40" s="387"/>
      <c r="HC40" s="387"/>
      <c r="HD40" s="387"/>
      <c r="HE40" s="391"/>
      <c r="HF40" s="417"/>
      <c r="HG40" s="387"/>
      <c r="HH40" s="387"/>
      <c r="HI40" s="387"/>
      <c r="HJ40" s="387"/>
      <c r="HK40" s="387"/>
      <c r="HL40" s="387"/>
      <c r="HM40" s="387"/>
      <c r="HN40" s="387"/>
      <c r="HO40" s="387"/>
      <c r="HP40" s="387"/>
      <c r="HQ40" s="387"/>
      <c r="HR40" s="387"/>
      <c r="HS40" s="387"/>
      <c r="HT40" s="387"/>
      <c r="HU40" s="387"/>
      <c r="HV40" s="387"/>
      <c r="HW40" s="387"/>
      <c r="HX40" s="387"/>
      <c r="HY40" s="387"/>
      <c r="HZ40" s="387"/>
      <c r="IA40" s="387"/>
      <c r="IB40" s="387"/>
      <c r="IC40" s="392"/>
      <c r="JR40" s="312"/>
      <c r="JS40" s="312"/>
      <c r="JT40" s="312"/>
      <c r="JU40" s="312"/>
      <c r="JV40" s="312"/>
      <c r="JW40" s="312"/>
      <c r="JX40" s="312"/>
      <c r="JY40" s="312"/>
      <c r="JZ40" s="312"/>
      <c r="KA40" s="312"/>
      <c r="KB40" s="312"/>
      <c r="KC40" s="312"/>
      <c r="KD40" s="312"/>
      <c r="KE40" s="312"/>
      <c r="KF40" s="312"/>
      <c r="KG40" s="312"/>
      <c r="KH40" s="312"/>
      <c r="KI40" s="312"/>
      <c r="KJ40" s="312"/>
      <c r="KK40" s="312"/>
      <c r="KL40" s="312"/>
      <c r="KM40" s="312"/>
      <c r="KN40" s="312"/>
      <c r="KO40" s="312"/>
      <c r="KP40" s="312"/>
      <c r="KQ40" s="312"/>
      <c r="KR40" s="312"/>
      <c r="KS40" s="312"/>
      <c r="KT40" s="312"/>
      <c r="KU40" s="312"/>
      <c r="KV40" s="312"/>
      <c r="KW40" s="312"/>
      <c r="KX40" s="312"/>
      <c r="KY40" s="312"/>
      <c r="KZ40" s="312"/>
    </row>
    <row r="41" spans="105:312">
      <c r="DA41" s="370"/>
      <c r="GH41" s="390"/>
      <c r="GI41" s="387"/>
      <c r="GJ41" s="387"/>
      <c r="GK41" s="387"/>
      <c r="GL41" s="387"/>
      <c r="GM41" s="387"/>
      <c r="GN41" s="387"/>
      <c r="GO41" s="387"/>
      <c r="GP41" s="387"/>
      <c r="GQ41" s="387"/>
      <c r="GR41" s="387"/>
      <c r="GS41" s="387"/>
      <c r="GT41" s="387"/>
      <c r="GU41" s="387"/>
      <c r="GV41" s="387"/>
      <c r="GW41" s="387"/>
      <c r="GX41" s="387"/>
      <c r="GY41" s="387"/>
      <c r="GZ41" s="387"/>
      <c r="HA41" s="387"/>
      <c r="HB41" s="387"/>
      <c r="HC41" s="387"/>
      <c r="HD41" s="387"/>
      <c r="HE41" s="391"/>
      <c r="HF41" s="417"/>
      <c r="HG41" s="387"/>
      <c r="HH41" s="387"/>
      <c r="HI41" s="387"/>
      <c r="HJ41" s="387"/>
      <c r="HK41" s="387"/>
      <c r="HL41" s="387"/>
      <c r="HM41" s="387"/>
      <c r="HN41" s="387"/>
      <c r="HO41" s="387"/>
      <c r="HP41" s="387"/>
      <c r="HQ41" s="387"/>
      <c r="HR41" s="387"/>
      <c r="HS41" s="387"/>
      <c r="HT41" s="387"/>
      <c r="HU41" s="387"/>
      <c r="HV41" s="387"/>
      <c r="HW41" s="387"/>
      <c r="HX41" s="387"/>
      <c r="HY41" s="387"/>
      <c r="HZ41" s="387"/>
      <c r="IA41" s="387"/>
      <c r="IB41" s="387"/>
      <c r="IC41" s="392"/>
      <c r="KG41" s="312"/>
      <c r="KH41" s="312"/>
      <c r="KI41" s="312"/>
      <c r="KJ41" s="312"/>
      <c r="KK41" s="312"/>
      <c r="KL41" s="312"/>
      <c r="KM41" s="312"/>
      <c r="KN41" s="312"/>
      <c r="KO41" s="312"/>
      <c r="KP41" s="312"/>
      <c r="KQ41" s="312"/>
      <c r="KR41" s="312"/>
      <c r="KS41" s="312"/>
      <c r="KT41" s="312"/>
      <c r="KU41" s="312"/>
      <c r="KV41" s="312"/>
      <c r="KW41" s="312"/>
      <c r="KX41" s="312"/>
      <c r="KY41" s="312"/>
      <c r="KZ41" s="312"/>
    </row>
    <row r="42" spans="105:312">
      <c r="DA42" s="370"/>
      <c r="GH42" s="390"/>
      <c r="GI42" s="387"/>
      <c r="GJ42" s="387"/>
      <c r="GK42" s="387"/>
      <c r="GL42" s="387"/>
      <c r="GM42" s="387"/>
      <c r="GN42" s="387"/>
      <c r="GO42" s="387"/>
      <c r="GP42" s="387"/>
      <c r="GQ42" s="387"/>
      <c r="GR42" s="387"/>
      <c r="GS42" s="387"/>
      <c r="GT42" s="387"/>
      <c r="GU42" s="387"/>
      <c r="GV42" s="387"/>
      <c r="GW42" s="387"/>
      <c r="GX42" s="387"/>
      <c r="GY42" s="387"/>
      <c r="GZ42" s="387"/>
      <c r="HA42" s="387"/>
      <c r="HB42" s="387"/>
      <c r="HC42" s="387"/>
      <c r="HD42" s="387"/>
      <c r="HE42" s="391"/>
      <c r="HF42" s="417"/>
      <c r="HG42" s="387"/>
      <c r="HH42" s="387"/>
      <c r="HI42" s="387"/>
      <c r="HJ42" s="387"/>
      <c r="HK42" s="387"/>
      <c r="HL42" s="387"/>
      <c r="HM42" s="387"/>
      <c r="HN42" s="387"/>
      <c r="HO42" s="387"/>
      <c r="HP42" s="387"/>
      <c r="HQ42" s="387"/>
      <c r="HR42" s="387"/>
      <c r="HS42" s="387"/>
      <c r="HT42" s="387"/>
      <c r="HU42" s="387"/>
      <c r="HV42" s="387"/>
      <c r="HW42" s="387"/>
      <c r="HX42" s="387"/>
      <c r="HY42" s="387"/>
      <c r="HZ42" s="387"/>
      <c r="IA42" s="387"/>
      <c r="IB42" s="387"/>
      <c r="IC42" s="392"/>
      <c r="KG42" s="312"/>
      <c r="KH42" s="312"/>
      <c r="KI42" s="312"/>
      <c r="KJ42" s="312"/>
      <c r="KK42" s="312"/>
      <c r="KL42" s="312"/>
      <c r="KM42" s="312"/>
      <c r="KN42" s="312"/>
      <c r="KO42" s="312"/>
      <c r="KP42" s="312"/>
      <c r="KQ42" s="312"/>
      <c r="KR42" s="312"/>
      <c r="KS42" s="312"/>
      <c r="KT42" s="312"/>
      <c r="KU42" s="312"/>
      <c r="KV42" s="312"/>
      <c r="KW42" s="312"/>
      <c r="KX42" s="312"/>
      <c r="KY42" s="312"/>
      <c r="KZ42" s="312"/>
    </row>
    <row r="43" spans="105:312">
      <c r="DA43" s="370"/>
      <c r="GH43" s="390"/>
      <c r="GI43" s="387"/>
      <c r="GJ43" s="387"/>
      <c r="GK43" s="387"/>
      <c r="GL43" s="387"/>
      <c r="GM43" s="387"/>
      <c r="GN43" s="387"/>
      <c r="GO43" s="387"/>
      <c r="GP43" s="387"/>
      <c r="GQ43" s="387"/>
      <c r="GR43" s="387"/>
      <c r="GS43" s="387"/>
      <c r="GT43" s="387"/>
      <c r="GU43" s="387"/>
      <c r="GV43" s="387"/>
      <c r="GW43" s="387"/>
      <c r="GX43" s="387"/>
      <c r="GY43" s="387"/>
      <c r="GZ43" s="387"/>
      <c r="HA43" s="387"/>
      <c r="HB43" s="387"/>
      <c r="HC43" s="387"/>
      <c r="HD43" s="387"/>
      <c r="HE43" s="391"/>
      <c r="HF43" s="417"/>
      <c r="HG43" s="387"/>
      <c r="HH43" s="387"/>
      <c r="HI43" s="387"/>
      <c r="HJ43" s="387"/>
      <c r="HK43" s="387"/>
      <c r="HL43" s="387"/>
      <c r="HM43" s="387"/>
      <c r="HN43" s="387"/>
      <c r="HO43" s="387"/>
      <c r="HP43" s="387"/>
      <c r="HQ43" s="387"/>
      <c r="HR43" s="387"/>
      <c r="HS43" s="387"/>
      <c r="HT43" s="387"/>
      <c r="HU43" s="387"/>
      <c r="HV43" s="387"/>
      <c r="HW43" s="387"/>
      <c r="HX43" s="387"/>
      <c r="HY43" s="387"/>
      <c r="HZ43" s="387"/>
      <c r="IA43" s="387"/>
      <c r="IB43" s="387"/>
      <c r="IC43" s="392"/>
      <c r="KG43" s="312"/>
      <c r="KH43" s="312"/>
      <c r="KI43" s="312"/>
      <c r="KJ43" s="312"/>
      <c r="KK43" s="312"/>
      <c r="KL43" s="312"/>
      <c r="KM43" s="312"/>
      <c r="KN43" s="312"/>
      <c r="KO43" s="312"/>
      <c r="KP43" s="312"/>
      <c r="KQ43" s="312"/>
      <c r="KR43" s="312"/>
      <c r="KS43" s="312"/>
      <c r="KT43" s="312"/>
      <c r="KU43" s="312"/>
      <c r="KV43" s="312"/>
      <c r="KW43" s="312"/>
      <c r="KX43" s="312"/>
      <c r="KY43" s="312"/>
      <c r="KZ43" s="312"/>
    </row>
    <row r="44" spans="105:312">
      <c r="DA44" s="370"/>
      <c r="GH44" s="390"/>
      <c r="GI44" s="387"/>
      <c r="GJ44" s="387"/>
      <c r="GK44" s="387"/>
      <c r="GL44" s="387"/>
      <c r="GM44" s="387"/>
      <c r="GN44" s="387"/>
      <c r="GO44" s="387"/>
      <c r="GP44" s="387"/>
      <c r="GQ44" s="387"/>
      <c r="GR44" s="387"/>
      <c r="GS44" s="387"/>
      <c r="GT44" s="387"/>
      <c r="GU44" s="387"/>
      <c r="GV44" s="387"/>
      <c r="GW44" s="387"/>
      <c r="GX44" s="387"/>
      <c r="GY44" s="387"/>
      <c r="GZ44" s="387"/>
      <c r="HA44" s="387"/>
      <c r="HB44" s="387"/>
      <c r="HC44" s="387"/>
      <c r="HD44" s="387"/>
      <c r="HE44" s="391"/>
      <c r="HF44" s="417"/>
      <c r="HG44" s="387"/>
      <c r="HH44" s="387"/>
      <c r="HI44" s="387"/>
      <c r="HJ44" s="387"/>
      <c r="HK44" s="387"/>
      <c r="HL44" s="387"/>
      <c r="HM44" s="387"/>
      <c r="HN44" s="387"/>
      <c r="HO44" s="387"/>
      <c r="HP44" s="387"/>
      <c r="HQ44" s="387"/>
      <c r="HR44" s="387"/>
      <c r="HS44" s="387"/>
      <c r="HT44" s="387"/>
      <c r="HU44" s="387"/>
      <c r="HV44" s="387"/>
      <c r="HW44" s="387"/>
      <c r="HX44" s="387"/>
      <c r="HY44" s="387"/>
      <c r="HZ44" s="387"/>
      <c r="IA44" s="387"/>
      <c r="IB44" s="387"/>
      <c r="IC44" s="392"/>
      <c r="KK44" s="312"/>
      <c r="KL44" s="312"/>
      <c r="KM44" s="312"/>
      <c r="KN44" s="312"/>
      <c r="KO44" s="312"/>
      <c r="KP44" s="312"/>
      <c r="KQ44" s="312"/>
      <c r="KR44" s="312"/>
      <c r="KS44" s="312"/>
      <c r="KT44" s="312"/>
      <c r="KU44" s="312"/>
      <c r="KV44" s="312"/>
      <c r="KW44" s="312"/>
      <c r="KX44" s="312"/>
      <c r="KY44" s="312"/>
      <c r="KZ44" s="312"/>
    </row>
    <row r="45" spans="105:312">
      <c r="DA45" s="370"/>
      <c r="GH45" s="390"/>
      <c r="GI45" s="387"/>
      <c r="GJ45" s="387"/>
      <c r="GK45" s="387"/>
      <c r="GL45" s="387"/>
      <c r="GM45" s="387"/>
      <c r="GN45" s="387"/>
      <c r="GO45" s="387"/>
      <c r="GP45" s="387"/>
      <c r="GQ45" s="387"/>
      <c r="GR45" s="387"/>
      <c r="GS45" s="387"/>
      <c r="GT45" s="387"/>
      <c r="GU45" s="387"/>
      <c r="GV45" s="387"/>
      <c r="GW45" s="387"/>
      <c r="GX45" s="387"/>
      <c r="GY45" s="387"/>
      <c r="GZ45" s="387"/>
      <c r="HA45" s="387"/>
      <c r="HB45" s="387"/>
      <c r="HC45" s="387"/>
      <c r="HD45" s="387"/>
      <c r="HE45" s="391"/>
      <c r="HF45" s="417"/>
      <c r="HG45" s="387"/>
      <c r="HH45" s="387"/>
      <c r="HI45" s="387"/>
      <c r="HJ45" s="387"/>
      <c r="HK45" s="387"/>
      <c r="HL45" s="387"/>
      <c r="HM45" s="387"/>
      <c r="HN45" s="387"/>
      <c r="HO45" s="387"/>
      <c r="HP45" s="387"/>
      <c r="HQ45" s="387"/>
      <c r="HR45" s="387"/>
      <c r="HS45" s="387"/>
      <c r="HT45" s="387"/>
      <c r="HU45" s="387"/>
      <c r="HV45" s="387"/>
      <c r="HW45" s="387"/>
      <c r="HX45" s="387"/>
      <c r="HY45" s="387"/>
      <c r="HZ45" s="387"/>
      <c r="IA45" s="387"/>
      <c r="IB45" s="387"/>
      <c r="IC45" s="392"/>
    </row>
    <row r="46" spans="105:312">
      <c r="DA46" s="370"/>
      <c r="GH46" s="390"/>
      <c r="GI46" s="387"/>
      <c r="GJ46" s="387"/>
      <c r="GK46" s="387"/>
      <c r="GL46" s="387"/>
      <c r="GM46" s="387"/>
      <c r="GN46" s="387"/>
      <c r="GO46" s="387"/>
      <c r="GP46" s="387"/>
      <c r="GQ46" s="387"/>
      <c r="GR46" s="387"/>
      <c r="GS46" s="387"/>
      <c r="GT46" s="387"/>
      <c r="GU46" s="387"/>
      <c r="GV46" s="387"/>
      <c r="GW46" s="387"/>
      <c r="GX46" s="387"/>
      <c r="GY46" s="387"/>
      <c r="GZ46" s="387"/>
      <c r="HA46" s="387"/>
      <c r="HB46" s="387"/>
      <c r="HC46" s="387"/>
      <c r="HD46" s="387"/>
      <c r="HE46" s="391"/>
      <c r="HF46" s="417"/>
      <c r="HG46" s="387"/>
      <c r="HH46" s="387"/>
      <c r="HI46" s="387"/>
      <c r="HJ46" s="387"/>
      <c r="HK46" s="387"/>
      <c r="HL46" s="387"/>
      <c r="HM46" s="387"/>
      <c r="HN46" s="387"/>
      <c r="HO46" s="387"/>
      <c r="HP46" s="387"/>
      <c r="HQ46" s="387"/>
      <c r="HR46" s="387"/>
      <c r="HS46" s="387"/>
      <c r="HT46" s="387"/>
      <c r="HU46" s="387"/>
      <c r="HV46" s="387"/>
      <c r="HW46" s="387"/>
      <c r="HX46" s="387"/>
      <c r="HY46" s="387"/>
      <c r="HZ46" s="387"/>
      <c r="IA46" s="387"/>
      <c r="IB46" s="387"/>
      <c r="IC46" s="392"/>
    </row>
    <row r="47" spans="105:312">
      <c r="DA47" s="370"/>
      <c r="GH47" s="390"/>
      <c r="GI47" s="387"/>
      <c r="GJ47" s="387"/>
      <c r="GK47" s="387"/>
      <c r="GL47" s="387"/>
      <c r="GM47" s="387"/>
      <c r="GN47" s="387"/>
      <c r="GO47" s="387"/>
      <c r="GP47" s="387"/>
      <c r="GQ47" s="387"/>
      <c r="GR47" s="387"/>
      <c r="GS47" s="387"/>
      <c r="GT47" s="387"/>
      <c r="GU47" s="387"/>
      <c r="GV47" s="387"/>
      <c r="GW47" s="387"/>
      <c r="GX47" s="387"/>
      <c r="GY47" s="387"/>
      <c r="GZ47" s="387"/>
      <c r="HA47" s="387"/>
      <c r="HB47" s="387"/>
      <c r="HC47" s="387"/>
      <c r="HD47" s="387"/>
      <c r="HE47" s="391"/>
      <c r="HF47" s="417"/>
      <c r="HG47" s="387"/>
      <c r="HH47" s="387"/>
      <c r="HI47" s="387"/>
      <c r="HJ47" s="387"/>
      <c r="HK47" s="387"/>
      <c r="HL47" s="387"/>
      <c r="HM47" s="387"/>
      <c r="HN47" s="387"/>
      <c r="HO47" s="387"/>
      <c r="HP47" s="387"/>
      <c r="HQ47" s="387"/>
      <c r="HR47" s="387"/>
      <c r="HS47" s="387"/>
      <c r="HT47" s="387"/>
      <c r="HU47" s="387"/>
      <c r="HV47" s="387"/>
      <c r="HW47" s="387"/>
      <c r="HX47" s="387"/>
      <c r="HY47" s="387"/>
      <c r="HZ47" s="387"/>
      <c r="IA47" s="387"/>
      <c r="IB47" s="387"/>
      <c r="IC47" s="392"/>
    </row>
    <row r="48" spans="105:312">
      <c r="DA48" s="370"/>
      <c r="GH48" s="390"/>
      <c r="GI48" s="387"/>
      <c r="GJ48" s="387"/>
      <c r="GK48" s="387"/>
      <c r="GL48" s="387"/>
      <c r="GM48" s="387"/>
      <c r="GN48" s="387"/>
      <c r="GO48" s="387"/>
      <c r="GP48" s="387"/>
      <c r="GQ48" s="387"/>
      <c r="GR48" s="387"/>
      <c r="GS48" s="387"/>
      <c r="GT48" s="387"/>
      <c r="GU48" s="387"/>
      <c r="GV48" s="387"/>
      <c r="GW48" s="387"/>
      <c r="GX48" s="387"/>
      <c r="GY48" s="387"/>
      <c r="GZ48" s="387"/>
      <c r="HA48" s="387"/>
      <c r="HB48" s="387"/>
      <c r="HC48" s="387"/>
      <c r="HD48" s="387"/>
      <c r="HE48" s="391"/>
      <c r="HF48" s="417"/>
      <c r="HG48" s="387"/>
      <c r="HH48" s="387"/>
      <c r="HI48" s="387"/>
      <c r="HJ48" s="387"/>
      <c r="HK48" s="387"/>
      <c r="HL48" s="387"/>
      <c r="HM48" s="387"/>
      <c r="HN48" s="387"/>
      <c r="HO48" s="387"/>
      <c r="HP48" s="387"/>
      <c r="HQ48" s="387"/>
      <c r="HR48" s="387"/>
      <c r="HS48" s="387"/>
      <c r="HT48" s="387"/>
      <c r="HU48" s="387"/>
      <c r="HV48" s="387"/>
      <c r="HW48" s="387"/>
      <c r="HX48" s="387"/>
      <c r="HY48" s="387"/>
      <c r="HZ48" s="387"/>
      <c r="IA48" s="387"/>
      <c r="IB48" s="387"/>
      <c r="IC48" s="392"/>
    </row>
    <row r="49" spans="1:322" s="393" customFormat="1">
      <c r="A49" s="419"/>
      <c r="B49" s="420"/>
      <c r="C49" s="421"/>
      <c r="D49" s="728" t="s">
        <v>79</v>
      </c>
      <c r="E49" s="422"/>
      <c r="F49" s="423"/>
      <c r="G49" s="420"/>
      <c r="H49" s="421"/>
      <c r="I49" s="421"/>
      <c r="J49" s="421"/>
      <c r="K49" s="421"/>
      <c r="L49" s="421"/>
      <c r="M49" s="424"/>
      <c r="N49" s="425"/>
      <c r="O49" s="425"/>
      <c r="P49" s="425"/>
      <c r="Q49" s="425"/>
      <c r="R49" s="426"/>
      <c r="S49" s="427">
        <f>SUM(S5:S48)</f>
        <v>36000</v>
      </c>
      <c r="T49" s="428"/>
      <c r="U49" s="429">
        <f>SUM(U5:U48)</f>
        <v>6500</v>
      </c>
      <c r="V49" s="430"/>
      <c r="W49" s="431"/>
      <c r="X49" s="432"/>
      <c r="Y49" s="433"/>
      <c r="Z49" s="433"/>
      <c r="AA49" s="434">
        <f>SUM(AA5:AA48)</f>
        <v>8000</v>
      </c>
      <c r="AB49" s="435"/>
      <c r="AC49" s="436">
        <f>SUM(AC5:AC48)</f>
        <v>8000</v>
      </c>
      <c r="AD49" s="435"/>
      <c r="AE49" s="436">
        <f>SUM(AE5:AE48)</f>
        <v>8000</v>
      </c>
      <c r="AF49" s="435"/>
      <c r="AG49" s="436">
        <f>SUM(AG5:AG48)</f>
        <v>8000</v>
      </c>
      <c r="AH49" s="435"/>
      <c r="AI49" s="436">
        <f>SUM(AI5:AI48)</f>
        <v>8000</v>
      </c>
      <c r="AJ49" s="435"/>
      <c r="AK49" s="436">
        <f>SUM(AK5:AK48)</f>
        <v>8000</v>
      </c>
      <c r="AL49" s="435"/>
      <c r="AM49" s="436">
        <f>SUM(AM5:AM48)</f>
        <v>8000</v>
      </c>
      <c r="AN49" s="435"/>
      <c r="AO49" s="436">
        <f>SUM(AO5:AO48)</f>
        <v>8000</v>
      </c>
      <c r="AP49" s="435"/>
      <c r="AQ49" s="436">
        <f>SUM(AQ5:AQ48)</f>
        <v>8000</v>
      </c>
      <c r="AR49" s="435"/>
      <c r="AS49" s="436">
        <f>SUM(AS5:AS48)</f>
        <v>8000</v>
      </c>
      <c r="AT49" s="435"/>
      <c r="AU49" s="436">
        <f>SUM(AU5:AU48)</f>
        <v>8000</v>
      </c>
      <c r="AV49" s="435"/>
      <c r="AW49" s="436">
        <f>SUM(AW5:AW48)</f>
        <v>8000</v>
      </c>
      <c r="AX49" s="437"/>
      <c r="AY49" s="438"/>
      <c r="AZ49" s="433"/>
      <c r="BA49" s="439"/>
      <c r="BB49" s="440"/>
      <c r="BC49" s="439"/>
      <c r="BD49" s="440"/>
      <c r="BE49" s="439"/>
      <c r="BF49" s="440"/>
      <c r="BG49" s="439"/>
      <c r="BH49" s="440"/>
      <c r="BI49" s="439"/>
      <c r="BJ49" s="440"/>
      <c r="BK49" s="439"/>
      <c r="BL49" s="440"/>
      <c r="BM49" s="439"/>
      <c r="BN49" s="440"/>
      <c r="BO49" s="439"/>
      <c r="BP49" s="440"/>
      <c r="BQ49" s="439"/>
      <c r="BR49" s="440"/>
      <c r="BS49" s="439"/>
      <c r="BT49" s="440"/>
      <c r="BU49" s="441"/>
      <c r="BV49" s="433"/>
      <c r="BW49" s="442"/>
      <c r="BX49" s="440"/>
      <c r="BY49" s="439"/>
      <c r="BZ49" s="440"/>
      <c r="CA49" s="439"/>
      <c r="CB49" s="440"/>
      <c r="CC49" s="439"/>
      <c r="CD49" s="440"/>
      <c r="CE49" s="439"/>
      <c r="CF49" s="440"/>
      <c r="CG49" s="439"/>
      <c r="CH49" s="440"/>
      <c r="CI49" s="439"/>
      <c r="CJ49" s="440"/>
      <c r="CK49" s="439"/>
      <c r="CL49" s="440"/>
      <c r="CM49" s="439"/>
      <c r="CN49" s="440"/>
      <c r="CO49" s="439"/>
      <c r="CP49" s="440"/>
      <c r="CQ49" s="439"/>
      <c r="CR49" s="440"/>
      <c r="CS49" s="441"/>
      <c r="CT49" s="443"/>
      <c r="CU49" s="444"/>
      <c r="CV49" s="421"/>
      <c r="CW49" s="445"/>
      <c r="CX49" s="446"/>
      <c r="CY49" s="447"/>
      <c r="CZ49" s="419"/>
      <c r="DA49" s="448"/>
      <c r="DB49" s="420">
        <f>SUM(DB5:DB48)</f>
        <v>10000</v>
      </c>
      <c r="DC49" s="425"/>
      <c r="DD49" s="419">
        <f>SUM(DD5:DD48)</f>
        <v>0</v>
      </c>
      <c r="DE49" s="425"/>
      <c r="DF49" s="421">
        <f>SUM(DF5:DF48)</f>
        <v>0</v>
      </c>
      <c r="DG49" s="425"/>
      <c r="DH49" s="421">
        <f>SUM(DH5:DH48)</f>
        <v>0</v>
      </c>
      <c r="DI49" s="449"/>
      <c r="DJ49" s="450"/>
      <c r="DK49" s="434">
        <f>SUM(DK5:DK48)</f>
        <v>2766</v>
      </c>
      <c r="DL49" s="433"/>
      <c r="DM49" s="451"/>
      <c r="DN49" s="440"/>
      <c r="DO49" s="440"/>
      <c r="DP49" s="440"/>
      <c r="DQ49" s="440"/>
      <c r="DR49" s="440"/>
      <c r="DS49" s="440"/>
      <c r="DT49" s="440"/>
      <c r="DU49" s="452"/>
      <c r="DV49" s="433"/>
      <c r="DW49" s="433"/>
      <c r="DX49" s="451"/>
      <c r="DY49" s="440"/>
      <c r="DZ49" s="440"/>
      <c r="EA49" s="440"/>
      <c r="EB49" s="440"/>
      <c r="EC49" s="440"/>
      <c r="ED49" s="440"/>
      <c r="EE49" s="440"/>
      <c r="EF49" s="452"/>
      <c r="EG49" s="433"/>
      <c r="EH49" s="433"/>
      <c r="EI49" s="453"/>
      <c r="EJ49" s="421"/>
      <c r="EK49" s="421"/>
      <c r="EL49" s="454"/>
      <c r="EM49" s="455"/>
      <c r="EN49" s="455"/>
      <c r="EO49" s="455"/>
      <c r="EP49" s="455"/>
      <c r="EQ49" s="455"/>
      <c r="ER49" s="455"/>
      <c r="ES49" s="455"/>
      <c r="ET49" s="455"/>
      <c r="EU49" s="456"/>
      <c r="EV49" s="457"/>
      <c r="EW49" s="455"/>
      <c r="EX49" s="455"/>
      <c r="EY49" s="455"/>
      <c r="EZ49" s="454"/>
      <c r="FA49" s="455"/>
      <c r="FB49" s="455"/>
      <c r="FC49" s="456"/>
      <c r="FD49" s="458">
        <f>SUM(FD5:FD48)</f>
        <v>0</v>
      </c>
      <c r="FE49" s="452"/>
      <c r="FF49" s="433"/>
      <c r="FG49" s="459"/>
      <c r="FH49" s="451"/>
      <c r="FI49" s="432"/>
      <c r="FJ49" s="458">
        <f>SUM(FJ5:FJ48)</f>
        <v>0</v>
      </c>
      <c r="FK49" s="459"/>
      <c r="FL49" s="460">
        <f>SUM(FL5:FL48)</f>
        <v>0</v>
      </c>
      <c r="FM49" s="440"/>
      <c r="FN49" s="460">
        <f>SUM(FN5:FN48)</f>
        <v>0</v>
      </c>
      <c r="FO49" s="440"/>
      <c r="FP49" s="460">
        <f>SUM(FP5:FP48)</f>
        <v>0</v>
      </c>
      <c r="FQ49" s="440"/>
      <c r="FR49" s="460">
        <f>SUM(FR5:FR48)</f>
        <v>0</v>
      </c>
      <c r="FS49" s="440"/>
      <c r="FT49" s="460">
        <f>SUM(FT5:FT48)</f>
        <v>0</v>
      </c>
      <c r="FU49" s="440"/>
      <c r="FV49" s="460">
        <f>SUM(FV5:FV48)</f>
        <v>0</v>
      </c>
      <c r="FW49" s="440"/>
      <c r="FX49" s="460">
        <f>SUM(FX5:FX48)</f>
        <v>0</v>
      </c>
      <c r="FY49" s="440"/>
      <c r="FZ49" s="460">
        <f>SUM(FZ5:FZ48)</f>
        <v>0</v>
      </c>
      <c r="GA49" s="440"/>
      <c r="GB49" s="460">
        <f>SUM(GB5:GB48)</f>
        <v>0</v>
      </c>
      <c r="GC49" s="440"/>
      <c r="GD49" s="460">
        <f>SUM(GD5:GD48)</f>
        <v>0</v>
      </c>
      <c r="GE49" s="440"/>
      <c r="GF49" s="460">
        <f>SUM(GF5:GF48)</f>
        <v>0</v>
      </c>
      <c r="GG49" s="433"/>
      <c r="GH49" s="451"/>
      <c r="GI49" s="440"/>
      <c r="GJ49" s="440"/>
      <c r="GK49" s="440"/>
      <c r="GL49" s="440"/>
      <c r="GM49" s="440"/>
      <c r="GN49" s="440"/>
      <c r="GO49" s="440"/>
      <c r="GP49" s="440"/>
      <c r="GQ49" s="440"/>
      <c r="GR49" s="440"/>
      <c r="GS49" s="440"/>
      <c r="GT49" s="440"/>
      <c r="GU49" s="440"/>
      <c r="GV49" s="440"/>
      <c r="GW49" s="440"/>
      <c r="GX49" s="440"/>
      <c r="GY49" s="440"/>
      <c r="GZ49" s="440"/>
      <c r="HA49" s="440"/>
      <c r="HB49" s="440"/>
      <c r="HC49" s="440"/>
      <c r="HD49" s="440"/>
      <c r="HE49" s="452"/>
      <c r="HF49" s="433"/>
      <c r="HG49" s="440"/>
      <c r="HH49" s="440"/>
      <c r="HI49" s="440"/>
      <c r="HJ49" s="440"/>
      <c r="HK49" s="440"/>
      <c r="HL49" s="440"/>
      <c r="HM49" s="440"/>
      <c r="HN49" s="440"/>
      <c r="HO49" s="440"/>
      <c r="HP49" s="440"/>
      <c r="HQ49" s="440"/>
      <c r="HR49" s="440"/>
      <c r="HS49" s="440"/>
      <c r="HT49" s="440"/>
      <c r="HU49" s="440"/>
      <c r="HV49" s="440"/>
      <c r="HW49" s="440"/>
      <c r="HX49" s="440"/>
      <c r="HY49" s="440"/>
      <c r="HZ49" s="440"/>
      <c r="IA49" s="440"/>
      <c r="IB49" s="440"/>
      <c r="IC49" s="461"/>
      <c r="ID49" s="312"/>
      <c r="IE49" s="312"/>
      <c r="IF49" s="312"/>
      <c r="IG49" s="312"/>
      <c r="IH49" s="312"/>
      <c r="II49" s="312"/>
      <c r="IJ49" s="312"/>
      <c r="IK49" s="312"/>
      <c r="IL49" s="312"/>
      <c r="IM49" s="312"/>
      <c r="IN49" s="312"/>
      <c r="IO49" s="312"/>
      <c r="IP49" s="312"/>
      <c r="IQ49" s="312"/>
      <c r="IR49" s="312"/>
      <c r="IS49" s="312"/>
      <c r="IT49" s="312"/>
      <c r="IU49" s="312"/>
      <c r="IV49" s="312"/>
      <c r="IW49" s="312"/>
      <c r="IX49" s="312"/>
      <c r="IY49" s="312"/>
      <c r="IZ49" s="312"/>
      <c r="JA49" s="312"/>
      <c r="JB49" s="312"/>
      <c r="JC49" s="312"/>
      <c r="JD49" s="312"/>
      <c r="JE49" s="312"/>
      <c r="JF49" s="312"/>
      <c r="JG49" s="312"/>
      <c r="JH49" s="312"/>
      <c r="JI49" s="312"/>
      <c r="JJ49" s="312"/>
      <c r="JK49" s="312"/>
      <c r="JL49" s="312"/>
      <c r="JM49" s="312"/>
      <c r="JN49" s="312"/>
      <c r="JO49" s="312"/>
      <c r="JP49" s="312"/>
      <c r="JQ49" s="312"/>
      <c r="JR49" s="312"/>
      <c r="JS49" s="312"/>
      <c r="JT49" s="312"/>
      <c r="JU49" s="312"/>
      <c r="JV49" s="312"/>
      <c r="JW49" s="312"/>
      <c r="JX49" s="312"/>
      <c r="JY49" s="312"/>
      <c r="JZ49" s="312"/>
      <c r="KA49" s="312"/>
      <c r="KB49" s="312"/>
      <c r="KC49" s="312"/>
      <c r="KD49" s="312"/>
      <c r="KE49" s="312"/>
      <c r="KF49" s="312"/>
      <c r="KG49" s="312"/>
      <c r="KH49" s="312"/>
      <c r="KI49" s="312"/>
      <c r="KJ49" s="312"/>
      <c r="KK49" s="312"/>
      <c r="KL49" s="312"/>
      <c r="KM49" s="312"/>
      <c r="KN49" s="312"/>
      <c r="KO49" s="312"/>
      <c r="KP49" s="312"/>
      <c r="KQ49" s="312"/>
      <c r="KR49" s="312"/>
      <c r="KS49" s="312"/>
      <c r="KT49" s="312"/>
      <c r="KU49" s="312"/>
      <c r="KV49" s="312"/>
      <c r="KW49" s="312"/>
      <c r="KX49" s="312"/>
      <c r="KY49" s="312"/>
      <c r="KZ49" s="312"/>
      <c r="LA49" s="312"/>
      <c r="LB49" s="312"/>
      <c r="LC49" s="312"/>
      <c r="LD49" s="312"/>
      <c r="LE49" s="312"/>
      <c r="LF49" s="312"/>
      <c r="LG49" s="312"/>
      <c r="LH49" s="312"/>
      <c r="LI49" s="312"/>
      <c r="LJ49" s="312"/>
    </row>
    <row r="50" spans="1:322" s="393" customFormat="1">
      <c r="A50" s="419"/>
      <c r="B50" s="420"/>
      <c r="C50" s="421"/>
      <c r="D50" s="728" t="s">
        <v>77</v>
      </c>
      <c r="E50" s="422"/>
      <c r="F50" s="423"/>
      <c r="G50" s="444"/>
      <c r="H50" s="462"/>
      <c r="I50" s="462"/>
      <c r="J50" s="462"/>
      <c r="K50" s="462"/>
      <c r="L50" s="462"/>
      <c r="M50" s="463"/>
      <c r="N50" s="464"/>
      <c r="O50" s="425"/>
      <c r="P50" s="449"/>
      <c r="Q50" s="449"/>
      <c r="R50" s="429"/>
      <c r="S50" s="427"/>
      <c r="T50" s="428"/>
      <c r="U50" s="429"/>
      <c r="V50" s="430"/>
      <c r="W50" s="431"/>
      <c r="X50" s="432"/>
      <c r="Y50" s="433"/>
      <c r="Z50" s="433"/>
      <c r="AA50" s="434">
        <f>SUM(AA49:AX49)</f>
        <v>96000</v>
      </c>
      <c r="AB50" s="435"/>
      <c r="AC50" s="436"/>
      <c r="AD50" s="435"/>
      <c r="AE50" s="436"/>
      <c r="AF50" s="435"/>
      <c r="AG50" s="436"/>
      <c r="AH50" s="435"/>
      <c r="AI50" s="465"/>
      <c r="AJ50" s="466"/>
      <c r="AK50" s="436"/>
      <c r="AL50" s="467"/>
      <c r="AM50" s="436"/>
      <c r="AN50" s="467"/>
      <c r="AO50" s="436"/>
      <c r="AP50" s="467"/>
      <c r="AQ50" s="436"/>
      <c r="AR50" s="467"/>
      <c r="AS50" s="436"/>
      <c r="AT50" s="467"/>
      <c r="AU50" s="436"/>
      <c r="AV50" s="467"/>
      <c r="AW50" s="436"/>
      <c r="AX50" s="468"/>
      <c r="AY50" s="469"/>
      <c r="AZ50" s="470"/>
      <c r="BA50" s="471"/>
      <c r="BB50" s="472"/>
      <c r="BC50" s="471"/>
      <c r="BD50" s="472"/>
      <c r="BE50" s="471"/>
      <c r="BF50" s="472"/>
      <c r="BG50" s="471"/>
      <c r="BH50" s="472"/>
      <c r="BI50" s="471"/>
      <c r="BJ50" s="472"/>
      <c r="BK50" s="471"/>
      <c r="BL50" s="472"/>
      <c r="BM50" s="471"/>
      <c r="BN50" s="472"/>
      <c r="BO50" s="471"/>
      <c r="BP50" s="472"/>
      <c r="BQ50" s="471"/>
      <c r="BR50" s="472"/>
      <c r="BS50" s="471"/>
      <c r="BT50" s="472"/>
      <c r="BU50" s="473"/>
      <c r="BV50" s="470"/>
      <c r="BW50" s="474"/>
      <c r="BX50" s="472"/>
      <c r="BY50" s="471"/>
      <c r="BZ50" s="472"/>
      <c r="CA50" s="471"/>
      <c r="CB50" s="472"/>
      <c r="CC50" s="471"/>
      <c r="CD50" s="472"/>
      <c r="CE50" s="471"/>
      <c r="CF50" s="472"/>
      <c r="CG50" s="471"/>
      <c r="CH50" s="472"/>
      <c r="CI50" s="471"/>
      <c r="CJ50" s="472"/>
      <c r="CK50" s="471"/>
      <c r="CL50" s="472"/>
      <c r="CM50" s="471"/>
      <c r="CN50" s="472"/>
      <c r="CO50" s="471"/>
      <c r="CP50" s="472"/>
      <c r="CQ50" s="471"/>
      <c r="CR50" s="472"/>
      <c r="CS50" s="473"/>
      <c r="CT50" s="475"/>
      <c r="CU50" s="444"/>
      <c r="CV50" s="421"/>
      <c r="CW50" s="445"/>
      <c r="CX50" s="446"/>
      <c r="CY50" s="447"/>
      <c r="CZ50" s="419"/>
      <c r="DA50" s="448"/>
      <c r="DB50" s="420">
        <f>SUM(DB49:DH49)</f>
        <v>10000</v>
      </c>
      <c r="DC50" s="425"/>
      <c r="DD50" s="419"/>
      <c r="DE50" s="425"/>
      <c r="DF50" s="421"/>
      <c r="DG50" s="425"/>
      <c r="DH50" s="436"/>
      <c r="DI50" s="476"/>
      <c r="DJ50" s="450"/>
      <c r="DK50" s="434"/>
      <c r="DL50" s="433"/>
      <c r="DM50" s="451"/>
      <c r="DN50" s="440"/>
      <c r="DO50" s="440"/>
      <c r="DP50" s="440"/>
      <c r="DQ50" s="440"/>
      <c r="DR50" s="440"/>
      <c r="DS50" s="440"/>
      <c r="DT50" s="440"/>
      <c r="DU50" s="452"/>
      <c r="DV50" s="433"/>
      <c r="DW50" s="433"/>
      <c r="DX50" s="451"/>
      <c r="DY50" s="440"/>
      <c r="DZ50" s="440"/>
      <c r="EA50" s="440"/>
      <c r="EB50" s="440"/>
      <c r="EC50" s="440"/>
      <c r="ED50" s="440"/>
      <c r="EE50" s="440"/>
      <c r="EF50" s="452"/>
      <c r="EG50" s="433"/>
      <c r="EH50" s="433"/>
      <c r="EI50" s="453"/>
      <c r="EJ50" s="421"/>
      <c r="EK50" s="421"/>
      <c r="EL50" s="454"/>
      <c r="EM50" s="455"/>
      <c r="EN50" s="455"/>
      <c r="EO50" s="455"/>
      <c r="EP50" s="455"/>
      <c r="EQ50" s="455"/>
      <c r="ER50" s="455"/>
      <c r="ES50" s="455"/>
      <c r="ET50" s="455"/>
      <c r="EU50" s="456"/>
      <c r="EV50" s="457"/>
      <c r="EW50" s="455"/>
      <c r="EX50" s="455"/>
      <c r="EY50" s="455"/>
      <c r="EZ50" s="454"/>
      <c r="FA50" s="455"/>
      <c r="FB50" s="455"/>
      <c r="FC50" s="456"/>
      <c r="FD50" s="458">
        <f>SUM(FD49,U49)</f>
        <v>6500</v>
      </c>
      <c r="FE50" s="452"/>
      <c r="FF50" s="433"/>
      <c r="FG50" s="459"/>
      <c r="FH50" s="451"/>
      <c r="FI50" s="432"/>
      <c r="FJ50" s="458">
        <f>SUM(FJ49:GG49)</f>
        <v>0</v>
      </c>
      <c r="FK50" s="477"/>
      <c r="FL50" s="436"/>
      <c r="FM50" s="425"/>
      <c r="FN50" s="436"/>
      <c r="FO50" s="425"/>
      <c r="FP50" s="422"/>
      <c r="FQ50" s="425"/>
      <c r="FR50" s="422"/>
      <c r="FS50" s="425"/>
      <c r="FT50" s="422"/>
      <c r="FU50" s="425"/>
      <c r="FV50" s="422"/>
      <c r="FW50" s="425"/>
      <c r="FX50" s="422"/>
      <c r="FY50" s="425"/>
      <c r="FZ50" s="422"/>
      <c r="GA50" s="425"/>
      <c r="GB50" s="422"/>
      <c r="GC50" s="425"/>
      <c r="GD50" s="422"/>
      <c r="GE50" s="425"/>
      <c r="GF50" s="422"/>
      <c r="GG50" s="449"/>
      <c r="GH50" s="478"/>
      <c r="GI50" s="425"/>
      <c r="GJ50" s="425"/>
      <c r="GK50" s="425"/>
      <c r="GL50" s="425"/>
      <c r="GM50" s="425"/>
      <c r="GN50" s="425"/>
      <c r="GO50" s="425"/>
      <c r="GP50" s="425"/>
      <c r="GQ50" s="425"/>
      <c r="GR50" s="425"/>
      <c r="GS50" s="425"/>
      <c r="GT50" s="425"/>
      <c r="GU50" s="425"/>
      <c r="GV50" s="425"/>
      <c r="GW50" s="425"/>
      <c r="GX50" s="425"/>
      <c r="GY50" s="425"/>
      <c r="GZ50" s="425"/>
      <c r="HA50" s="425"/>
      <c r="HB50" s="425"/>
      <c r="HC50" s="425"/>
      <c r="HD50" s="425"/>
      <c r="HE50" s="479"/>
      <c r="HF50" s="449"/>
      <c r="HG50" s="425"/>
      <c r="HH50" s="425"/>
      <c r="HI50" s="425"/>
      <c r="HJ50" s="425"/>
      <c r="HK50" s="425"/>
      <c r="HL50" s="425"/>
      <c r="HM50" s="425"/>
      <c r="HN50" s="425"/>
      <c r="HO50" s="425"/>
      <c r="HP50" s="425"/>
      <c r="HQ50" s="425"/>
      <c r="HR50" s="425"/>
      <c r="HS50" s="425"/>
      <c r="HT50" s="425"/>
      <c r="HU50" s="425"/>
      <c r="HV50" s="425"/>
      <c r="HW50" s="425"/>
      <c r="HX50" s="425"/>
      <c r="HY50" s="425"/>
      <c r="HZ50" s="425"/>
      <c r="IA50" s="425"/>
      <c r="IB50" s="425"/>
      <c r="IC50" s="480"/>
      <c r="ID50" s="312"/>
      <c r="IE50" s="312"/>
      <c r="IF50" s="312"/>
      <c r="IG50" s="312"/>
      <c r="IH50" s="312"/>
      <c r="II50" s="312"/>
      <c r="IJ50" s="312"/>
      <c r="IK50" s="312"/>
      <c r="IL50" s="312"/>
      <c r="IM50" s="312"/>
      <c r="IN50" s="312"/>
      <c r="IO50" s="312"/>
      <c r="IP50" s="312"/>
      <c r="IQ50" s="312"/>
      <c r="IR50" s="312"/>
      <c r="IS50" s="312"/>
      <c r="IT50" s="312"/>
      <c r="IU50" s="312"/>
      <c r="IV50" s="312"/>
      <c r="IW50" s="312"/>
      <c r="IX50" s="312"/>
      <c r="IY50" s="312"/>
      <c r="IZ50" s="312"/>
      <c r="JA50" s="312"/>
      <c r="JB50" s="312"/>
      <c r="JC50" s="312"/>
      <c r="JD50" s="312"/>
      <c r="JE50" s="312"/>
      <c r="JF50" s="312"/>
      <c r="JG50" s="312"/>
      <c r="JH50" s="312"/>
      <c r="JI50" s="312"/>
      <c r="JJ50" s="312"/>
      <c r="JK50" s="312"/>
      <c r="JL50" s="312"/>
      <c r="JM50" s="312"/>
      <c r="JN50" s="312"/>
      <c r="JO50" s="312"/>
      <c r="JP50" s="312"/>
      <c r="JQ50" s="312"/>
      <c r="JR50" s="312"/>
      <c r="JS50" s="312"/>
      <c r="JT50" s="312"/>
      <c r="JU50" s="312"/>
      <c r="JV50" s="312"/>
      <c r="JW50" s="312"/>
      <c r="JX50" s="312"/>
      <c r="JY50" s="312"/>
      <c r="JZ50" s="312"/>
      <c r="KA50" s="312"/>
      <c r="KB50" s="312"/>
      <c r="KC50" s="312"/>
      <c r="KD50" s="312"/>
      <c r="KE50" s="312"/>
      <c r="KF50" s="312"/>
      <c r="KG50" s="312"/>
      <c r="KH50" s="312"/>
      <c r="KI50" s="312"/>
      <c r="KJ50" s="312"/>
      <c r="KK50" s="312"/>
      <c r="KL50" s="312"/>
      <c r="KM50" s="312"/>
      <c r="KN50" s="312"/>
      <c r="KO50" s="312"/>
      <c r="KP50" s="312"/>
      <c r="KQ50" s="312"/>
      <c r="KR50" s="312"/>
      <c r="KS50" s="312"/>
      <c r="KT50" s="312"/>
      <c r="KU50" s="312"/>
      <c r="KV50" s="312"/>
      <c r="KW50" s="312"/>
      <c r="KX50" s="312"/>
      <c r="KY50" s="312"/>
      <c r="KZ50" s="312"/>
      <c r="LA50" s="312"/>
      <c r="LB50" s="312"/>
      <c r="LC50" s="312"/>
      <c r="LD50" s="312"/>
      <c r="LE50" s="312"/>
      <c r="LF50" s="312"/>
      <c r="LG50" s="312"/>
      <c r="LH50" s="312"/>
      <c r="LI50" s="312"/>
      <c r="LJ50" s="312"/>
    </row>
    <row r="51" spans="1:322" s="537" customFormat="1">
      <c r="A51" s="481"/>
      <c r="B51" s="482"/>
      <c r="C51" s="483"/>
      <c r="D51" s="729" t="s">
        <v>125</v>
      </c>
      <c r="E51" s="484"/>
      <c r="F51" s="485"/>
      <c r="G51" s="486"/>
      <c r="H51" s="487"/>
      <c r="I51" s="487"/>
      <c r="J51" s="487"/>
      <c r="K51" s="487"/>
      <c r="L51" s="487"/>
      <c r="M51" s="488"/>
      <c r="N51" s="489"/>
      <c r="O51" s="489"/>
      <c r="P51" s="490"/>
      <c r="Q51" s="490"/>
      <c r="R51" s="491"/>
      <c r="S51" s="492" t="e">
        <f>SUM(#REF!)</f>
        <v>#REF!</v>
      </c>
      <c r="T51" s="493"/>
      <c r="U51" s="494"/>
      <c r="V51" s="495"/>
      <c r="W51" s="496"/>
      <c r="X51" s="497"/>
      <c r="Y51" s="498"/>
      <c r="Z51" s="498"/>
      <c r="AA51" s="499" t="e">
        <f>SUM(#REF!)</f>
        <v>#REF!</v>
      </c>
      <c r="AB51" s="500"/>
      <c r="AC51" s="501"/>
      <c r="AD51" s="500"/>
      <c r="AE51" s="502"/>
      <c r="AF51" s="500"/>
      <c r="AG51" s="502"/>
      <c r="AH51" s="500"/>
      <c r="AI51" s="502"/>
      <c r="AJ51" s="503"/>
      <c r="AK51" s="502"/>
      <c r="AL51" s="503"/>
      <c r="AM51" s="502"/>
      <c r="AN51" s="503"/>
      <c r="AO51" s="502"/>
      <c r="AP51" s="503"/>
      <c r="AQ51" s="502"/>
      <c r="AR51" s="503"/>
      <c r="AS51" s="502"/>
      <c r="AT51" s="503"/>
      <c r="AU51" s="502"/>
      <c r="AV51" s="503"/>
      <c r="AW51" s="502"/>
      <c r="AX51" s="504"/>
      <c r="AY51" s="505"/>
      <c r="AZ51" s="506"/>
      <c r="BA51" s="507"/>
      <c r="BB51" s="508"/>
      <c r="BC51" s="507"/>
      <c r="BD51" s="508"/>
      <c r="BE51" s="507"/>
      <c r="BF51" s="508"/>
      <c r="BG51" s="507"/>
      <c r="BH51" s="508"/>
      <c r="BI51" s="507"/>
      <c r="BJ51" s="508"/>
      <c r="BK51" s="507"/>
      <c r="BL51" s="508"/>
      <c r="BM51" s="507"/>
      <c r="BN51" s="508"/>
      <c r="BO51" s="507"/>
      <c r="BP51" s="508"/>
      <c r="BQ51" s="507"/>
      <c r="BR51" s="508"/>
      <c r="BS51" s="507"/>
      <c r="BT51" s="508"/>
      <c r="BU51" s="509"/>
      <c r="BV51" s="506"/>
      <c r="BW51" s="510"/>
      <c r="BX51" s="508"/>
      <c r="BY51" s="507"/>
      <c r="BZ51" s="508"/>
      <c r="CA51" s="507"/>
      <c r="CB51" s="508"/>
      <c r="CC51" s="507"/>
      <c r="CD51" s="508"/>
      <c r="CE51" s="507"/>
      <c r="CF51" s="508"/>
      <c r="CG51" s="507"/>
      <c r="CH51" s="508"/>
      <c r="CI51" s="507"/>
      <c r="CJ51" s="508"/>
      <c r="CK51" s="507"/>
      <c r="CL51" s="508"/>
      <c r="CM51" s="507"/>
      <c r="CN51" s="508"/>
      <c r="CO51" s="507"/>
      <c r="CP51" s="508"/>
      <c r="CQ51" s="507"/>
      <c r="CR51" s="508"/>
      <c r="CS51" s="509"/>
      <c r="CT51" s="511"/>
      <c r="CU51" s="512"/>
      <c r="CV51" s="483"/>
      <c r="CW51" s="513"/>
      <c r="CX51" s="514"/>
      <c r="CY51" s="515"/>
      <c r="CZ51" s="481"/>
      <c r="DA51" s="516"/>
      <c r="DB51" s="517"/>
      <c r="DC51" s="518"/>
      <c r="DD51" s="519"/>
      <c r="DE51" s="518"/>
      <c r="DF51" s="484"/>
      <c r="DG51" s="518"/>
      <c r="DH51" s="502"/>
      <c r="DI51" s="520"/>
      <c r="DJ51" s="521"/>
      <c r="DK51" s="499"/>
      <c r="DL51" s="498"/>
      <c r="DM51" s="522"/>
      <c r="DN51" s="523"/>
      <c r="DO51" s="523"/>
      <c r="DP51" s="523"/>
      <c r="DQ51" s="523"/>
      <c r="DR51" s="523"/>
      <c r="DS51" s="523"/>
      <c r="DT51" s="523"/>
      <c r="DU51" s="524"/>
      <c r="DV51" s="498"/>
      <c r="DW51" s="498"/>
      <c r="DX51" s="522"/>
      <c r="DY51" s="523"/>
      <c r="DZ51" s="523"/>
      <c r="EA51" s="523"/>
      <c r="EB51" s="523"/>
      <c r="EC51" s="523"/>
      <c r="ED51" s="523"/>
      <c r="EE51" s="523"/>
      <c r="EF51" s="524"/>
      <c r="EG51" s="498"/>
      <c r="EH51" s="498"/>
      <c r="EI51" s="525"/>
      <c r="EJ51" s="483"/>
      <c r="EK51" s="483"/>
      <c r="EL51" s="526"/>
      <c r="EM51" s="527"/>
      <c r="EN51" s="527"/>
      <c r="EO51" s="527"/>
      <c r="EP51" s="527"/>
      <c r="EQ51" s="527"/>
      <c r="ER51" s="527"/>
      <c r="ES51" s="527"/>
      <c r="ET51" s="527"/>
      <c r="EU51" s="528"/>
      <c r="EV51" s="529"/>
      <c r="EW51" s="527"/>
      <c r="EX51" s="527"/>
      <c r="EY51" s="527"/>
      <c r="EZ51" s="526"/>
      <c r="FA51" s="527"/>
      <c r="FB51" s="527"/>
      <c r="FC51" s="528"/>
      <c r="FD51" s="530" t="e">
        <f>SUM(#REF!)</f>
        <v>#REF!</v>
      </c>
      <c r="FE51" s="524"/>
      <c r="FF51" s="498"/>
      <c r="FG51" s="531"/>
      <c r="FH51" s="522"/>
      <c r="FI51" s="497"/>
      <c r="FJ51" s="532"/>
      <c r="FK51" s="490"/>
      <c r="FL51" s="502"/>
      <c r="FM51" s="489"/>
      <c r="FN51" s="502"/>
      <c r="FO51" s="489"/>
      <c r="FP51" s="484"/>
      <c r="FQ51" s="489"/>
      <c r="FR51" s="484"/>
      <c r="FS51" s="489"/>
      <c r="FT51" s="484"/>
      <c r="FU51" s="489"/>
      <c r="FV51" s="484"/>
      <c r="FW51" s="489"/>
      <c r="FX51" s="484"/>
      <c r="FY51" s="489"/>
      <c r="FZ51" s="484"/>
      <c r="GA51" s="489"/>
      <c r="GB51" s="484"/>
      <c r="GC51" s="489"/>
      <c r="GD51" s="484"/>
      <c r="GE51" s="489"/>
      <c r="GF51" s="484"/>
      <c r="GG51" s="533"/>
      <c r="GH51" s="534"/>
      <c r="GI51" s="489"/>
      <c r="GJ51" s="489"/>
      <c r="GK51" s="489"/>
      <c r="GL51" s="489"/>
      <c r="GM51" s="489"/>
      <c r="GN51" s="489"/>
      <c r="GO51" s="489"/>
      <c r="GP51" s="489"/>
      <c r="GQ51" s="489"/>
      <c r="GR51" s="489"/>
      <c r="GS51" s="489"/>
      <c r="GT51" s="489"/>
      <c r="GU51" s="489"/>
      <c r="GV51" s="489"/>
      <c r="GW51" s="489"/>
      <c r="GX51" s="489"/>
      <c r="GY51" s="489"/>
      <c r="GZ51" s="489"/>
      <c r="HA51" s="489"/>
      <c r="HB51" s="489"/>
      <c r="HC51" s="489"/>
      <c r="HD51" s="489"/>
      <c r="HE51" s="535"/>
      <c r="HF51" s="533"/>
      <c r="HG51" s="489"/>
      <c r="HH51" s="489"/>
      <c r="HI51" s="489"/>
      <c r="HJ51" s="489"/>
      <c r="HK51" s="489"/>
      <c r="HL51" s="489"/>
      <c r="HM51" s="489"/>
      <c r="HN51" s="489"/>
      <c r="HO51" s="489"/>
      <c r="HP51" s="489"/>
      <c r="HQ51" s="489"/>
      <c r="HR51" s="489"/>
      <c r="HS51" s="489"/>
      <c r="HT51" s="489"/>
      <c r="HU51" s="489"/>
      <c r="HV51" s="489"/>
      <c r="HW51" s="489"/>
      <c r="HX51" s="489"/>
      <c r="HY51" s="489"/>
      <c r="HZ51" s="489"/>
      <c r="IA51" s="489"/>
      <c r="IB51" s="489"/>
      <c r="IC51" s="536"/>
      <c r="ID51" s="312"/>
      <c r="IE51" s="312"/>
      <c r="IF51" s="312"/>
      <c r="IG51" s="312"/>
      <c r="IH51" s="312"/>
      <c r="II51" s="312"/>
      <c r="IJ51" s="312"/>
      <c r="IK51" s="312"/>
      <c r="IL51" s="312"/>
      <c r="IM51" s="312"/>
      <c r="IN51" s="312"/>
      <c r="IO51" s="312"/>
      <c r="IP51" s="312"/>
      <c r="IQ51" s="312"/>
      <c r="IR51" s="312"/>
      <c r="IS51" s="312"/>
      <c r="IT51" s="312"/>
      <c r="IU51" s="312"/>
      <c r="IV51" s="312"/>
      <c r="IW51" s="312"/>
      <c r="IX51" s="312"/>
      <c r="IY51" s="312"/>
      <c r="IZ51" s="312"/>
      <c r="JA51" s="312"/>
      <c r="JB51" s="312"/>
      <c r="JC51" s="312"/>
      <c r="JD51" s="312"/>
      <c r="JE51" s="312"/>
      <c r="JF51" s="312"/>
      <c r="JG51" s="312"/>
      <c r="JH51" s="312"/>
      <c r="JI51" s="312"/>
      <c r="JJ51" s="312"/>
      <c r="JK51" s="312"/>
      <c r="JL51" s="312"/>
      <c r="JM51" s="312"/>
      <c r="JN51" s="312"/>
      <c r="JO51" s="312"/>
      <c r="JP51" s="312"/>
      <c r="JQ51" s="312"/>
      <c r="JR51" s="312"/>
      <c r="JS51" s="312"/>
      <c r="JT51" s="312"/>
      <c r="JU51" s="312"/>
      <c r="JV51" s="312"/>
      <c r="JW51" s="312"/>
      <c r="JX51" s="312"/>
      <c r="JY51" s="312"/>
      <c r="JZ51" s="312"/>
      <c r="KA51" s="312"/>
      <c r="KB51" s="312"/>
      <c r="KC51" s="312"/>
      <c r="KD51" s="312"/>
      <c r="KE51" s="312"/>
      <c r="KF51" s="312"/>
      <c r="KG51" s="312"/>
      <c r="KH51" s="312"/>
      <c r="KI51" s="312"/>
      <c r="KJ51" s="312"/>
      <c r="KK51" s="312"/>
      <c r="KL51" s="312"/>
      <c r="KM51" s="312"/>
      <c r="KN51" s="312"/>
      <c r="KO51" s="312"/>
      <c r="KP51" s="312"/>
      <c r="KQ51" s="312"/>
      <c r="KR51" s="312"/>
      <c r="KS51" s="312"/>
      <c r="KT51" s="312"/>
      <c r="KU51" s="312"/>
      <c r="KV51" s="312"/>
      <c r="KW51" s="312"/>
      <c r="KX51" s="312"/>
      <c r="KY51" s="312"/>
      <c r="KZ51" s="312"/>
      <c r="LA51" s="312"/>
      <c r="LB51" s="312"/>
      <c r="LC51" s="312"/>
      <c r="LD51" s="312"/>
      <c r="LE51" s="312"/>
      <c r="LF51" s="312"/>
      <c r="LG51" s="312"/>
      <c r="LH51" s="312"/>
      <c r="LI51" s="312"/>
      <c r="LJ51" s="312"/>
    </row>
    <row r="52" spans="1:322" s="537" customFormat="1">
      <c r="A52" s="538"/>
      <c r="B52" s="482"/>
      <c r="C52" s="483"/>
      <c r="D52" s="729" t="s">
        <v>130</v>
      </c>
      <c r="E52" s="484"/>
      <c r="F52" s="485"/>
      <c r="G52" s="538"/>
      <c r="H52" s="539"/>
      <c r="I52" s="540"/>
      <c r="J52" s="539"/>
      <c r="K52" s="539"/>
      <c r="L52" s="539"/>
      <c r="M52" s="539"/>
      <c r="N52" s="541"/>
      <c r="O52" s="541"/>
      <c r="P52" s="542"/>
      <c r="Q52" s="542"/>
      <c r="R52" s="543"/>
      <c r="S52" s="544"/>
      <c r="T52" s="545"/>
      <c r="U52" s="546"/>
      <c r="V52" s="547"/>
      <c r="W52" s="548"/>
      <c r="X52" s="549"/>
      <c r="Y52" s="546"/>
      <c r="Z52" s="546"/>
      <c r="AA52" s="550"/>
      <c r="AB52" s="551"/>
      <c r="AC52" s="552"/>
      <c r="AD52" s="551"/>
      <c r="AE52" s="552"/>
      <c r="AF52" s="551"/>
      <c r="AG52" s="552"/>
      <c r="AH52" s="551"/>
      <c r="AI52" s="552"/>
      <c r="AJ52" s="551"/>
      <c r="AK52" s="552"/>
      <c r="AL52" s="551"/>
      <c r="AM52" s="552"/>
      <c r="AN52" s="551"/>
      <c r="AO52" s="553"/>
      <c r="AP52" s="554"/>
      <c r="AQ52" s="553"/>
      <c r="AR52" s="554"/>
      <c r="AS52" s="553"/>
      <c r="AT52" s="554"/>
      <c r="AU52" s="553"/>
      <c r="AV52" s="554"/>
      <c r="AW52" s="553"/>
      <c r="AX52" s="555"/>
      <c r="AY52" s="556"/>
      <c r="AZ52" s="557"/>
      <c r="BA52" s="558"/>
      <c r="BB52" s="553"/>
      <c r="BC52" s="558"/>
      <c r="BD52" s="553"/>
      <c r="BE52" s="558"/>
      <c r="BF52" s="553"/>
      <c r="BG52" s="558"/>
      <c r="BH52" s="553"/>
      <c r="BI52" s="558"/>
      <c r="BJ52" s="553"/>
      <c r="BK52" s="558"/>
      <c r="BL52" s="553"/>
      <c r="BM52" s="558"/>
      <c r="BN52" s="553"/>
      <c r="BO52" s="558"/>
      <c r="BP52" s="553"/>
      <c r="BQ52" s="558"/>
      <c r="BR52" s="553"/>
      <c r="BS52" s="558"/>
      <c r="BT52" s="553"/>
      <c r="BU52" s="559"/>
      <c r="BV52" s="557"/>
      <c r="BW52" s="560"/>
      <c r="BX52" s="553"/>
      <c r="BY52" s="558"/>
      <c r="BZ52" s="553"/>
      <c r="CA52" s="558"/>
      <c r="CB52" s="553"/>
      <c r="CC52" s="558"/>
      <c r="CD52" s="553"/>
      <c r="CE52" s="558"/>
      <c r="CF52" s="553"/>
      <c r="CG52" s="558"/>
      <c r="CH52" s="553"/>
      <c r="CI52" s="558"/>
      <c r="CJ52" s="553"/>
      <c r="CK52" s="558"/>
      <c r="CL52" s="553"/>
      <c r="CM52" s="558"/>
      <c r="CN52" s="553"/>
      <c r="CO52" s="558"/>
      <c r="CP52" s="553"/>
      <c r="CQ52" s="558"/>
      <c r="CR52" s="553"/>
      <c r="CS52" s="559"/>
      <c r="CT52" s="561"/>
      <c r="CU52" s="538"/>
      <c r="CV52" s="562"/>
      <c r="CW52" s="539"/>
      <c r="CX52" s="563"/>
      <c r="CY52" s="564"/>
      <c r="CZ52" s="565"/>
      <c r="DA52" s="566"/>
      <c r="DB52" s="567"/>
      <c r="DC52" s="562"/>
      <c r="DD52" s="562"/>
      <c r="DE52" s="562"/>
      <c r="DF52" s="562"/>
      <c r="DG52" s="562"/>
      <c r="DH52" s="552"/>
      <c r="DI52" s="552"/>
      <c r="DJ52" s="546"/>
      <c r="DK52" s="550"/>
      <c r="DL52" s="568"/>
      <c r="DM52" s="569"/>
      <c r="DN52" s="570"/>
      <c r="DO52" s="570"/>
      <c r="DP52" s="570"/>
      <c r="DQ52" s="570"/>
      <c r="DR52" s="570"/>
      <c r="DS52" s="570"/>
      <c r="DT52" s="570"/>
      <c r="DU52" s="571"/>
      <c r="DV52" s="568"/>
      <c r="DW52" s="568"/>
      <c r="DX52" s="569"/>
      <c r="DY52" s="570"/>
      <c r="DZ52" s="570"/>
      <c r="EA52" s="570"/>
      <c r="EB52" s="570"/>
      <c r="EC52" s="570"/>
      <c r="ED52" s="570"/>
      <c r="EE52" s="570"/>
      <c r="EF52" s="571"/>
      <c r="EG52" s="568"/>
      <c r="EH52" s="568"/>
      <c r="EI52" s="572"/>
      <c r="EJ52" s="565"/>
      <c r="EK52" s="541"/>
      <c r="EL52" s="573"/>
      <c r="EM52" s="541"/>
      <c r="EN52" s="541"/>
      <c r="EO52" s="541"/>
      <c r="EP52" s="541"/>
      <c r="EQ52" s="541"/>
      <c r="ER52" s="541"/>
      <c r="ES52" s="541"/>
      <c r="ET52" s="541"/>
      <c r="EU52" s="574"/>
      <c r="EV52" s="575"/>
      <c r="EW52" s="541"/>
      <c r="EX52" s="541"/>
      <c r="EY52" s="541"/>
      <c r="EZ52" s="542"/>
      <c r="FA52" s="541"/>
      <c r="FB52" s="541"/>
      <c r="FC52" s="574"/>
      <c r="FD52" s="546" t="e">
        <f>FD51+'代租 '!EU6</f>
        <v>#REF!</v>
      </c>
      <c r="FE52" s="576"/>
      <c r="FF52" s="577"/>
      <c r="FG52" s="578"/>
      <c r="FH52" s="579"/>
      <c r="FI52" s="580"/>
      <c r="FJ52" s="581">
        <f>FJ51+'代租 '!FA257</f>
        <v>0</v>
      </c>
      <c r="FK52" s="546"/>
      <c r="FL52" s="552"/>
      <c r="FM52" s="552"/>
      <c r="FN52" s="552"/>
      <c r="FO52" s="552"/>
      <c r="FP52" s="552"/>
      <c r="FQ52" s="552"/>
      <c r="FR52" s="552"/>
      <c r="FS52" s="552"/>
      <c r="FT52" s="552"/>
      <c r="FU52" s="552"/>
      <c r="FV52" s="552"/>
      <c r="FW52" s="552"/>
      <c r="FX52" s="552"/>
      <c r="FY52" s="552"/>
      <c r="FZ52" s="552"/>
      <c r="GA52" s="552"/>
      <c r="GB52" s="552"/>
      <c r="GC52" s="552"/>
      <c r="GD52" s="552"/>
      <c r="GE52" s="552"/>
      <c r="GF52" s="552"/>
      <c r="GG52" s="546"/>
      <c r="GH52" s="534"/>
      <c r="GI52" s="489"/>
      <c r="GJ52" s="489"/>
      <c r="GK52" s="489"/>
      <c r="GL52" s="489"/>
      <c r="GM52" s="489"/>
      <c r="GN52" s="489"/>
      <c r="GO52" s="489"/>
      <c r="GP52" s="489"/>
      <c r="GQ52" s="489"/>
      <c r="GR52" s="489"/>
      <c r="GS52" s="489"/>
      <c r="GT52" s="489"/>
      <c r="GU52" s="489"/>
      <c r="GV52" s="489"/>
      <c r="GW52" s="489"/>
      <c r="GX52" s="489"/>
      <c r="GY52" s="489"/>
      <c r="GZ52" s="489"/>
      <c r="HA52" s="489"/>
      <c r="HB52" s="489"/>
      <c r="HC52" s="489"/>
      <c r="HD52" s="489"/>
      <c r="HE52" s="535"/>
      <c r="HF52" s="533"/>
      <c r="HG52" s="489"/>
      <c r="HH52" s="489"/>
      <c r="HI52" s="489"/>
      <c r="HJ52" s="489"/>
      <c r="HK52" s="489"/>
      <c r="HL52" s="489"/>
      <c r="HM52" s="489"/>
      <c r="HN52" s="489"/>
      <c r="HO52" s="489"/>
      <c r="HP52" s="489"/>
      <c r="HQ52" s="489"/>
      <c r="HR52" s="489"/>
      <c r="HS52" s="489"/>
      <c r="HT52" s="489"/>
      <c r="HU52" s="489"/>
      <c r="HV52" s="489"/>
      <c r="HW52" s="489"/>
      <c r="HX52" s="489"/>
      <c r="HY52" s="489"/>
      <c r="HZ52" s="489"/>
      <c r="IA52" s="489"/>
      <c r="IB52" s="489"/>
      <c r="IC52" s="536"/>
      <c r="ID52" s="312"/>
      <c r="IE52" s="312"/>
      <c r="IF52" s="312"/>
      <c r="IG52" s="312"/>
      <c r="IH52" s="312"/>
      <c r="II52" s="312"/>
      <c r="IJ52" s="312"/>
      <c r="IK52" s="312"/>
      <c r="IL52" s="312"/>
      <c r="IM52" s="312"/>
      <c r="IN52" s="312"/>
      <c r="IO52" s="312"/>
      <c r="IP52" s="312"/>
      <c r="IQ52" s="312"/>
      <c r="IR52" s="312"/>
      <c r="IS52" s="312"/>
      <c r="IT52" s="312"/>
      <c r="IU52" s="312"/>
      <c r="IV52" s="312"/>
      <c r="IW52" s="312"/>
      <c r="IX52" s="312"/>
      <c r="IY52" s="312"/>
      <c r="IZ52" s="312"/>
      <c r="JA52" s="312"/>
      <c r="JB52" s="312"/>
      <c r="JC52" s="312"/>
      <c r="JD52" s="312"/>
      <c r="JE52" s="312"/>
      <c r="JF52" s="312"/>
      <c r="JG52" s="312"/>
      <c r="JH52" s="312"/>
      <c r="JI52" s="312"/>
      <c r="JJ52" s="312"/>
      <c r="JK52" s="312"/>
      <c r="JL52" s="312"/>
      <c r="JM52" s="312"/>
      <c r="JN52" s="312"/>
      <c r="JO52" s="312"/>
      <c r="JP52" s="312"/>
      <c r="JQ52" s="312"/>
      <c r="JR52" s="312"/>
      <c r="JS52" s="312"/>
      <c r="JT52" s="312"/>
      <c r="JU52" s="312"/>
      <c r="JV52" s="312"/>
      <c r="JW52" s="312"/>
      <c r="JX52" s="312"/>
      <c r="JY52" s="312"/>
      <c r="JZ52" s="312"/>
      <c r="KA52" s="312"/>
      <c r="KB52" s="312"/>
      <c r="KC52" s="312"/>
      <c r="KD52" s="312"/>
      <c r="KE52" s="312"/>
      <c r="KF52" s="312"/>
      <c r="KG52" s="312"/>
      <c r="KH52" s="312"/>
      <c r="KI52" s="312"/>
      <c r="KJ52" s="312"/>
      <c r="KK52" s="312"/>
      <c r="KL52" s="312"/>
      <c r="KM52" s="312"/>
      <c r="KN52" s="312"/>
      <c r="KO52" s="312"/>
      <c r="KP52" s="312"/>
      <c r="KQ52" s="312"/>
      <c r="KR52" s="312"/>
      <c r="KS52" s="312"/>
      <c r="KT52" s="312"/>
      <c r="KU52" s="312"/>
      <c r="KV52" s="312"/>
      <c r="KW52" s="312"/>
      <c r="KX52" s="312"/>
      <c r="KY52" s="312"/>
      <c r="KZ52" s="312"/>
      <c r="LA52" s="312"/>
      <c r="LB52" s="312"/>
      <c r="LC52" s="312"/>
      <c r="LD52" s="312"/>
      <c r="LE52" s="312"/>
      <c r="LF52" s="312"/>
      <c r="LG52" s="312"/>
      <c r="LH52" s="312"/>
      <c r="LI52" s="312"/>
      <c r="LJ52" s="312"/>
    </row>
    <row r="53" spans="1:322" s="393" customFormat="1">
      <c r="A53" s="397"/>
      <c r="B53" s="398"/>
      <c r="C53" s="275"/>
      <c r="D53" s="727"/>
      <c r="E53" s="357"/>
      <c r="F53" s="358"/>
      <c r="G53" s="399"/>
      <c r="H53" s="206"/>
      <c r="I53" s="206"/>
      <c r="J53" s="206"/>
      <c r="K53" s="206"/>
      <c r="L53" s="206"/>
      <c r="M53" s="400"/>
      <c r="N53" s="359"/>
      <c r="O53" s="359"/>
      <c r="P53" s="401"/>
      <c r="Q53" s="401"/>
      <c r="R53" s="360"/>
      <c r="S53" s="402"/>
      <c r="T53" s="211"/>
      <c r="U53" s="403"/>
      <c r="V53" s="217"/>
      <c r="W53" s="362"/>
      <c r="X53" s="363"/>
      <c r="Y53" s="278"/>
      <c r="Z53" s="278"/>
      <c r="AA53" s="404"/>
      <c r="AB53" s="271"/>
      <c r="AC53" s="405"/>
      <c r="AD53" s="271"/>
      <c r="AE53" s="405"/>
      <c r="AF53" s="271"/>
      <c r="AG53" s="405"/>
      <c r="AH53" s="271"/>
      <c r="AI53" s="405"/>
      <c r="AJ53" s="406"/>
      <c r="AK53" s="405"/>
      <c r="AL53" s="406"/>
      <c r="AM53" s="405"/>
      <c r="AN53" s="406"/>
      <c r="AO53" s="405"/>
      <c r="AP53" s="406"/>
      <c r="AQ53" s="405"/>
      <c r="AR53" s="406"/>
      <c r="AS53" s="405"/>
      <c r="AT53" s="406"/>
      <c r="AU53" s="405"/>
      <c r="AV53" s="406"/>
      <c r="AW53" s="405"/>
      <c r="AX53" s="407"/>
      <c r="AY53" s="366"/>
      <c r="AZ53" s="408"/>
      <c r="BA53" s="367"/>
      <c r="BB53" s="409"/>
      <c r="BC53" s="367"/>
      <c r="BD53" s="409"/>
      <c r="BE53" s="367"/>
      <c r="BF53" s="409"/>
      <c r="BG53" s="367"/>
      <c r="BH53" s="409"/>
      <c r="BI53" s="367"/>
      <c r="BJ53" s="409"/>
      <c r="BK53" s="367"/>
      <c r="BL53" s="409"/>
      <c r="BM53" s="367"/>
      <c r="BN53" s="409"/>
      <c r="BO53" s="367"/>
      <c r="BP53" s="409"/>
      <c r="BQ53" s="367"/>
      <c r="BR53" s="409"/>
      <c r="BS53" s="367"/>
      <c r="BT53" s="409"/>
      <c r="BU53" s="368"/>
      <c r="BV53" s="408"/>
      <c r="BW53" s="369"/>
      <c r="BX53" s="409"/>
      <c r="BY53" s="367"/>
      <c r="BZ53" s="409"/>
      <c r="CA53" s="367"/>
      <c r="CB53" s="409"/>
      <c r="CC53" s="367"/>
      <c r="CD53" s="409"/>
      <c r="CE53" s="367"/>
      <c r="CF53" s="409"/>
      <c r="CG53" s="367"/>
      <c r="CH53" s="409"/>
      <c r="CI53" s="367"/>
      <c r="CJ53" s="409"/>
      <c r="CK53" s="367"/>
      <c r="CL53" s="409"/>
      <c r="CM53" s="367"/>
      <c r="CN53" s="409"/>
      <c r="CO53" s="367"/>
      <c r="CP53" s="409"/>
      <c r="CQ53" s="367"/>
      <c r="CR53" s="409"/>
      <c r="CS53" s="368"/>
      <c r="CT53" s="410"/>
      <c r="CU53" s="283"/>
      <c r="CV53" s="411"/>
      <c r="CW53" s="412"/>
      <c r="CX53" s="285"/>
      <c r="CY53" s="227"/>
      <c r="CZ53" s="229"/>
      <c r="DA53" s="370"/>
      <c r="DB53" s="394"/>
      <c r="DC53" s="395"/>
      <c r="DD53" s="372"/>
      <c r="DE53" s="373"/>
      <c r="DF53" s="372"/>
      <c r="DG53" s="373"/>
      <c r="DH53" s="374"/>
      <c r="DI53" s="375"/>
      <c r="DJ53" s="413"/>
      <c r="DK53" s="377"/>
      <c r="DL53" s="378"/>
      <c r="DM53" s="379"/>
      <c r="DN53" s="233"/>
      <c r="DO53" s="233"/>
      <c r="DP53" s="233"/>
      <c r="DQ53" s="233"/>
      <c r="DR53" s="233"/>
      <c r="DS53" s="233"/>
      <c r="DT53" s="233"/>
      <c r="DU53" s="234"/>
      <c r="DV53" s="378"/>
      <c r="DW53" s="378"/>
      <c r="DX53" s="379"/>
      <c r="DY53" s="233"/>
      <c r="DZ53" s="233"/>
      <c r="EA53" s="233"/>
      <c r="EB53" s="233"/>
      <c r="EC53" s="233"/>
      <c r="ED53" s="233"/>
      <c r="EE53" s="233"/>
      <c r="EF53" s="234"/>
      <c r="EG53" s="378"/>
      <c r="EH53" s="378"/>
      <c r="EI53" s="414"/>
      <c r="EJ53" s="415"/>
      <c r="EK53" s="415"/>
      <c r="EL53" s="248"/>
      <c r="EM53" s="272"/>
      <c r="EN53" s="272"/>
      <c r="EO53" s="272"/>
      <c r="EP53" s="272"/>
      <c r="EQ53" s="272"/>
      <c r="ER53" s="272"/>
      <c r="ES53" s="272"/>
      <c r="ET53" s="272"/>
      <c r="EU53" s="297"/>
      <c r="EV53" s="298"/>
      <c r="EW53" s="272"/>
      <c r="EX53" s="272"/>
      <c r="EY53" s="272"/>
      <c r="EZ53" s="248"/>
      <c r="FA53" s="272"/>
      <c r="FB53" s="272"/>
      <c r="FC53" s="297"/>
      <c r="FD53" s="380"/>
      <c r="FE53" s="309"/>
      <c r="FF53" s="381"/>
      <c r="FG53" s="382"/>
      <c r="FH53" s="383"/>
      <c r="FI53" s="384"/>
      <c r="FJ53" s="380"/>
      <c r="FK53" s="385"/>
      <c r="FL53" s="386"/>
      <c r="FM53" s="387"/>
      <c r="FN53" s="386"/>
      <c r="FO53" s="387"/>
      <c r="FP53" s="388"/>
      <c r="FQ53" s="387"/>
      <c r="FR53" s="388"/>
      <c r="FS53" s="387"/>
      <c r="FT53" s="388"/>
      <c r="FU53" s="387"/>
      <c r="FV53" s="388"/>
      <c r="FW53" s="387"/>
      <c r="FX53" s="388"/>
      <c r="FY53" s="387"/>
      <c r="FZ53" s="388"/>
      <c r="GA53" s="387"/>
      <c r="GB53" s="388"/>
      <c r="GC53" s="387"/>
      <c r="GD53" s="388"/>
      <c r="GE53" s="387"/>
      <c r="GF53" s="388"/>
      <c r="GG53" s="389"/>
      <c r="GH53" s="390"/>
      <c r="GI53" s="387"/>
      <c r="GJ53" s="387"/>
      <c r="GK53" s="387"/>
      <c r="GL53" s="387"/>
      <c r="GM53" s="387"/>
      <c r="GN53" s="387"/>
      <c r="GO53" s="387"/>
      <c r="GP53" s="387"/>
      <c r="GQ53" s="387"/>
      <c r="GR53" s="387"/>
      <c r="GS53" s="387"/>
      <c r="GT53" s="387"/>
      <c r="GU53" s="387"/>
      <c r="GV53" s="387"/>
      <c r="GW53" s="387"/>
      <c r="GX53" s="387"/>
      <c r="GY53" s="387"/>
      <c r="GZ53" s="387"/>
      <c r="HA53" s="387"/>
      <c r="HB53" s="387"/>
      <c r="HC53" s="387"/>
      <c r="HD53" s="387"/>
      <c r="HE53" s="391"/>
      <c r="HF53" s="389"/>
      <c r="HG53" s="387"/>
      <c r="HH53" s="387"/>
      <c r="HI53" s="387"/>
      <c r="HJ53" s="387"/>
      <c r="HK53" s="387"/>
      <c r="HL53" s="387"/>
      <c r="HM53" s="387"/>
      <c r="HN53" s="387"/>
      <c r="HO53" s="387"/>
      <c r="HP53" s="387"/>
      <c r="HQ53" s="387"/>
      <c r="HR53" s="387"/>
      <c r="HS53" s="387"/>
      <c r="HT53" s="387"/>
      <c r="HU53" s="387"/>
      <c r="HV53" s="387"/>
      <c r="HW53" s="387"/>
      <c r="HX53" s="387"/>
      <c r="HY53" s="387"/>
      <c r="HZ53" s="387"/>
      <c r="IA53" s="387"/>
      <c r="IB53" s="387"/>
      <c r="IC53" s="392"/>
      <c r="ID53" s="312"/>
      <c r="IE53" s="312"/>
      <c r="IF53" s="312"/>
      <c r="IG53" s="312"/>
      <c r="IH53" s="312"/>
      <c r="II53" s="312"/>
      <c r="IJ53" s="312"/>
      <c r="IK53" s="312"/>
      <c r="IL53" s="312"/>
      <c r="IM53" s="312"/>
      <c r="IN53" s="312"/>
      <c r="IO53" s="312"/>
      <c r="IP53" s="312"/>
      <c r="IQ53" s="312"/>
      <c r="IR53" s="312"/>
      <c r="IS53" s="312"/>
      <c r="IT53" s="312"/>
      <c r="IU53" s="312"/>
      <c r="IV53" s="312"/>
      <c r="IW53" s="312"/>
      <c r="IX53" s="312"/>
      <c r="IY53" s="312"/>
      <c r="IZ53" s="312"/>
      <c r="JA53" s="312"/>
      <c r="JB53" s="312"/>
      <c r="JC53" s="312"/>
      <c r="JD53" s="312"/>
      <c r="JE53" s="312"/>
      <c r="JF53" s="312"/>
      <c r="JG53" s="312"/>
      <c r="JH53" s="312"/>
      <c r="JI53" s="312"/>
      <c r="JJ53" s="312"/>
      <c r="JK53" s="312"/>
      <c r="JL53" s="312"/>
      <c r="JM53" s="312"/>
      <c r="JN53" s="312"/>
      <c r="JO53" s="312"/>
      <c r="JP53" s="312"/>
      <c r="JQ53" s="312"/>
      <c r="JR53" s="312"/>
      <c r="JS53" s="312"/>
      <c r="JT53" s="312"/>
      <c r="JU53" s="312"/>
      <c r="JV53" s="312"/>
      <c r="JW53" s="312"/>
      <c r="JX53" s="312"/>
      <c r="JY53" s="312"/>
      <c r="JZ53" s="312"/>
      <c r="KA53" s="312"/>
      <c r="KB53" s="312"/>
      <c r="KC53" s="312"/>
      <c r="KD53" s="312"/>
      <c r="KE53" s="312"/>
      <c r="KF53" s="312"/>
      <c r="KG53" s="312"/>
      <c r="KH53" s="312"/>
      <c r="KI53" s="312"/>
      <c r="KJ53" s="312"/>
      <c r="KK53" s="312"/>
      <c r="KL53" s="312"/>
      <c r="KM53" s="312"/>
      <c r="KN53" s="312"/>
      <c r="KO53" s="312"/>
      <c r="KP53" s="312"/>
      <c r="KQ53" s="312"/>
      <c r="KR53" s="312"/>
      <c r="KS53" s="312"/>
      <c r="KT53" s="312"/>
      <c r="KU53" s="312"/>
      <c r="KV53" s="312"/>
      <c r="KW53" s="312"/>
      <c r="KX53" s="312"/>
      <c r="KY53" s="312"/>
      <c r="KZ53" s="312"/>
      <c r="LA53" s="312"/>
      <c r="LB53" s="312"/>
      <c r="LC53" s="312"/>
      <c r="LD53" s="312"/>
      <c r="LE53" s="312"/>
      <c r="LF53" s="312"/>
      <c r="LG53" s="312"/>
      <c r="LH53" s="312"/>
      <c r="LI53" s="312"/>
      <c r="LJ53" s="312"/>
    </row>
    <row r="54" spans="1:322" s="393" customFormat="1">
      <c r="A54" s="397"/>
      <c r="B54" s="398"/>
      <c r="C54" s="275"/>
      <c r="D54" s="727"/>
      <c r="E54" s="357"/>
      <c r="F54" s="358"/>
      <c r="G54" s="399"/>
      <c r="H54" s="206"/>
      <c r="I54" s="206"/>
      <c r="J54" s="206"/>
      <c r="K54" s="206"/>
      <c r="L54" s="206"/>
      <c r="M54" s="400"/>
      <c r="N54" s="359"/>
      <c r="O54" s="359"/>
      <c r="P54" s="401"/>
      <c r="Q54" s="401"/>
      <c r="R54" s="360"/>
      <c r="S54" s="402"/>
      <c r="T54" s="211"/>
      <c r="U54" s="403"/>
      <c r="V54" s="217"/>
      <c r="W54" s="362"/>
      <c r="X54" s="363"/>
      <c r="Y54" s="278"/>
      <c r="Z54" s="278"/>
      <c r="AA54" s="404"/>
      <c r="AB54" s="271"/>
      <c r="AC54" s="405"/>
      <c r="AD54" s="271"/>
      <c r="AE54" s="405"/>
      <c r="AF54" s="271"/>
      <c r="AG54" s="405"/>
      <c r="AH54" s="271"/>
      <c r="AI54" s="405"/>
      <c r="AJ54" s="406"/>
      <c r="AK54" s="405"/>
      <c r="AL54" s="406"/>
      <c r="AM54" s="405"/>
      <c r="AN54" s="406"/>
      <c r="AO54" s="405"/>
      <c r="AP54" s="406"/>
      <c r="AQ54" s="405"/>
      <c r="AR54" s="406"/>
      <c r="AS54" s="405"/>
      <c r="AT54" s="406"/>
      <c r="AU54" s="405"/>
      <c r="AV54" s="406"/>
      <c r="AW54" s="405"/>
      <c r="AX54" s="407"/>
      <c r="AY54" s="366"/>
      <c r="AZ54" s="408"/>
      <c r="BA54" s="367"/>
      <c r="BB54" s="409"/>
      <c r="BC54" s="367"/>
      <c r="BD54" s="409"/>
      <c r="BE54" s="367"/>
      <c r="BF54" s="409"/>
      <c r="BG54" s="367"/>
      <c r="BH54" s="409"/>
      <c r="BI54" s="367"/>
      <c r="BJ54" s="409"/>
      <c r="BK54" s="367"/>
      <c r="BL54" s="409"/>
      <c r="BM54" s="367"/>
      <c r="BN54" s="409"/>
      <c r="BO54" s="367"/>
      <c r="BP54" s="409"/>
      <c r="BQ54" s="367"/>
      <c r="BR54" s="409"/>
      <c r="BS54" s="367"/>
      <c r="BT54" s="409"/>
      <c r="BU54" s="368"/>
      <c r="BV54" s="408"/>
      <c r="BW54" s="369"/>
      <c r="BX54" s="409"/>
      <c r="BY54" s="367"/>
      <c r="BZ54" s="409"/>
      <c r="CA54" s="367"/>
      <c r="CB54" s="409"/>
      <c r="CC54" s="367"/>
      <c r="CD54" s="409"/>
      <c r="CE54" s="367"/>
      <c r="CF54" s="409"/>
      <c r="CG54" s="367"/>
      <c r="CH54" s="409"/>
      <c r="CI54" s="367"/>
      <c r="CJ54" s="409"/>
      <c r="CK54" s="367"/>
      <c r="CL54" s="409"/>
      <c r="CM54" s="367"/>
      <c r="CN54" s="409"/>
      <c r="CO54" s="367"/>
      <c r="CP54" s="409"/>
      <c r="CQ54" s="367"/>
      <c r="CR54" s="409"/>
      <c r="CS54" s="368"/>
      <c r="CT54" s="410"/>
      <c r="CU54" s="283"/>
      <c r="CV54" s="411"/>
      <c r="CW54" s="412"/>
      <c r="CX54" s="285"/>
      <c r="CY54" s="227"/>
      <c r="CZ54" s="229"/>
      <c r="DA54" s="582"/>
      <c r="DB54" s="394"/>
      <c r="DC54" s="395"/>
      <c r="DD54" s="372"/>
      <c r="DE54" s="373"/>
      <c r="DF54" s="372"/>
      <c r="DG54" s="373"/>
      <c r="DH54" s="374"/>
      <c r="DI54" s="375"/>
      <c r="DJ54" s="413"/>
      <c r="DK54" s="377"/>
      <c r="DL54" s="378"/>
      <c r="DM54" s="379"/>
      <c r="DN54" s="233"/>
      <c r="DO54" s="233"/>
      <c r="DP54" s="233"/>
      <c r="DQ54" s="233"/>
      <c r="DR54" s="233"/>
      <c r="DS54" s="233"/>
      <c r="DT54" s="233"/>
      <c r="DU54" s="234"/>
      <c r="DV54" s="378"/>
      <c r="DW54" s="378"/>
      <c r="DX54" s="379"/>
      <c r="DY54" s="233"/>
      <c r="DZ54" s="233"/>
      <c r="EA54" s="233"/>
      <c r="EB54" s="233"/>
      <c r="EC54" s="233"/>
      <c r="ED54" s="233"/>
      <c r="EE54" s="233"/>
      <c r="EF54" s="234"/>
      <c r="EG54" s="378"/>
      <c r="EH54" s="378"/>
      <c r="EI54" s="414"/>
      <c r="EJ54" s="415"/>
      <c r="EK54" s="415"/>
      <c r="EL54" s="248"/>
      <c r="EM54" s="272"/>
      <c r="EN54" s="272"/>
      <c r="EO54" s="272"/>
      <c r="EP54" s="272"/>
      <c r="EQ54" s="272"/>
      <c r="ER54" s="272"/>
      <c r="ES54" s="272"/>
      <c r="ET54" s="272"/>
      <c r="EU54" s="297"/>
      <c r="EV54" s="298"/>
      <c r="EW54" s="272"/>
      <c r="EX54" s="272"/>
      <c r="EY54" s="272"/>
      <c r="EZ54" s="248"/>
      <c r="FA54" s="272"/>
      <c r="FB54" s="272"/>
      <c r="FC54" s="297"/>
      <c r="FD54" s="380"/>
      <c r="FE54" s="309"/>
      <c r="FF54" s="381"/>
      <c r="FG54" s="382"/>
      <c r="FH54" s="383"/>
      <c r="FI54" s="384"/>
      <c r="FJ54" s="380"/>
      <c r="FK54" s="385"/>
      <c r="FL54" s="386"/>
      <c r="FM54" s="387"/>
      <c r="FN54" s="386"/>
      <c r="FO54" s="387"/>
      <c r="FP54" s="388"/>
      <c r="FQ54" s="387"/>
      <c r="FR54" s="388"/>
      <c r="FS54" s="387"/>
      <c r="FT54" s="388"/>
      <c r="FU54" s="387"/>
      <c r="FV54" s="388"/>
      <c r="FW54" s="387"/>
      <c r="FX54" s="388"/>
      <c r="FY54" s="387"/>
      <c r="FZ54" s="388"/>
      <c r="GA54" s="387"/>
      <c r="GB54" s="388"/>
      <c r="GC54" s="387"/>
      <c r="GD54" s="388"/>
      <c r="GE54" s="387"/>
      <c r="GF54" s="388"/>
      <c r="GG54" s="389"/>
      <c r="GH54" s="390"/>
      <c r="GI54" s="387"/>
      <c r="GJ54" s="387"/>
      <c r="GK54" s="387"/>
      <c r="GL54" s="387"/>
      <c r="GM54" s="387"/>
      <c r="GN54" s="387"/>
      <c r="GO54" s="387"/>
      <c r="GP54" s="387"/>
      <c r="GQ54" s="387"/>
      <c r="GR54" s="387"/>
      <c r="GS54" s="387"/>
      <c r="GT54" s="387"/>
      <c r="GU54" s="387"/>
      <c r="GV54" s="387"/>
      <c r="GW54" s="387"/>
      <c r="GX54" s="387"/>
      <c r="GY54" s="387"/>
      <c r="GZ54" s="387"/>
      <c r="HA54" s="387"/>
      <c r="HB54" s="387"/>
      <c r="HC54" s="387"/>
      <c r="HD54" s="387"/>
      <c r="HE54" s="391"/>
      <c r="HF54" s="389"/>
      <c r="HG54" s="387"/>
      <c r="HH54" s="387"/>
      <c r="HI54" s="387"/>
      <c r="HJ54" s="387"/>
      <c r="HK54" s="387"/>
      <c r="HL54" s="387"/>
      <c r="HM54" s="387"/>
      <c r="HN54" s="387"/>
      <c r="HO54" s="387"/>
      <c r="HP54" s="387"/>
      <c r="HQ54" s="387"/>
      <c r="HR54" s="387"/>
      <c r="HS54" s="387"/>
      <c r="HT54" s="387"/>
      <c r="HU54" s="387"/>
      <c r="HV54" s="387"/>
      <c r="HW54" s="387"/>
      <c r="HX54" s="387"/>
      <c r="HY54" s="387"/>
      <c r="HZ54" s="387"/>
      <c r="IA54" s="387"/>
      <c r="IB54" s="387"/>
      <c r="IC54" s="392"/>
      <c r="ID54" s="312"/>
      <c r="IE54" s="312"/>
      <c r="IF54" s="312"/>
      <c r="IG54" s="312"/>
      <c r="IH54" s="312"/>
      <c r="II54" s="312"/>
      <c r="IJ54" s="312"/>
      <c r="IK54" s="312"/>
      <c r="IL54" s="312"/>
      <c r="IM54" s="312"/>
      <c r="IN54" s="312"/>
      <c r="IO54" s="312"/>
      <c r="IP54" s="312"/>
      <c r="IQ54" s="312"/>
      <c r="IR54" s="312"/>
      <c r="IS54" s="312"/>
      <c r="IT54" s="312"/>
      <c r="IU54" s="312"/>
      <c r="IV54" s="312"/>
      <c r="IW54" s="312"/>
      <c r="IX54" s="312"/>
      <c r="IY54" s="312"/>
      <c r="IZ54" s="312"/>
      <c r="JA54" s="312"/>
      <c r="JB54" s="312"/>
      <c r="JC54" s="312"/>
      <c r="JD54" s="312"/>
      <c r="JE54" s="312"/>
      <c r="JF54" s="312"/>
      <c r="JG54" s="312"/>
      <c r="JH54" s="312"/>
      <c r="JI54" s="312"/>
      <c r="JJ54" s="312"/>
      <c r="JK54" s="312"/>
      <c r="JL54" s="312"/>
      <c r="JM54" s="312"/>
      <c r="JN54" s="312"/>
      <c r="JO54" s="312"/>
      <c r="JP54" s="312"/>
      <c r="JQ54" s="312"/>
      <c r="JR54" s="312"/>
      <c r="JS54" s="312"/>
      <c r="JT54" s="312"/>
      <c r="JU54" s="312"/>
      <c r="JV54" s="312"/>
      <c r="JW54" s="312"/>
      <c r="JX54" s="312"/>
      <c r="JY54" s="312"/>
      <c r="JZ54" s="312"/>
      <c r="KA54" s="312"/>
      <c r="KB54" s="312"/>
      <c r="KC54" s="312"/>
      <c r="KD54" s="312"/>
      <c r="KE54" s="312"/>
      <c r="KF54" s="312"/>
      <c r="KG54" s="312"/>
      <c r="KH54" s="312"/>
      <c r="KI54" s="312"/>
      <c r="KJ54" s="312"/>
      <c r="KK54" s="312"/>
      <c r="KL54" s="312"/>
      <c r="KM54" s="312"/>
      <c r="KN54" s="312"/>
      <c r="KO54" s="312"/>
      <c r="KP54" s="312"/>
      <c r="KQ54" s="312"/>
      <c r="KR54" s="312"/>
      <c r="KS54" s="312"/>
      <c r="KT54" s="312"/>
      <c r="KU54" s="312"/>
      <c r="KV54" s="312"/>
      <c r="KW54" s="312"/>
      <c r="KX54" s="312"/>
      <c r="KY54" s="312"/>
      <c r="KZ54" s="312"/>
      <c r="LA54" s="312"/>
      <c r="LB54" s="312"/>
      <c r="LC54" s="312"/>
      <c r="LD54" s="312"/>
      <c r="LE54" s="312"/>
      <c r="LF54" s="312"/>
      <c r="LG54" s="312"/>
      <c r="LH54" s="312"/>
      <c r="LI54" s="312"/>
      <c r="LJ54" s="312"/>
    </row>
    <row r="55" spans="1:322" s="393" customFormat="1">
      <c r="A55" s="397"/>
      <c r="B55" s="398"/>
      <c r="C55" s="275"/>
      <c r="D55" s="727"/>
      <c r="E55" s="357"/>
      <c r="F55" s="358"/>
      <c r="G55" s="399"/>
      <c r="H55" s="206"/>
      <c r="I55" s="206"/>
      <c r="J55" s="206"/>
      <c r="K55" s="206"/>
      <c r="L55" s="206"/>
      <c r="M55" s="400"/>
      <c r="N55" s="359"/>
      <c r="O55" s="359"/>
      <c r="P55" s="401"/>
      <c r="Q55" s="401"/>
      <c r="R55" s="360"/>
      <c r="S55" s="402"/>
      <c r="T55" s="211"/>
      <c r="U55" s="403"/>
      <c r="V55" s="217"/>
      <c r="W55" s="362"/>
      <c r="X55" s="363"/>
      <c r="Y55" s="278"/>
      <c r="Z55" s="278"/>
      <c r="AA55" s="404"/>
      <c r="AB55" s="271"/>
      <c r="AC55" s="405"/>
      <c r="AD55" s="271"/>
      <c r="AE55" s="405"/>
      <c r="AF55" s="271"/>
      <c r="AG55" s="405"/>
      <c r="AH55" s="271"/>
      <c r="AI55" s="405"/>
      <c r="AJ55" s="406"/>
      <c r="AK55" s="405"/>
      <c r="AL55" s="406"/>
      <c r="AM55" s="405"/>
      <c r="AN55" s="406"/>
      <c r="AO55" s="405"/>
      <c r="AP55" s="406"/>
      <c r="AQ55" s="405"/>
      <c r="AR55" s="406"/>
      <c r="AS55" s="405"/>
      <c r="AT55" s="406"/>
      <c r="AU55" s="405"/>
      <c r="AV55" s="406"/>
      <c r="AW55" s="405"/>
      <c r="AX55" s="407"/>
      <c r="AY55" s="366"/>
      <c r="AZ55" s="408"/>
      <c r="BA55" s="367"/>
      <c r="BB55" s="409"/>
      <c r="BC55" s="367"/>
      <c r="BD55" s="409"/>
      <c r="BE55" s="367"/>
      <c r="BF55" s="409"/>
      <c r="BG55" s="367"/>
      <c r="BH55" s="409"/>
      <c r="BI55" s="367"/>
      <c r="BJ55" s="409"/>
      <c r="BK55" s="367"/>
      <c r="BL55" s="409"/>
      <c r="BM55" s="367"/>
      <c r="BN55" s="409"/>
      <c r="BO55" s="367"/>
      <c r="BP55" s="409"/>
      <c r="BQ55" s="367"/>
      <c r="BR55" s="409"/>
      <c r="BS55" s="367"/>
      <c r="BT55" s="409"/>
      <c r="BU55" s="368"/>
      <c r="BV55" s="408"/>
      <c r="BW55" s="369"/>
      <c r="BX55" s="409"/>
      <c r="BY55" s="367"/>
      <c r="BZ55" s="409"/>
      <c r="CA55" s="367"/>
      <c r="CB55" s="409"/>
      <c r="CC55" s="367"/>
      <c r="CD55" s="409"/>
      <c r="CE55" s="367"/>
      <c r="CF55" s="409"/>
      <c r="CG55" s="367"/>
      <c r="CH55" s="409"/>
      <c r="CI55" s="367"/>
      <c r="CJ55" s="409"/>
      <c r="CK55" s="367"/>
      <c r="CL55" s="409"/>
      <c r="CM55" s="367"/>
      <c r="CN55" s="409"/>
      <c r="CO55" s="367"/>
      <c r="CP55" s="409"/>
      <c r="CQ55" s="367"/>
      <c r="CR55" s="409"/>
      <c r="CS55" s="368"/>
      <c r="CT55" s="410"/>
      <c r="CU55" s="283"/>
      <c r="CV55" s="411"/>
      <c r="CW55" s="412"/>
      <c r="CX55" s="285"/>
      <c r="CY55" s="227"/>
      <c r="CZ55" s="229"/>
      <c r="DA55" s="582"/>
      <c r="DB55" s="394"/>
      <c r="DC55" s="395"/>
      <c r="DD55" s="372"/>
      <c r="DE55" s="373"/>
      <c r="DF55" s="372"/>
      <c r="DG55" s="373"/>
      <c r="DH55" s="374"/>
      <c r="DI55" s="375"/>
      <c r="DJ55" s="413"/>
      <c r="DK55" s="377"/>
      <c r="DL55" s="378"/>
      <c r="DM55" s="379"/>
      <c r="DN55" s="233"/>
      <c r="DO55" s="233"/>
      <c r="DP55" s="233"/>
      <c r="DQ55" s="233"/>
      <c r="DR55" s="233"/>
      <c r="DS55" s="233"/>
      <c r="DT55" s="233"/>
      <c r="DU55" s="234"/>
      <c r="DV55" s="378"/>
      <c r="DW55" s="378"/>
      <c r="DX55" s="379"/>
      <c r="DY55" s="233"/>
      <c r="DZ55" s="233"/>
      <c r="EA55" s="233"/>
      <c r="EB55" s="233"/>
      <c r="EC55" s="233"/>
      <c r="ED55" s="233"/>
      <c r="EE55" s="233"/>
      <c r="EF55" s="234"/>
      <c r="EG55" s="378"/>
      <c r="EH55" s="378"/>
      <c r="EI55" s="414"/>
      <c r="EJ55" s="415"/>
      <c r="EK55" s="415"/>
      <c r="EL55" s="248"/>
      <c r="EM55" s="272"/>
      <c r="EN55" s="272"/>
      <c r="EO55" s="272"/>
      <c r="EP55" s="272"/>
      <c r="EQ55" s="272"/>
      <c r="ER55" s="272"/>
      <c r="ES55" s="272"/>
      <c r="ET55" s="272"/>
      <c r="EU55" s="297"/>
      <c r="EV55" s="298"/>
      <c r="EW55" s="272"/>
      <c r="EX55" s="272"/>
      <c r="EY55" s="272"/>
      <c r="EZ55" s="248"/>
      <c r="FA55" s="272"/>
      <c r="FB55" s="272"/>
      <c r="FC55" s="297"/>
      <c r="FD55" s="380"/>
      <c r="FE55" s="309"/>
      <c r="FF55" s="381"/>
      <c r="FG55" s="382"/>
      <c r="FH55" s="383"/>
      <c r="FI55" s="384"/>
      <c r="FJ55" s="380"/>
      <c r="FK55" s="385"/>
      <c r="FL55" s="386"/>
      <c r="FM55" s="387"/>
      <c r="FN55" s="386"/>
      <c r="FO55" s="387"/>
      <c r="FP55" s="388"/>
      <c r="FQ55" s="387"/>
      <c r="FR55" s="388"/>
      <c r="FS55" s="387"/>
      <c r="FT55" s="388"/>
      <c r="FU55" s="387"/>
      <c r="FV55" s="388"/>
      <c r="FW55" s="387"/>
      <c r="FX55" s="388"/>
      <c r="FY55" s="387"/>
      <c r="FZ55" s="388"/>
      <c r="GA55" s="387"/>
      <c r="GB55" s="388"/>
      <c r="GC55" s="387"/>
      <c r="GD55" s="388"/>
      <c r="GE55" s="387"/>
      <c r="GF55" s="388"/>
      <c r="GG55" s="389"/>
      <c r="GH55" s="390"/>
      <c r="GI55" s="387"/>
      <c r="GJ55" s="387"/>
      <c r="GK55" s="387"/>
      <c r="GL55" s="387"/>
      <c r="GM55" s="387"/>
      <c r="GN55" s="387"/>
      <c r="GO55" s="387"/>
      <c r="GP55" s="387"/>
      <c r="GQ55" s="387"/>
      <c r="GR55" s="387"/>
      <c r="GS55" s="387"/>
      <c r="GT55" s="387"/>
      <c r="GU55" s="387"/>
      <c r="GV55" s="387"/>
      <c r="GW55" s="387"/>
      <c r="GX55" s="387"/>
      <c r="GY55" s="387"/>
      <c r="GZ55" s="387"/>
      <c r="HA55" s="387"/>
      <c r="HB55" s="387"/>
      <c r="HC55" s="387"/>
      <c r="HD55" s="387"/>
      <c r="HE55" s="391"/>
      <c r="HF55" s="389"/>
      <c r="HG55" s="387"/>
      <c r="HH55" s="387"/>
      <c r="HI55" s="387"/>
      <c r="HJ55" s="387"/>
      <c r="HK55" s="387"/>
      <c r="HL55" s="387"/>
      <c r="HM55" s="387"/>
      <c r="HN55" s="387"/>
      <c r="HO55" s="387"/>
      <c r="HP55" s="387"/>
      <c r="HQ55" s="387"/>
      <c r="HR55" s="387"/>
      <c r="HS55" s="387"/>
      <c r="HT55" s="387"/>
      <c r="HU55" s="387"/>
      <c r="HV55" s="387"/>
      <c r="HW55" s="387"/>
      <c r="HX55" s="387"/>
      <c r="HY55" s="387"/>
      <c r="HZ55" s="387"/>
      <c r="IA55" s="387"/>
      <c r="IB55" s="387"/>
      <c r="IC55" s="392"/>
      <c r="ID55" s="312"/>
      <c r="IE55" s="312"/>
      <c r="IF55" s="312"/>
      <c r="IG55" s="312"/>
      <c r="IH55" s="312"/>
      <c r="II55" s="312"/>
      <c r="IJ55" s="312"/>
      <c r="IK55" s="312"/>
      <c r="IL55" s="312"/>
      <c r="IM55" s="312"/>
      <c r="IN55" s="312"/>
      <c r="IO55" s="312"/>
      <c r="IP55" s="312"/>
      <c r="IQ55" s="312"/>
      <c r="IR55" s="312"/>
      <c r="IS55" s="312"/>
      <c r="IT55" s="312"/>
      <c r="IU55" s="312"/>
      <c r="IV55" s="312"/>
      <c r="IW55" s="312"/>
      <c r="IX55" s="312"/>
      <c r="IY55" s="312"/>
      <c r="IZ55" s="312"/>
      <c r="JA55" s="312"/>
      <c r="JB55" s="312"/>
      <c r="JC55" s="312"/>
      <c r="JD55" s="312"/>
      <c r="JE55" s="312"/>
      <c r="JF55" s="312"/>
      <c r="JG55" s="312"/>
      <c r="JH55" s="312"/>
      <c r="JI55" s="312"/>
      <c r="JJ55" s="312"/>
      <c r="JK55" s="312"/>
      <c r="JL55" s="312"/>
      <c r="JM55" s="312"/>
      <c r="JN55" s="312"/>
      <c r="JO55" s="312"/>
      <c r="JP55" s="312"/>
      <c r="JQ55" s="312"/>
      <c r="JR55" s="312"/>
      <c r="JS55" s="312"/>
      <c r="JT55" s="312"/>
      <c r="JU55" s="312"/>
      <c r="JV55" s="312"/>
      <c r="JW55" s="312"/>
      <c r="JX55" s="312"/>
      <c r="JY55" s="312"/>
      <c r="JZ55" s="312"/>
      <c r="KA55" s="312"/>
      <c r="KB55" s="312"/>
      <c r="KC55" s="312"/>
      <c r="KD55" s="312"/>
      <c r="KE55" s="312"/>
      <c r="KF55" s="312"/>
      <c r="KG55" s="312"/>
      <c r="KH55" s="312"/>
      <c r="KI55" s="312"/>
      <c r="KJ55" s="312"/>
      <c r="KK55" s="312"/>
      <c r="KL55" s="312"/>
      <c r="KM55" s="312"/>
      <c r="KN55" s="312"/>
      <c r="KO55" s="312"/>
      <c r="KP55" s="312"/>
      <c r="KQ55" s="312"/>
      <c r="KR55" s="312"/>
      <c r="KS55" s="312"/>
      <c r="KT55" s="312"/>
      <c r="KU55" s="312"/>
      <c r="KV55" s="312"/>
      <c r="KW55" s="312"/>
      <c r="KX55" s="312"/>
      <c r="KY55" s="312"/>
      <c r="KZ55" s="312"/>
      <c r="LA55" s="312"/>
      <c r="LB55" s="312"/>
      <c r="LC55" s="312"/>
      <c r="LD55" s="312"/>
      <c r="LE55" s="312"/>
      <c r="LF55" s="312"/>
      <c r="LG55" s="312"/>
      <c r="LH55" s="312"/>
      <c r="LI55" s="312"/>
      <c r="LJ55" s="312"/>
    </row>
    <row r="56" spans="1:322" s="393" customFormat="1">
      <c r="A56" s="397"/>
      <c r="B56" s="398"/>
      <c r="C56" s="275"/>
      <c r="D56" s="727"/>
      <c r="E56" s="357"/>
      <c r="F56" s="358"/>
      <c r="G56" s="399"/>
      <c r="H56" s="206"/>
      <c r="I56" s="206"/>
      <c r="J56" s="206"/>
      <c r="K56" s="206"/>
      <c r="L56" s="206"/>
      <c r="M56" s="400"/>
      <c r="N56" s="359"/>
      <c r="O56" s="359"/>
      <c r="P56" s="401"/>
      <c r="Q56" s="401"/>
      <c r="R56" s="360"/>
      <c r="S56" s="402"/>
      <c r="T56" s="211"/>
      <c r="U56" s="403"/>
      <c r="V56" s="217"/>
      <c r="W56" s="362"/>
      <c r="X56" s="363"/>
      <c r="Y56" s="278"/>
      <c r="Z56" s="278"/>
      <c r="AA56" s="404"/>
      <c r="AB56" s="271"/>
      <c r="AC56" s="405"/>
      <c r="AD56" s="271"/>
      <c r="AE56" s="405"/>
      <c r="AF56" s="271"/>
      <c r="AG56" s="405"/>
      <c r="AH56" s="271"/>
      <c r="AI56" s="405"/>
      <c r="AJ56" s="406"/>
      <c r="AK56" s="405"/>
      <c r="AL56" s="406"/>
      <c r="AM56" s="405"/>
      <c r="AN56" s="406"/>
      <c r="AO56" s="405"/>
      <c r="AP56" s="406"/>
      <c r="AQ56" s="405"/>
      <c r="AR56" s="406"/>
      <c r="AS56" s="405"/>
      <c r="AT56" s="406"/>
      <c r="AU56" s="405"/>
      <c r="AV56" s="406"/>
      <c r="AW56" s="405"/>
      <c r="AX56" s="407"/>
      <c r="AY56" s="366"/>
      <c r="AZ56" s="408"/>
      <c r="BA56" s="367"/>
      <c r="BB56" s="409"/>
      <c r="BC56" s="367"/>
      <c r="BD56" s="409"/>
      <c r="BE56" s="367"/>
      <c r="BF56" s="409"/>
      <c r="BG56" s="367"/>
      <c r="BH56" s="409"/>
      <c r="BI56" s="367"/>
      <c r="BJ56" s="409"/>
      <c r="BK56" s="367"/>
      <c r="BL56" s="409"/>
      <c r="BM56" s="367"/>
      <c r="BN56" s="409"/>
      <c r="BO56" s="367"/>
      <c r="BP56" s="409"/>
      <c r="BQ56" s="367"/>
      <c r="BR56" s="409"/>
      <c r="BS56" s="367"/>
      <c r="BT56" s="409"/>
      <c r="BU56" s="368"/>
      <c r="BV56" s="408"/>
      <c r="BW56" s="369"/>
      <c r="BX56" s="409"/>
      <c r="BY56" s="367"/>
      <c r="BZ56" s="409"/>
      <c r="CA56" s="367"/>
      <c r="CB56" s="409"/>
      <c r="CC56" s="367"/>
      <c r="CD56" s="409"/>
      <c r="CE56" s="367"/>
      <c r="CF56" s="409"/>
      <c r="CG56" s="367"/>
      <c r="CH56" s="409"/>
      <c r="CI56" s="367"/>
      <c r="CJ56" s="409"/>
      <c r="CK56" s="367"/>
      <c r="CL56" s="409"/>
      <c r="CM56" s="367"/>
      <c r="CN56" s="409"/>
      <c r="CO56" s="367"/>
      <c r="CP56" s="409"/>
      <c r="CQ56" s="367"/>
      <c r="CR56" s="409"/>
      <c r="CS56" s="368"/>
      <c r="CT56" s="410"/>
      <c r="CU56" s="283"/>
      <c r="CV56" s="411"/>
      <c r="CW56" s="412"/>
      <c r="CX56" s="285"/>
      <c r="CY56" s="227"/>
      <c r="CZ56" s="229"/>
      <c r="DA56" s="582"/>
      <c r="DB56" s="394"/>
      <c r="DC56" s="395"/>
      <c r="DD56" s="372"/>
      <c r="DE56" s="373"/>
      <c r="DF56" s="372"/>
      <c r="DG56" s="373"/>
      <c r="DH56" s="374"/>
      <c r="DI56" s="375"/>
      <c r="DJ56" s="413"/>
      <c r="DK56" s="377"/>
      <c r="DL56" s="378"/>
      <c r="DM56" s="379"/>
      <c r="DN56" s="233"/>
      <c r="DO56" s="233"/>
      <c r="DP56" s="233"/>
      <c r="DQ56" s="233"/>
      <c r="DR56" s="233"/>
      <c r="DS56" s="233"/>
      <c r="DT56" s="233"/>
      <c r="DU56" s="234"/>
      <c r="DV56" s="378"/>
      <c r="DW56" s="378"/>
      <c r="DX56" s="379"/>
      <c r="DY56" s="233"/>
      <c r="DZ56" s="233"/>
      <c r="EA56" s="233"/>
      <c r="EB56" s="233"/>
      <c r="EC56" s="233"/>
      <c r="ED56" s="233"/>
      <c r="EE56" s="233"/>
      <c r="EF56" s="234"/>
      <c r="EG56" s="378"/>
      <c r="EH56" s="378"/>
      <c r="EI56" s="414"/>
      <c r="EJ56" s="415"/>
      <c r="EK56" s="415"/>
      <c r="EL56" s="248"/>
      <c r="EM56" s="272"/>
      <c r="EN56" s="272"/>
      <c r="EO56" s="272"/>
      <c r="EP56" s="272"/>
      <c r="EQ56" s="272"/>
      <c r="ER56" s="272"/>
      <c r="ES56" s="272"/>
      <c r="ET56" s="272"/>
      <c r="EU56" s="297"/>
      <c r="EV56" s="298"/>
      <c r="EW56" s="272"/>
      <c r="EX56" s="272"/>
      <c r="EY56" s="272"/>
      <c r="EZ56" s="248"/>
      <c r="FA56" s="272"/>
      <c r="FB56" s="272"/>
      <c r="FC56" s="297"/>
      <c r="FD56" s="380"/>
      <c r="FE56" s="309"/>
      <c r="FF56" s="381"/>
      <c r="FG56" s="382"/>
      <c r="FH56" s="383"/>
      <c r="FI56" s="384"/>
      <c r="FJ56" s="380"/>
      <c r="FK56" s="385"/>
      <c r="FL56" s="386"/>
      <c r="FM56" s="387"/>
      <c r="FN56" s="386"/>
      <c r="FO56" s="387"/>
      <c r="FP56" s="388"/>
      <c r="FQ56" s="387"/>
      <c r="FR56" s="388"/>
      <c r="FS56" s="387"/>
      <c r="FT56" s="388"/>
      <c r="FU56" s="387"/>
      <c r="FV56" s="388"/>
      <c r="FW56" s="387"/>
      <c r="FX56" s="388"/>
      <c r="FY56" s="387"/>
      <c r="FZ56" s="388"/>
      <c r="GA56" s="387"/>
      <c r="GB56" s="388"/>
      <c r="GC56" s="387"/>
      <c r="GD56" s="388"/>
      <c r="GE56" s="387"/>
      <c r="GF56" s="388"/>
      <c r="GG56" s="389"/>
      <c r="GH56" s="390"/>
      <c r="GI56" s="387"/>
      <c r="GJ56" s="387"/>
      <c r="GK56" s="387"/>
      <c r="GL56" s="387"/>
      <c r="GM56" s="387"/>
      <c r="GN56" s="387"/>
      <c r="GO56" s="387"/>
      <c r="GP56" s="387"/>
      <c r="GQ56" s="387"/>
      <c r="GR56" s="387"/>
      <c r="GS56" s="387"/>
      <c r="GT56" s="387"/>
      <c r="GU56" s="387"/>
      <c r="GV56" s="387"/>
      <c r="GW56" s="387"/>
      <c r="GX56" s="387"/>
      <c r="GY56" s="387"/>
      <c r="GZ56" s="387"/>
      <c r="HA56" s="387"/>
      <c r="HB56" s="387"/>
      <c r="HC56" s="387"/>
      <c r="HD56" s="387"/>
      <c r="HE56" s="391"/>
      <c r="HF56" s="389"/>
      <c r="HG56" s="387"/>
      <c r="HH56" s="387"/>
      <c r="HI56" s="387"/>
      <c r="HJ56" s="387"/>
      <c r="HK56" s="387"/>
      <c r="HL56" s="387"/>
      <c r="HM56" s="387"/>
      <c r="HN56" s="387"/>
      <c r="HO56" s="387"/>
      <c r="HP56" s="387"/>
      <c r="HQ56" s="387"/>
      <c r="HR56" s="387"/>
      <c r="HS56" s="387"/>
      <c r="HT56" s="387"/>
      <c r="HU56" s="387"/>
      <c r="HV56" s="387"/>
      <c r="HW56" s="387"/>
      <c r="HX56" s="387"/>
      <c r="HY56" s="387"/>
      <c r="HZ56" s="387"/>
      <c r="IA56" s="387"/>
      <c r="IB56" s="387"/>
      <c r="IC56" s="392"/>
      <c r="ID56" s="312"/>
      <c r="IE56" s="312"/>
      <c r="IF56" s="312"/>
      <c r="IG56" s="312"/>
      <c r="IH56" s="312"/>
      <c r="II56" s="312"/>
      <c r="IJ56" s="312"/>
      <c r="IK56" s="312"/>
      <c r="IL56" s="312"/>
      <c r="IM56" s="312"/>
      <c r="IN56" s="312"/>
      <c r="IO56" s="312"/>
      <c r="IP56" s="312"/>
      <c r="IQ56" s="312"/>
      <c r="IR56" s="312"/>
      <c r="IS56" s="312"/>
      <c r="IT56" s="312"/>
      <c r="IU56" s="312"/>
      <c r="IV56" s="312"/>
      <c r="IW56" s="312"/>
      <c r="IX56" s="312"/>
      <c r="IY56" s="312"/>
      <c r="IZ56" s="312"/>
      <c r="JA56" s="312"/>
      <c r="JB56" s="312"/>
      <c r="JC56" s="312"/>
      <c r="JD56" s="312"/>
      <c r="JE56" s="312"/>
      <c r="JF56" s="312"/>
      <c r="JG56" s="312"/>
      <c r="JH56" s="312"/>
      <c r="JI56" s="312"/>
      <c r="JJ56" s="312"/>
      <c r="JK56" s="312"/>
      <c r="JL56" s="312"/>
      <c r="JM56" s="312"/>
      <c r="JN56" s="312"/>
      <c r="JO56" s="312"/>
      <c r="JP56" s="312"/>
      <c r="JQ56" s="312"/>
      <c r="JR56" s="312"/>
      <c r="JS56" s="312"/>
      <c r="JT56" s="312"/>
      <c r="JU56" s="312"/>
      <c r="JV56" s="312"/>
      <c r="JW56" s="312"/>
      <c r="JX56" s="312"/>
      <c r="JY56" s="312"/>
      <c r="JZ56" s="312"/>
      <c r="KA56" s="312"/>
      <c r="KB56" s="312"/>
      <c r="KC56" s="312"/>
      <c r="KD56" s="312"/>
      <c r="KE56" s="312"/>
      <c r="KF56" s="312"/>
      <c r="KG56" s="312"/>
      <c r="KH56" s="312"/>
      <c r="KI56" s="312"/>
      <c r="KJ56" s="312"/>
      <c r="KK56" s="312"/>
      <c r="KL56" s="312"/>
      <c r="KM56" s="312"/>
      <c r="KN56" s="312"/>
      <c r="KO56" s="312"/>
      <c r="KP56" s="312"/>
      <c r="KQ56" s="312"/>
      <c r="KR56" s="312"/>
      <c r="KS56" s="312"/>
      <c r="KT56" s="312"/>
      <c r="KU56" s="312"/>
      <c r="KV56" s="312"/>
      <c r="KW56" s="312"/>
      <c r="KX56" s="312"/>
      <c r="KY56" s="312"/>
      <c r="KZ56" s="312"/>
      <c r="LA56" s="312"/>
      <c r="LB56" s="312"/>
      <c r="LC56" s="312"/>
      <c r="LD56" s="312"/>
      <c r="LE56" s="312"/>
      <c r="LF56" s="312"/>
      <c r="LG56" s="312"/>
      <c r="LH56" s="312"/>
      <c r="LI56" s="312"/>
      <c r="LJ56" s="312"/>
    </row>
    <row r="57" spans="1:322" s="393" customFormat="1">
      <c r="A57" s="397"/>
      <c r="B57" s="398"/>
      <c r="C57" s="275"/>
      <c r="D57" s="727"/>
      <c r="E57" s="357"/>
      <c r="F57" s="358"/>
      <c r="G57" s="399"/>
      <c r="H57" s="206"/>
      <c r="I57" s="206"/>
      <c r="J57" s="206"/>
      <c r="K57" s="206"/>
      <c r="L57" s="206"/>
      <c r="M57" s="400"/>
      <c r="N57" s="359"/>
      <c r="O57" s="359"/>
      <c r="P57" s="401"/>
      <c r="Q57" s="401"/>
      <c r="R57" s="360"/>
      <c r="S57" s="402"/>
      <c r="T57" s="211"/>
      <c r="U57" s="403"/>
      <c r="V57" s="217"/>
      <c r="W57" s="362"/>
      <c r="X57" s="363"/>
      <c r="Y57" s="278"/>
      <c r="Z57" s="278"/>
      <c r="AA57" s="404"/>
      <c r="AB57" s="271"/>
      <c r="AC57" s="405"/>
      <c r="AD57" s="271"/>
      <c r="AE57" s="405"/>
      <c r="AF57" s="271"/>
      <c r="AG57" s="405"/>
      <c r="AH57" s="271"/>
      <c r="AI57" s="405"/>
      <c r="AJ57" s="406"/>
      <c r="AK57" s="405"/>
      <c r="AL57" s="406"/>
      <c r="AM57" s="405"/>
      <c r="AN57" s="406"/>
      <c r="AO57" s="405"/>
      <c r="AP57" s="406"/>
      <c r="AQ57" s="405"/>
      <c r="AR57" s="406"/>
      <c r="AS57" s="405"/>
      <c r="AT57" s="406"/>
      <c r="AU57" s="405"/>
      <c r="AV57" s="406"/>
      <c r="AW57" s="405"/>
      <c r="AX57" s="407"/>
      <c r="AY57" s="366"/>
      <c r="AZ57" s="408"/>
      <c r="BA57" s="367"/>
      <c r="BB57" s="409"/>
      <c r="BC57" s="367"/>
      <c r="BD57" s="409"/>
      <c r="BE57" s="367"/>
      <c r="BF57" s="409"/>
      <c r="BG57" s="367"/>
      <c r="BH57" s="409"/>
      <c r="BI57" s="367"/>
      <c r="BJ57" s="409"/>
      <c r="BK57" s="367"/>
      <c r="BL57" s="409"/>
      <c r="BM57" s="367"/>
      <c r="BN57" s="409"/>
      <c r="BO57" s="367"/>
      <c r="BP57" s="409"/>
      <c r="BQ57" s="367"/>
      <c r="BR57" s="409"/>
      <c r="BS57" s="367"/>
      <c r="BT57" s="409"/>
      <c r="BU57" s="368"/>
      <c r="BV57" s="408"/>
      <c r="BW57" s="369"/>
      <c r="BX57" s="409"/>
      <c r="BY57" s="367"/>
      <c r="BZ57" s="409"/>
      <c r="CA57" s="367"/>
      <c r="CB57" s="409"/>
      <c r="CC57" s="367"/>
      <c r="CD57" s="409"/>
      <c r="CE57" s="367"/>
      <c r="CF57" s="409"/>
      <c r="CG57" s="367"/>
      <c r="CH57" s="409"/>
      <c r="CI57" s="367"/>
      <c r="CJ57" s="409"/>
      <c r="CK57" s="367"/>
      <c r="CL57" s="409"/>
      <c r="CM57" s="367"/>
      <c r="CN57" s="409"/>
      <c r="CO57" s="367"/>
      <c r="CP57" s="409"/>
      <c r="CQ57" s="367"/>
      <c r="CR57" s="409"/>
      <c r="CS57" s="368"/>
      <c r="CT57" s="410"/>
      <c r="CU57" s="283"/>
      <c r="CV57" s="411"/>
      <c r="CW57" s="412"/>
      <c r="CX57" s="285"/>
      <c r="CY57" s="227"/>
      <c r="CZ57" s="229"/>
      <c r="DA57" s="582"/>
      <c r="DB57" s="394"/>
      <c r="DC57" s="395"/>
      <c r="DD57" s="372"/>
      <c r="DE57" s="373"/>
      <c r="DF57" s="372"/>
      <c r="DG57" s="373"/>
      <c r="DH57" s="374"/>
      <c r="DI57" s="375"/>
      <c r="DJ57" s="413"/>
      <c r="DK57" s="377"/>
      <c r="DL57" s="378"/>
      <c r="DM57" s="379"/>
      <c r="DN57" s="233"/>
      <c r="DO57" s="233"/>
      <c r="DP57" s="233"/>
      <c r="DQ57" s="233"/>
      <c r="DR57" s="233"/>
      <c r="DS57" s="233"/>
      <c r="DT57" s="233"/>
      <c r="DU57" s="234"/>
      <c r="DV57" s="378"/>
      <c r="DW57" s="378"/>
      <c r="DX57" s="379"/>
      <c r="DY57" s="233"/>
      <c r="DZ57" s="233"/>
      <c r="EA57" s="233"/>
      <c r="EB57" s="233"/>
      <c r="EC57" s="233"/>
      <c r="ED57" s="233"/>
      <c r="EE57" s="233"/>
      <c r="EF57" s="234"/>
      <c r="EG57" s="378"/>
      <c r="EH57" s="378"/>
      <c r="EI57" s="414"/>
      <c r="EJ57" s="415"/>
      <c r="EK57" s="415"/>
      <c r="EL57" s="248"/>
      <c r="EM57" s="272"/>
      <c r="EN57" s="272"/>
      <c r="EO57" s="272"/>
      <c r="EP57" s="272"/>
      <c r="EQ57" s="272"/>
      <c r="ER57" s="272"/>
      <c r="ES57" s="272"/>
      <c r="ET57" s="272"/>
      <c r="EU57" s="297"/>
      <c r="EV57" s="298"/>
      <c r="EW57" s="272"/>
      <c r="EX57" s="272"/>
      <c r="EY57" s="272"/>
      <c r="EZ57" s="248"/>
      <c r="FA57" s="272"/>
      <c r="FB57" s="272"/>
      <c r="FC57" s="297"/>
      <c r="FD57" s="380"/>
      <c r="FE57" s="309"/>
      <c r="FF57" s="381"/>
      <c r="FG57" s="382"/>
      <c r="FH57" s="383"/>
      <c r="FI57" s="384"/>
      <c r="FJ57" s="380"/>
      <c r="FK57" s="385"/>
      <c r="FL57" s="386"/>
      <c r="FM57" s="387"/>
      <c r="FN57" s="386"/>
      <c r="FO57" s="387"/>
      <c r="FP57" s="388"/>
      <c r="FQ57" s="387"/>
      <c r="FR57" s="388"/>
      <c r="FS57" s="387"/>
      <c r="FT57" s="388"/>
      <c r="FU57" s="387"/>
      <c r="FV57" s="388"/>
      <c r="FW57" s="387"/>
      <c r="FX57" s="388"/>
      <c r="FY57" s="387"/>
      <c r="FZ57" s="388"/>
      <c r="GA57" s="387"/>
      <c r="GB57" s="388"/>
      <c r="GC57" s="387"/>
      <c r="GD57" s="388"/>
      <c r="GE57" s="387"/>
      <c r="GF57" s="388"/>
      <c r="GG57" s="389"/>
      <c r="GH57" s="390"/>
      <c r="GI57" s="387"/>
      <c r="GJ57" s="387"/>
      <c r="GK57" s="387"/>
      <c r="GL57" s="387"/>
      <c r="GM57" s="387"/>
      <c r="GN57" s="387"/>
      <c r="GO57" s="387"/>
      <c r="GP57" s="387"/>
      <c r="GQ57" s="387"/>
      <c r="GR57" s="387"/>
      <c r="GS57" s="387"/>
      <c r="GT57" s="387"/>
      <c r="GU57" s="387"/>
      <c r="GV57" s="387"/>
      <c r="GW57" s="387"/>
      <c r="GX57" s="387"/>
      <c r="GY57" s="387"/>
      <c r="GZ57" s="387"/>
      <c r="HA57" s="387"/>
      <c r="HB57" s="387"/>
      <c r="HC57" s="387"/>
      <c r="HD57" s="387"/>
      <c r="HE57" s="391"/>
      <c r="HF57" s="389"/>
      <c r="HG57" s="387"/>
      <c r="HH57" s="387"/>
      <c r="HI57" s="387"/>
      <c r="HJ57" s="387"/>
      <c r="HK57" s="387"/>
      <c r="HL57" s="387"/>
      <c r="HM57" s="387"/>
      <c r="HN57" s="387"/>
      <c r="HO57" s="387"/>
      <c r="HP57" s="387"/>
      <c r="HQ57" s="387"/>
      <c r="HR57" s="387"/>
      <c r="HS57" s="387"/>
      <c r="HT57" s="387"/>
      <c r="HU57" s="387"/>
      <c r="HV57" s="387"/>
      <c r="HW57" s="387"/>
      <c r="HX57" s="387"/>
      <c r="HY57" s="387"/>
      <c r="HZ57" s="387"/>
      <c r="IA57" s="387"/>
      <c r="IB57" s="387"/>
      <c r="IC57" s="392"/>
      <c r="ID57" s="312"/>
      <c r="IE57" s="312"/>
      <c r="IF57" s="312"/>
      <c r="IG57" s="312"/>
      <c r="IH57" s="312"/>
      <c r="II57" s="312"/>
      <c r="IJ57" s="312"/>
      <c r="IK57" s="312"/>
      <c r="IL57" s="312"/>
      <c r="IM57" s="312"/>
      <c r="IN57" s="312"/>
      <c r="IO57" s="312"/>
      <c r="IP57" s="312"/>
      <c r="IQ57" s="312"/>
      <c r="IR57" s="312"/>
      <c r="IS57" s="312"/>
      <c r="IT57" s="312"/>
      <c r="IU57" s="312"/>
      <c r="IV57" s="312"/>
      <c r="IW57" s="312"/>
      <c r="IX57" s="312"/>
      <c r="IY57" s="312"/>
      <c r="IZ57" s="312"/>
      <c r="JA57" s="312"/>
      <c r="JB57" s="312"/>
      <c r="JC57" s="312"/>
      <c r="JD57" s="312"/>
      <c r="JE57" s="312"/>
      <c r="JF57" s="312"/>
      <c r="JG57" s="312"/>
      <c r="JH57" s="312"/>
      <c r="JI57" s="312"/>
      <c r="JJ57" s="312"/>
      <c r="JK57" s="312"/>
      <c r="JL57" s="312"/>
      <c r="JM57" s="312"/>
      <c r="JN57" s="312"/>
      <c r="JO57" s="312"/>
      <c r="JP57" s="312"/>
      <c r="JQ57" s="312"/>
      <c r="JR57" s="312"/>
      <c r="JS57" s="312"/>
      <c r="JT57" s="312"/>
      <c r="JU57" s="312"/>
      <c r="JV57" s="312"/>
      <c r="JW57" s="312"/>
      <c r="JX57" s="312"/>
      <c r="JY57" s="312"/>
      <c r="JZ57" s="312"/>
      <c r="KA57" s="312"/>
      <c r="KB57" s="312"/>
      <c r="KC57" s="312"/>
      <c r="KD57" s="312"/>
      <c r="KE57" s="312"/>
      <c r="KF57" s="312"/>
      <c r="KG57" s="312"/>
      <c r="KH57" s="312"/>
      <c r="KI57" s="312"/>
      <c r="KJ57" s="312"/>
      <c r="KK57" s="312"/>
      <c r="KL57" s="312"/>
      <c r="KM57" s="312"/>
      <c r="KN57" s="312"/>
      <c r="KO57" s="312"/>
      <c r="KP57" s="312"/>
      <c r="KQ57" s="312"/>
      <c r="KR57" s="312"/>
      <c r="KS57" s="312"/>
      <c r="KT57" s="312"/>
      <c r="KU57" s="312"/>
      <c r="KV57" s="312"/>
      <c r="KW57" s="312"/>
      <c r="KX57" s="312"/>
      <c r="KY57" s="312"/>
      <c r="KZ57" s="312"/>
      <c r="LA57" s="312"/>
      <c r="LB57" s="312"/>
      <c r="LC57" s="312"/>
      <c r="LD57" s="312"/>
      <c r="LE57" s="312"/>
      <c r="LF57" s="312"/>
      <c r="LG57" s="312"/>
      <c r="LH57" s="312"/>
      <c r="LI57" s="312"/>
      <c r="LJ57" s="312"/>
    </row>
    <row r="58" spans="1:322" s="393" customFormat="1">
      <c r="A58" s="397"/>
      <c r="B58" s="398"/>
      <c r="C58" s="275"/>
      <c r="D58" s="727"/>
      <c r="E58" s="357"/>
      <c r="F58" s="358"/>
      <c r="G58" s="399"/>
      <c r="H58" s="206"/>
      <c r="I58" s="206"/>
      <c r="J58" s="206"/>
      <c r="K58" s="206"/>
      <c r="L58" s="206"/>
      <c r="M58" s="400"/>
      <c r="N58" s="359"/>
      <c r="O58" s="359"/>
      <c r="P58" s="401"/>
      <c r="Q58" s="401"/>
      <c r="R58" s="360"/>
      <c r="S58" s="402"/>
      <c r="T58" s="211"/>
      <c r="U58" s="403"/>
      <c r="V58" s="217"/>
      <c r="W58" s="362"/>
      <c r="X58" s="363"/>
      <c r="Y58" s="278"/>
      <c r="Z58" s="278"/>
      <c r="AA58" s="404"/>
      <c r="AB58" s="271"/>
      <c r="AC58" s="405"/>
      <c r="AD58" s="271"/>
      <c r="AE58" s="405"/>
      <c r="AF58" s="271"/>
      <c r="AG58" s="405"/>
      <c r="AH58" s="271"/>
      <c r="AI58" s="405"/>
      <c r="AJ58" s="406"/>
      <c r="AK58" s="405"/>
      <c r="AL58" s="406"/>
      <c r="AM58" s="405"/>
      <c r="AN58" s="406"/>
      <c r="AO58" s="405"/>
      <c r="AP58" s="406"/>
      <c r="AQ58" s="405"/>
      <c r="AR58" s="406"/>
      <c r="AS58" s="405"/>
      <c r="AT58" s="406"/>
      <c r="AU58" s="405"/>
      <c r="AV58" s="406"/>
      <c r="AW58" s="405"/>
      <c r="AX58" s="407"/>
      <c r="AY58" s="366"/>
      <c r="AZ58" s="408"/>
      <c r="BA58" s="367"/>
      <c r="BB58" s="409"/>
      <c r="BC58" s="367"/>
      <c r="BD58" s="409"/>
      <c r="BE58" s="367"/>
      <c r="BF58" s="409"/>
      <c r="BG58" s="367"/>
      <c r="BH58" s="409"/>
      <c r="BI58" s="367"/>
      <c r="BJ58" s="409"/>
      <c r="BK58" s="367"/>
      <c r="BL58" s="409"/>
      <c r="BM58" s="367"/>
      <c r="BN58" s="409"/>
      <c r="BO58" s="367"/>
      <c r="BP58" s="409"/>
      <c r="BQ58" s="367"/>
      <c r="BR58" s="409"/>
      <c r="BS58" s="367"/>
      <c r="BT58" s="409"/>
      <c r="BU58" s="368"/>
      <c r="BV58" s="408"/>
      <c r="BW58" s="369"/>
      <c r="BX58" s="409"/>
      <c r="BY58" s="367"/>
      <c r="BZ58" s="409"/>
      <c r="CA58" s="367"/>
      <c r="CB58" s="409"/>
      <c r="CC58" s="367"/>
      <c r="CD58" s="409"/>
      <c r="CE58" s="367"/>
      <c r="CF58" s="409"/>
      <c r="CG58" s="367"/>
      <c r="CH58" s="409"/>
      <c r="CI58" s="367"/>
      <c r="CJ58" s="409"/>
      <c r="CK58" s="367"/>
      <c r="CL58" s="409"/>
      <c r="CM58" s="367"/>
      <c r="CN58" s="409"/>
      <c r="CO58" s="367"/>
      <c r="CP58" s="409"/>
      <c r="CQ58" s="367"/>
      <c r="CR58" s="409"/>
      <c r="CS58" s="368"/>
      <c r="CT58" s="410"/>
      <c r="CU58" s="283"/>
      <c r="CV58" s="411"/>
      <c r="CW58" s="412"/>
      <c r="CX58" s="285"/>
      <c r="CY58" s="227"/>
      <c r="CZ58" s="229"/>
      <c r="DA58" s="582"/>
      <c r="DB58" s="394"/>
      <c r="DC58" s="395"/>
      <c r="DD58" s="372"/>
      <c r="DE58" s="373"/>
      <c r="DF58" s="372"/>
      <c r="DG58" s="373"/>
      <c r="DH58" s="374"/>
      <c r="DI58" s="375"/>
      <c r="DJ58" s="413"/>
      <c r="DK58" s="377"/>
      <c r="DL58" s="378"/>
      <c r="DM58" s="379"/>
      <c r="DN58" s="233"/>
      <c r="DO58" s="233"/>
      <c r="DP58" s="233"/>
      <c r="DQ58" s="233"/>
      <c r="DR58" s="233"/>
      <c r="DS58" s="233"/>
      <c r="DT58" s="233"/>
      <c r="DU58" s="234"/>
      <c r="DV58" s="378"/>
      <c r="DW58" s="378"/>
      <c r="DX58" s="379"/>
      <c r="DY58" s="233"/>
      <c r="DZ58" s="233"/>
      <c r="EA58" s="233"/>
      <c r="EB58" s="233"/>
      <c r="EC58" s="233"/>
      <c r="ED58" s="233"/>
      <c r="EE58" s="233"/>
      <c r="EF58" s="234"/>
      <c r="EG58" s="378"/>
      <c r="EH58" s="378"/>
      <c r="EI58" s="414"/>
      <c r="EJ58" s="415"/>
      <c r="EK58" s="415"/>
      <c r="EL58" s="248"/>
      <c r="EM58" s="272"/>
      <c r="EN58" s="272"/>
      <c r="EO58" s="272"/>
      <c r="EP58" s="272"/>
      <c r="EQ58" s="272"/>
      <c r="ER58" s="272"/>
      <c r="ES58" s="272"/>
      <c r="ET58" s="272"/>
      <c r="EU58" s="297"/>
      <c r="EV58" s="298"/>
      <c r="EW58" s="272"/>
      <c r="EX58" s="272"/>
      <c r="EY58" s="272"/>
      <c r="EZ58" s="248"/>
      <c r="FA58" s="272"/>
      <c r="FB58" s="272"/>
      <c r="FC58" s="297"/>
      <c r="FD58" s="380"/>
      <c r="FE58" s="309"/>
      <c r="FF58" s="381"/>
      <c r="FG58" s="382"/>
      <c r="FH58" s="383"/>
      <c r="FI58" s="384"/>
      <c r="FJ58" s="380"/>
      <c r="FK58" s="385"/>
      <c r="FL58" s="386"/>
      <c r="FM58" s="387"/>
      <c r="FN58" s="386"/>
      <c r="FO58" s="387"/>
      <c r="FP58" s="388"/>
      <c r="FQ58" s="387"/>
      <c r="FR58" s="388"/>
      <c r="FS58" s="387"/>
      <c r="FT58" s="388"/>
      <c r="FU58" s="387"/>
      <c r="FV58" s="388"/>
      <c r="FW58" s="387"/>
      <c r="FX58" s="388"/>
      <c r="FY58" s="387"/>
      <c r="FZ58" s="388"/>
      <c r="GA58" s="387"/>
      <c r="GB58" s="388"/>
      <c r="GC58" s="387"/>
      <c r="GD58" s="388"/>
      <c r="GE58" s="387"/>
      <c r="GF58" s="388"/>
      <c r="GG58" s="389"/>
      <c r="GH58" s="390"/>
      <c r="GI58" s="387"/>
      <c r="GJ58" s="387"/>
      <c r="GK58" s="387"/>
      <c r="GL58" s="387"/>
      <c r="GM58" s="387"/>
      <c r="GN58" s="387"/>
      <c r="GO58" s="387"/>
      <c r="GP58" s="387"/>
      <c r="GQ58" s="387"/>
      <c r="GR58" s="387"/>
      <c r="GS58" s="387"/>
      <c r="GT58" s="387"/>
      <c r="GU58" s="387"/>
      <c r="GV58" s="387"/>
      <c r="GW58" s="387"/>
      <c r="GX58" s="387"/>
      <c r="GY58" s="387"/>
      <c r="GZ58" s="387"/>
      <c r="HA58" s="387"/>
      <c r="HB58" s="387"/>
      <c r="HC58" s="387"/>
      <c r="HD58" s="387"/>
      <c r="HE58" s="391"/>
      <c r="HF58" s="389"/>
      <c r="HG58" s="387"/>
      <c r="HH58" s="387"/>
      <c r="HI58" s="387"/>
      <c r="HJ58" s="387"/>
      <c r="HK58" s="387"/>
      <c r="HL58" s="387"/>
      <c r="HM58" s="387"/>
      <c r="HN58" s="387"/>
      <c r="HO58" s="387"/>
      <c r="HP58" s="387"/>
      <c r="HQ58" s="387"/>
      <c r="HR58" s="387"/>
      <c r="HS58" s="387"/>
      <c r="HT58" s="387"/>
      <c r="HU58" s="387"/>
      <c r="HV58" s="387"/>
      <c r="HW58" s="387"/>
      <c r="HX58" s="387"/>
      <c r="HY58" s="387"/>
      <c r="HZ58" s="387"/>
      <c r="IA58" s="387"/>
      <c r="IB58" s="387"/>
      <c r="IC58" s="392"/>
      <c r="ID58" s="312"/>
      <c r="IE58" s="312"/>
      <c r="IF58" s="312"/>
      <c r="IG58" s="312"/>
      <c r="IH58" s="312"/>
      <c r="II58" s="312"/>
      <c r="IJ58" s="312"/>
      <c r="IK58" s="312"/>
      <c r="IL58" s="312"/>
      <c r="IM58" s="312"/>
      <c r="IN58" s="312"/>
      <c r="IO58" s="312"/>
      <c r="IP58" s="312"/>
      <c r="IQ58" s="312"/>
      <c r="IR58" s="312"/>
      <c r="IS58" s="312"/>
      <c r="IT58" s="312"/>
      <c r="IU58" s="312"/>
      <c r="IV58" s="312"/>
      <c r="IW58" s="312"/>
      <c r="IX58" s="312"/>
      <c r="IY58" s="312"/>
      <c r="IZ58" s="312"/>
      <c r="JA58" s="312"/>
      <c r="JB58" s="312"/>
      <c r="JC58" s="312"/>
      <c r="JD58" s="312"/>
      <c r="JE58" s="312"/>
      <c r="JF58" s="312"/>
      <c r="JG58" s="312"/>
      <c r="JH58" s="312"/>
      <c r="JI58" s="312"/>
      <c r="JJ58" s="312"/>
      <c r="JK58" s="312"/>
      <c r="JL58" s="312"/>
      <c r="JM58" s="312"/>
      <c r="JN58" s="312"/>
      <c r="JO58" s="312"/>
      <c r="JP58" s="312"/>
      <c r="JQ58" s="312"/>
      <c r="JR58" s="312"/>
      <c r="JS58" s="312"/>
      <c r="JT58" s="312"/>
      <c r="JU58" s="312"/>
      <c r="JV58" s="312"/>
      <c r="JW58" s="312"/>
      <c r="JX58" s="312"/>
      <c r="JY58" s="312"/>
      <c r="JZ58" s="312"/>
      <c r="KA58" s="312"/>
      <c r="KB58" s="312"/>
      <c r="KC58" s="312"/>
      <c r="KD58" s="312"/>
      <c r="KE58" s="312"/>
      <c r="KF58" s="312"/>
      <c r="KG58" s="312"/>
      <c r="KH58" s="312"/>
      <c r="KI58" s="312"/>
      <c r="KJ58" s="312"/>
      <c r="KK58" s="312"/>
      <c r="KL58" s="312"/>
      <c r="KM58" s="312"/>
      <c r="KN58" s="312"/>
      <c r="KO58" s="312"/>
      <c r="KP58" s="312"/>
      <c r="KQ58" s="312"/>
      <c r="KR58" s="312"/>
      <c r="KS58" s="312"/>
      <c r="KT58" s="312"/>
      <c r="KU58" s="312"/>
      <c r="KV58" s="312"/>
      <c r="KW58" s="312"/>
      <c r="KX58" s="312"/>
      <c r="KY58" s="312"/>
      <c r="KZ58" s="312"/>
      <c r="LA58" s="312"/>
      <c r="LB58" s="312"/>
      <c r="LC58" s="312"/>
      <c r="LD58" s="312"/>
      <c r="LE58" s="312"/>
      <c r="LF58" s="312"/>
      <c r="LG58" s="312"/>
      <c r="LH58" s="312"/>
      <c r="LI58" s="312"/>
      <c r="LJ58" s="312"/>
    </row>
    <row r="59" spans="1:322" s="393" customFormat="1">
      <c r="A59" s="397"/>
      <c r="B59" s="398"/>
      <c r="C59" s="275"/>
      <c r="D59" s="727"/>
      <c r="E59" s="357"/>
      <c r="F59" s="358"/>
      <c r="G59" s="399"/>
      <c r="H59" s="206"/>
      <c r="I59" s="206"/>
      <c r="J59" s="206"/>
      <c r="K59" s="206"/>
      <c r="L59" s="206"/>
      <c r="M59" s="400"/>
      <c r="N59" s="359"/>
      <c r="O59" s="359"/>
      <c r="P59" s="401"/>
      <c r="Q59" s="401"/>
      <c r="R59" s="360"/>
      <c r="S59" s="402"/>
      <c r="T59" s="211"/>
      <c r="U59" s="403"/>
      <c r="V59" s="217"/>
      <c r="W59" s="362"/>
      <c r="X59" s="363"/>
      <c r="Y59" s="278"/>
      <c r="Z59" s="278"/>
      <c r="AA59" s="404"/>
      <c r="AB59" s="271"/>
      <c r="AC59" s="405"/>
      <c r="AD59" s="271"/>
      <c r="AE59" s="405"/>
      <c r="AF59" s="271"/>
      <c r="AG59" s="405"/>
      <c r="AH59" s="271"/>
      <c r="AI59" s="405"/>
      <c r="AJ59" s="406"/>
      <c r="AK59" s="405"/>
      <c r="AL59" s="406"/>
      <c r="AM59" s="405"/>
      <c r="AN59" s="406"/>
      <c r="AO59" s="405"/>
      <c r="AP59" s="406"/>
      <c r="AQ59" s="405"/>
      <c r="AR59" s="406"/>
      <c r="AS59" s="405"/>
      <c r="AT59" s="406"/>
      <c r="AU59" s="405"/>
      <c r="AV59" s="406"/>
      <c r="AW59" s="405"/>
      <c r="AX59" s="407"/>
      <c r="AY59" s="366"/>
      <c r="AZ59" s="408"/>
      <c r="BA59" s="367"/>
      <c r="BB59" s="409"/>
      <c r="BC59" s="367"/>
      <c r="BD59" s="409"/>
      <c r="BE59" s="367"/>
      <c r="BF59" s="409"/>
      <c r="BG59" s="367"/>
      <c r="BH59" s="409"/>
      <c r="BI59" s="367"/>
      <c r="BJ59" s="409"/>
      <c r="BK59" s="367"/>
      <c r="BL59" s="409"/>
      <c r="BM59" s="367"/>
      <c r="BN59" s="409"/>
      <c r="BO59" s="367"/>
      <c r="BP59" s="409"/>
      <c r="BQ59" s="367"/>
      <c r="BR59" s="409"/>
      <c r="BS59" s="367"/>
      <c r="BT59" s="409"/>
      <c r="BU59" s="368"/>
      <c r="BV59" s="408"/>
      <c r="BW59" s="369"/>
      <c r="BX59" s="409"/>
      <c r="BY59" s="367"/>
      <c r="BZ59" s="409"/>
      <c r="CA59" s="367"/>
      <c r="CB59" s="409"/>
      <c r="CC59" s="367"/>
      <c r="CD59" s="409"/>
      <c r="CE59" s="367"/>
      <c r="CF59" s="409"/>
      <c r="CG59" s="367"/>
      <c r="CH59" s="409"/>
      <c r="CI59" s="367"/>
      <c r="CJ59" s="409"/>
      <c r="CK59" s="367"/>
      <c r="CL59" s="409"/>
      <c r="CM59" s="367"/>
      <c r="CN59" s="409"/>
      <c r="CO59" s="367"/>
      <c r="CP59" s="409"/>
      <c r="CQ59" s="367"/>
      <c r="CR59" s="409"/>
      <c r="CS59" s="368"/>
      <c r="CT59" s="410"/>
      <c r="CU59" s="283"/>
      <c r="CV59" s="411"/>
      <c r="CW59" s="412"/>
      <c r="CX59" s="285"/>
      <c r="CY59" s="227"/>
      <c r="CZ59" s="229"/>
      <c r="DA59" s="582"/>
      <c r="DB59" s="394"/>
      <c r="DC59" s="395"/>
      <c r="DD59" s="372"/>
      <c r="DE59" s="373"/>
      <c r="DF59" s="372"/>
      <c r="DG59" s="373"/>
      <c r="DH59" s="374"/>
      <c r="DI59" s="375"/>
      <c r="DJ59" s="413"/>
      <c r="DK59" s="377"/>
      <c r="DL59" s="378"/>
      <c r="DM59" s="379"/>
      <c r="DN59" s="233"/>
      <c r="DO59" s="233"/>
      <c r="DP59" s="233"/>
      <c r="DQ59" s="233"/>
      <c r="DR59" s="233"/>
      <c r="DS59" s="233"/>
      <c r="DT59" s="233"/>
      <c r="DU59" s="234"/>
      <c r="DV59" s="378"/>
      <c r="DW59" s="378"/>
      <c r="DX59" s="379"/>
      <c r="DY59" s="233"/>
      <c r="DZ59" s="233"/>
      <c r="EA59" s="233"/>
      <c r="EB59" s="233"/>
      <c r="EC59" s="233"/>
      <c r="ED59" s="233"/>
      <c r="EE59" s="233"/>
      <c r="EF59" s="234"/>
      <c r="EG59" s="378"/>
      <c r="EH59" s="378"/>
      <c r="EI59" s="414"/>
      <c r="EJ59" s="415"/>
      <c r="EK59" s="415"/>
      <c r="EL59" s="248"/>
      <c r="EM59" s="272"/>
      <c r="EN59" s="272"/>
      <c r="EO59" s="272"/>
      <c r="EP59" s="272"/>
      <c r="EQ59" s="272"/>
      <c r="ER59" s="272"/>
      <c r="ES59" s="272"/>
      <c r="ET59" s="272"/>
      <c r="EU59" s="297"/>
      <c r="EV59" s="298"/>
      <c r="EW59" s="272"/>
      <c r="EX59" s="272"/>
      <c r="EY59" s="272"/>
      <c r="EZ59" s="248"/>
      <c r="FA59" s="272"/>
      <c r="FB59" s="272"/>
      <c r="FC59" s="297"/>
      <c r="FD59" s="380"/>
      <c r="FE59" s="309"/>
      <c r="FF59" s="381"/>
      <c r="FG59" s="382"/>
      <c r="FH59" s="383"/>
      <c r="FI59" s="384"/>
      <c r="FJ59" s="380"/>
      <c r="FK59" s="385"/>
      <c r="FL59" s="386"/>
      <c r="FM59" s="387"/>
      <c r="FN59" s="386"/>
      <c r="FO59" s="387"/>
      <c r="FP59" s="388"/>
      <c r="FQ59" s="387"/>
      <c r="FR59" s="388"/>
      <c r="FS59" s="387"/>
      <c r="FT59" s="388"/>
      <c r="FU59" s="387"/>
      <c r="FV59" s="388"/>
      <c r="FW59" s="387"/>
      <c r="FX59" s="388"/>
      <c r="FY59" s="387"/>
      <c r="FZ59" s="388"/>
      <c r="GA59" s="387"/>
      <c r="GB59" s="388"/>
      <c r="GC59" s="387"/>
      <c r="GD59" s="388"/>
      <c r="GE59" s="387"/>
      <c r="GF59" s="388"/>
      <c r="GG59" s="389"/>
      <c r="GH59" s="390"/>
      <c r="GI59" s="387"/>
      <c r="GJ59" s="387"/>
      <c r="GK59" s="387"/>
      <c r="GL59" s="387"/>
      <c r="GM59" s="387"/>
      <c r="GN59" s="387"/>
      <c r="GO59" s="387"/>
      <c r="GP59" s="387"/>
      <c r="GQ59" s="387"/>
      <c r="GR59" s="387"/>
      <c r="GS59" s="387"/>
      <c r="GT59" s="387"/>
      <c r="GU59" s="387"/>
      <c r="GV59" s="387"/>
      <c r="GW59" s="387"/>
      <c r="GX59" s="387"/>
      <c r="GY59" s="387"/>
      <c r="GZ59" s="387"/>
      <c r="HA59" s="387"/>
      <c r="HB59" s="387"/>
      <c r="HC59" s="387"/>
      <c r="HD59" s="387"/>
      <c r="HE59" s="391"/>
      <c r="HF59" s="389"/>
      <c r="HG59" s="387"/>
      <c r="HH59" s="387"/>
      <c r="HI59" s="387"/>
      <c r="HJ59" s="387"/>
      <c r="HK59" s="387"/>
      <c r="HL59" s="387"/>
      <c r="HM59" s="387"/>
      <c r="HN59" s="387"/>
      <c r="HO59" s="387"/>
      <c r="HP59" s="387"/>
      <c r="HQ59" s="387"/>
      <c r="HR59" s="387"/>
      <c r="HS59" s="387"/>
      <c r="HT59" s="387"/>
      <c r="HU59" s="387"/>
      <c r="HV59" s="387"/>
      <c r="HW59" s="387"/>
      <c r="HX59" s="387"/>
      <c r="HY59" s="387"/>
      <c r="HZ59" s="387"/>
      <c r="IA59" s="387"/>
      <c r="IB59" s="387"/>
      <c r="IC59" s="392"/>
      <c r="ID59" s="312"/>
      <c r="IE59" s="312"/>
      <c r="IF59" s="312"/>
      <c r="IG59" s="312"/>
      <c r="IH59" s="312"/>
      <c r="II59" s="312"/>
      <c r="IJ59" s="312"/>
      <c r="IK59" s="312"/>
      <c r="IL59" s="312"/>
      <c r="IM59" s="312"/>
      <c r="IN59" s="312"/>
      <c r="IO59" s="312"/>
      <c r="IP59" s="312"/>
      <c r="IQ59" s="312"/>
      <c r="IR59" s="312"/>
      <c r="IS59" s="312"/>
      <c r="IT59" s="312"/>
      <c r="IU59" s="312"/>
      <c r="IV59" s="312"/>
      <c r="IW59" s="312"/>
      <c r="IX59" s="312"/>
      <c r="IY59" s="312"/>
      <c r="IZ59" s="312"/>
      <c r="JA59" s="312"/>
      <c r="JB59" s="312"/>
      <c r="JC59" s="312"/>
      <c r="JD59" s="312"/>
      <c r="JE59" s="312"/>
      <c r="JF59" s="312"/>
      <c r="JG59" s="312"/>
      <c r="JH59" s="312"/>
      <c r="JI59" s="312"/>
      <c r="JJ59" s="312"/>
      <c r="JK59" s="312"/>
      <c r="JL59" s="312"/>
      <c r="JM59" s="312"/>
      <c r="JN59" s="312"/>
      <c r="JO59" s="312"/>
      <c r="JP59" s="312"/>
      <c r="JQ59" s="312"/>
      <c r="JR59" s="312"/>
      <c r="JS59" s="312"/>
      <c r="JT59" s="312"/>
      <c r="JU59" s="312"/>
      <c r="JV59" s="312"/>
      <c r="JW59" s="312"/>
      <c r="JX59" s="312"/>
      <c r="JY59" s="312"/>
      <c r="JZ59" s="312"/>
      <c r="KA59" s="312"/>
      <c r="KB59" s="312"/>
      <c r="KC59" s="312"/>
      <c r="KD59" s="312"/>
      <c r="KE59" s="312"/>
      <c r="KF59" s="312"/>
      <c r="KG59" s="312"/>
      <c r="KH59" s="312"/>
      <c r="KI59" s="312"/>
      <c r="KJ59" s="312"/>
      <c r="KK59" s="312"/>
      <c r="KL59" s="312"/>
      <c r="KM59" s="312"/>
      <c r="KN59" s="312"/>
      <c r="KO59" s="312"/>
      <c r="KP59" s="312"/>
      <c r="KQ59" s="312"/>
      <c r="KR59" s="312"/>
      <c r="KS59" s="312"/>
      <c r="KT59" s="312"/>
      <c r="KU59" s="312"/>
      <c r="KV59" s="312"/>
      <c r="KW59" s="312"/>
      <c r="KX59" s="312"/>
      <c r="KY59" s="312"/>
      <c r="KZ59" s="312"/>
      <c r="LA59" s="312"/>
      <c r="LB59" s="312"/>
      <c r="LC59" s="312"/>
      <c r="LD59" s="312"/>
      <c r="LE59" s="312"/>
      <c r="LF59" s="312"/>
      <c r="LG59" s="312"/>
      <c r="LH59" s="312"/>
      <c r="LI59" s="312"/>
      <c r="LJ59" s="312"/>
    </row>
    <row r="60" spans="1:322" s="393" customFormat="1">
      <c r="A60" s="397"/>
      <c r="B60" s="398"/>
      <c r="C60" s="275"/>
      <c r="D60" s="727"/>
      <c r="E60" s="357"/>
      <c r="F60" s="358"/>
      <c r="G60" s="399"/>
      <c r="H60" s="206"/>
      <c r="I60" s="206"/>
      <c r="J60" s="206"/>
      <c r="K60" s="206"/>
      <c r="L60" s="206"/>
      <c r="M60" s="400"/>
      <c r="N60" s="359"/>
      <c r="O60" s="359"/>
      <c r="P60" s="401"/>
      <c r="Q60" s="401"/>
      <c r="R60" s="360"/>
      <c r="S60" s="402"/>
      <c r="T60" s="211"/>
      <c r="U60" s="403"/>
      <c r="V60" s="217"/>
      <c r="W60" s="362"/>
      <c r="X60" s="363"/>
      <c r="Y60" s="278"/>
      <c r="Z60" s="278"/>
      <c r="AA60" s="404"/>
      <c r="AB60" s="271"/>
      <c r="AC60" s="405"/>
      <c r="AD60" s="271"/>
      <c r="AE60" s="405"/>
      <c r="AF60" s="271"/>
      <c r="AG60" s="405"/>
      <c r="AH60" s="271"/>
      <c r="AI60" s="405"/>
      <c r="AJ60" s="406"/>
      <c r="AK60" s="405"/>
      <c r="AL60" s="406"/>
      <c r="AM60" s="405"/>
      <c r="AN60" s="406"/>
      <c r="AO60" s="405"/>
      <c r="AP60" s="406"/>
      <c r="AQ60" s="405"/>
      <c r="AR60" s="406"/>
      <c r="AS60" s="405"/>
      <c r="AT60" s="406"/>
      <c r="AU60" s="405"/>
      <c r="AV60" s="406"/>
      <c r="AW60" s="405"/>
      <c r="AX60" s="407"/>
      <c r="AY60" s="366"/>
      <c r="AZ60" s="408"/>
      <c r="BA60" s="367"/>
      <c r="BB60" s="409"/>
      <c r="BC60" s="367"/>
      <c r="BD60" s="409"/>
      <c r="BE60" s="367"/>
      <c r="BF60" s="409"/>
      <c r="BG60" s="367"/>
      <c r="BH60" s="409"/>
      <c r="BI60" s="367"/>
      <c r="BJ60" s="409"/>
      <c r="BK60" s="367"/>
      <c r="BL60" s="409"/>
      <c r="BM60" s="367"/>
      <c r="BN60" s="409"/>
      <c r="BO60" s="367"/>
      <c r="BP60" s="409"/>
      <c r="BQ60" s="367"/>
      <c r="BR60" s="409"/>
      <c r="BS60" s="367"/>
      <c r="BT60" s="409"/>
      <c r="BU60" s="368"/>
      <c r="BV60" s="408"/>
      <c r="BW60" s="369"/>
      <c r="BX60" s="409"/>
      <c r="BY60" s="367"/>
      <c r="BZ60" s="409"/>
      <c r="CA60" s="367"/>
      <c r="CB60" s="409"/>
      <c r="CC60" s="367"/>
      <c r="CD60" s="409"/>
      <c r="CE60" s="367"/>
      <c r="CF60" s="409"/>
      <c r="CG60" s="367"/>
      <c r="CH60" s="409"/>
      <c r="CI60" s="367"/>
      <c r="CJ60" s="409"/>
      <c r="CK60" s="367"/>
      <c r="CL60" s="409"/>
      <c r="CM60" s="367"/>
      <c r="CN60" s="409"/>
      <c r="CO60" s="367"/>
      <c r="CP60" s="409"/>
      <c r="CQ60" s="367"/>
      <c r="CR60" s="409"/>
      <c r="CS60" s="368"/>
      <c r="CT60" s="410"/>
      <c r="CU60" s="283"/>
      <c r="CV60" s="411"/>
      <c r="CW60" s="412"/>
      <c r="CX60" s="285"/>
      <c r="CY60" s="227"/>
      <c r="CZ60" s="229"/>
      <c r="DA60" s="582"/>
      <c r="DB60" s="394"/>
      <c r="DC60" s="395"/>
      <c r="DD60" s="372"/>
      <c r="DE60" s="373"/>
      <c r="DF60" s="372"/>
      <c r="DG60" s="373"/>
      <c r="DH60" s="374"/>
      <c r="DI60" s="375"/>
      <c r="DJ60" s="413"/>
      <c r="DK60" s="377"/>
      <c r="DL60" s="378"/>
      <c r="DM60" s="379"/>
      <c r="DN60" s="233"/>
      <c r="DO60" s="233"/>
      <c r="DP60" s="233"/>
      <c r="DQ60" s="233"/>
      <c r="DR60" s="233"/>
      <c r="DS60" s="233"/>
      <c r="DT60" s="233"/>
      <c r="DU60" s="234"/>
      <c r="DV60" s="378"/>
      <c r="DW60" s="378"/>
      <c r="DX60" s="379"/>
      <c r="DY60" s="233"/>
      <c r="DZ60" s="233"/>
      <c r="EA60" s="233"/>
      <c r="EB60" s="233"/>
      <c r="EC60" s="233"/>
      <c r="ED60" s="233"/>
      <c r="EE60" s="233"/>
      <c r="EF60" s="234"/>
      <c r="EG60" s="378"/>
      <c r="EH60" s="378"/>
      <c r="EI60" s="414"/>
      <c r="EJ60" s="415"/>
      <c r="EK60" s="415"/>
      <c r="EL60" s="248"/>
      <c r="EM60" s="272"/>
      <c r="EN60" s="272"/>
      <c r="EO60" s="272"/>
      <c r="EP60" s="272"/>
      <c r="EQ60" s="272"/>
      <c r="ER60" s="272"/>
      <c r="ES60" s="272"/>
      <c r="ET60" s="272"/>
      <c r="EU60" s="297"/>
      <c r="EV60" s="298"/>
      <c r="EW60" s="272"/>
      <c r="EX60" s="272"/>
      <c r="EY60" s="272"/>
      <c r="EZ60" s="248"/>
      <c r="FA60" s="272"/>
      <c r="FB60" s="272"/>
      <c r="FC60" s="297"/>
      <c r="FD60" s="380"/>
      <c r="FE60" s="309"/>
      <c r="FF60" s="381"/>
      <c r="FG60" s="382"/>
      <c r="FH60" s="383"/>
      <c r="FI60" s="384"/>
      <c r="FJ60" s="380"/>
      <c r="FK60" s="385"/>
      <c r="FL60" s="386"/>
      <c r="FM60" s="387"/>
      <c r="FN60" s="386"/>
      <c r="FO60" s="387"/>
      <c r="FP60" s="388"/>
      <c r="FQ60" s="387"/>
      <c r="FR60" s="388"/>
      <c r="FS60" s="387"/>
      <c r="FT60" s="388"/>
      <c r="FU60" s="387"/>
      <c r="FV60" s="388"/>
      <c r="FW60" s="387"/>
      <c r="FX60" s="388"/>
      <c r="FY60" s="387"/>
      <c r="FZ60" s="388"/>
      <c r="GA60" s="387"/>
      <c r="GB60" s="388"/>
      <c r="GC60" s="387"/>
      <c r="GD60" s="388"/>
      <c r="GE60" s="387"/>
      <c r="GF60" s="388"/>
      <c r="GG60" s="389"/>
      <c r="GH60" s="390"/>
      <c r="GI60" s="387"/>
      <c r="GJ60" s="387"/>
      <c r="GK60" s="387"/>
      <c r="GL60" s="387"/>
      <c r="GM60" s="387"/>
      <c r="GN60" s="387"/>
      <c r="GO60" s="387"/>
      <c r="GP60" s="387"/>
      <c r="GQ60" s="387"/>
      <c r="GR60" s="387"/>
      <c r="GS60" s="387"/>
      <c r="GT60" s="387"/>
      <c r="GU60" s="387"/>
      <c r="GV60" s="387"/>
      <c r="GW60" s="387"/>
      <c r="GX60" s="387"/>
      <c r="GY60" s="387"/>
      <c r="GZ60" s="387"/>
      <c r="HA60" s="387"/>
      <c r="HB60" s="387"/>
      <c r="HC60" s="387"/>
      <c r="HD60" s="387"/>
      <c r="HE60" s="391"/>
      <c r="HF60" s="389"/>
      <c r="HG60" s="387"/>
      <c r="HH60" s="387"/>
      <c r="HI60" s="387"/>
      <c r="HJ60" s="387"/>
      <c r="HK60" s="387"/>
      <c r="HL60" s="387"/>
      <c r="HM60" s="387"/>
      <c r="HN60" s="387"/>
      <c r="HO60" s="387"/>
      <c r="HP60" s="387"/>
      <c r="HQ60" s="387"/>
      <c r="HR60" s="387"/>
      <c r="HS60" s="387"/>
      <c r="HT60" s="387"/>
      <c r="HU60" s="387"/>
      <c r="HV60" s="387"/>
      <c r="HW60" s="387"/>
      <c r="HX60" s="387"/>
      <c r="HY60" s="387"/>
      <c r="HZ60" s="387"/>
      <c r="IA60" s="387"/>
      <c r="IB60" s="387"/>
      <c r="IC60" s="392"/>
      <c r="ID60" s="312"/>
      <c r="IE60" s="312"/>
      <c r="IF60" s="312"/>
      <c r="IG60" s="312"/>
      <c r="IH60" s="312"/>
      <c r="II60" s="312"/>
      <c r="IJ60" s="312"/>
      <c r="IK60" s="312"/>
      <c r="IL60" s="312"/>
      <c r="IM60" s="312"/>
      <c r="IN60" s="312"/>
      <c r="IO60" s="312"/>
      <c r="IP60" s="312"/>
      <c r="IQ60" s="312"/>
      <c r="IR60" s="312"/>
      <c r="IS60" s="312"/>
      <c r="IT60" s="312"/>
      <c r="IU60" s="312"/>
      <c r="IV60" s="312"/>
      <c r="IW60" s="312"/>
      <c r="IX60" s="312"/>
      <c r="IY60" s="312"/>
      <c r="IZ60" s="312"/>
      <c r="JA60" s="312"/>
      <c r="JB60" s="312"/>
      <c r="JC60" s="312"/>
      <c r="JD60" s="312"/>
      <c r="JE60" s="312"/>
      <c r="JF60" s="312"/>
      <c r="JG60" s="312"/>
      <c r="JH60" s="312"/>
      <c r="JI60" s="312"/>
      <c r="JJ60" s="312"/>
      <c r="JK60" s="312"/>
      <c r="JL60" s="312"/>
      <c r="JM60" s="312"/>
      <c r="JN60" s="312"/>
      <c r="JO60" s="312"/>
      <c r="JP60" s="312"/>
      <c r="JQ60" s="312"/>
      <c r="JR60" s="312"/>
      <c r="JS60" s="312"/>
      <c r="JT60" s="312"/>
      <c r="JU60" s="312"/>
      <c r="JV60" s="312"/>
      <c r="JW60" s="312"/>
      <c r="JX60" s="312"/>
      <c r="JY60" s="312"/>
      <c r="JZ60" s="312"/>
      <c r="KA60" s="312"/>
      <c r="KB60" s="312"/>
      <c r="KC60" s="312"/>
      <c r="KD60" s="312"/>
      <c r="KE60" s="312"/>
      <c r="KF60" s="312"/>
      <c r="KG60" s="312"/>
      <c r="KH60" s="312"/>
      <c r="KI60" s="312"/>
      <c r="KJ60" s="312"/>
      <c r="KK60" s="312"/>
      <c r="KL60" s="312"/>
      <c r="KM60" s="312"/>
      <c r="KN60" s="312"/>
      <c r="KO60" s="312"/>
      <c r="KP60" s="312"/>
      <c r="KQ60" s="312"/>
      <c r="KR60" s="312"/>
      <c r="KS60" s="312"/>
      <c r="KT60" s="312"/>
      <c r="KU60" s="312"/>
      <c r="KV60" s="312"/>
      <c r="KW60" s="312"/>
      <c r="KX60" s="312"/>
      <c r="KY60" s="312"/>
      <c r="KZ60" s="312"/>
      <c r="LA60" s="312"/>
      <c r="LB60" s="312"/>
      <c r="LC60" s="312"/>
      <c r="LD60" s="312"/>
      <c r="LE60" s="312"/>
      <c r="LF60" s="312"/>
      <c r="LG60" s="312"/>
      <c r="LH60" s="312"/>
      <c r="LI60" s="312"/>
      <c r="LJ60" s="312"/>
    </row>
    <row r="61" spans="1:322" s="393" customFormat="1">
      <c r="A61" s="397"/>
      <c r="B61" s="398"/>
      <c r="C61" s="275"/>
      <c r="D61" s="727"/>
      <c r="E61" s="357"/>
      <c r="F61" s="358"/>
      <c r="G61" s="399"/>
      <c r="H61" s="206"/>
      <c r="I61" s="206"/>
      <c r="J61" s="206"/>
      <c r="K61" s="206"/>
      <c r="L61" s="206"/>
      <c r="M61" s="400"/>
      <c r="N61" s="359"/>
      <c r="O61" s="359"/>
      <c r="P61" s="401"/>
      <c r="Q61" s="401"/>
      <c r="R61" s="360"/>
      <c r="S61" s="402"/>
      <c r="T61" s="211"/>
      <c r="U61" s="403"/>
      <c r="V61" s="217"/>
      <c r="W61" s="362"/>
      <c r="X61" s="363"/>
      <c r="Y61" s="278"/>
      <c r="Z61" s="278"/>
      <c r="AA61" s="404"/>
      <c r="AB61" s="271"/>
      <c r="AC61" s="405"/>
      <c r="AD61" s="271"/>
      <c r="AE61" s="405"/>
      <c r="AF61" s="271"/>
      <c r="AG61" s="405"/>
      <c r="AH61" s="271"/>
      <c r="AI61" s="405"/>
      <c r="AJ61" s="406"/>
      <c r="AK61" s="405"/>
      <c r="AL61" s="406"/>
      <c r="AM61" s="405"/>
      <c r="AN61" s="406"/>
      <c r="AO61" s="405"/>
      <c r="AP61" s="406"/>
      <c r="AQ61" s="405"/>
      <c r="AR61" s="406"/>
      <c r="AS61" s="405"/>
      <c r="AT61" s="406"/>
      <c r="AU61" s="405"/>
      <c r="AV61" s="406"/>
      <c r="AW61" s="405"/>
      <c r="AX61" s="407"/>
      <c r="AY61" s="366"/>
      <c r="AZ61" s="408"/>
      <c r="BA61" s="367"/>
      <c r="BB61" s="409"/>
      <c r="BC61" s="367"/>
      <c r="BD61" s="409"/>
      <c r="BE61" s="367"/>
      <c r="BF61" s="409"/>
      <c r="BG61" s="367"/>
      <c r="BH61" s="409"/>
      <c r="BI61" s="367"/>
      <c r="BJ61" s="409"/>
      <c r="BK61" s="367"/>
      <c r="BL61" s="409"/>
      <c r="BM61" s="367"/>
      <c r="BN61" s="409"/>
      <c r="BO61" s="367"/>
      <c r="BP61" s="409"/>
      <c r="BQ61" s="367"/>
      <c r="BR61" s="409"/>
      <c r="BS61" s="367"/>
      <c r="BT61" s="409"/>
      <c r="BU61" s="368"/>
      <c r="BV61" s="408"/>
      <c r="BW61" s="369"/>
      <c r="BX61" s="409"/>
      <c r="BY61" s="367"/>
      <c r="BZ61" s="409"/>
      <c r="CA61" s="367"/>
      <c r="CB61" s="409"/>
      <c r="CC61" s="367"/>
      <c r="CD61" s="409"/>
      <c r="CE61" s="367"/>
      <c r="CF61" s="409"/>
      <c r="CG61" s="367"/>
      <c r="CH61" s="409"/>
      <c r="CI61" s="367"/>
      <c r="CJ61" s="409"/>
      <c r="CK61" s="367"/>
      <c r="CL61" s="409"/>
      <c r="CM61" s="367"/>
      <c r="CN61" s="409"/>
      <c r="CO61" s="367"/>
      <c r="CP61" s="409"/>
      <c r="CQ61" s="367"/>
      <c r="CR61" s="409"/>
      <c r="CS61" s="368"/>
      <c r="CT61" s="410"/>
      <c r="CU61" s="283"/>
      <c r="CV61" s="411"/>
      <c r="CW61" s="412"/>
      <c r="CX61" s="285"/>
      <c r="CY61" s="227"/>
      <c r="CZ61" s="229"/>
      <c r="DA61" s="582"/>
      <c r="DB61" s="394"/>
      <c r="DC61" s="395"/>
      <c r="DD61" s="372"/>
      <c r="DE61" s="373"/>
      <c r="DF61" s="372"/>
      <c r="DG61" s="373"/>
      <c r="DH61" s="374"/>
      <c r="DI61" s="375"/>
      <c r="DJ61" s="413"/>
      <c r="DK61" s="377"/>
      <c r="DL61" s="378"/>
      <c r="DM61" s="379"/>
      <c r="DN61" s="233"/>
      <c r="DO61" s="233"/>
      <c r="DP61" s="233"/>
      <c r="DQ61" s="233"/>
      <c r="DR61" s="233"/>
      <c r="DS61" s="233"/>
      <c r="DT61" s="233"/>
      <c r="DU61" s="234"/>
      <c r="DV61" s="378"/>
      <c r="DW61" s="378"/>
      <c r="DX61" s="379"/>
      <c r="DY61" s="233"/>
      <c r="DZ61" s="233"/>
      <c r="EA61" s="233"/>
      <c r="EB61" s="233"/>
      <c r="EC61" s="233"/>
      <c r="ED61" s="233"/>
      <c r="EE61" s="233"/>
      <c r="EF61" s="234"/>
      <c r="EG61" s="378"/>
      <c r="EH61" s="378"/>
      <c r="EI61" s="414"/>
      <c r="EJ61" s="415"/>
      <c r="EK61" s="415"/>
      <c r="EL61" s="248"/>
      <c r="EM61" s="272"/>
      <c r="EN61" s="272"/>
      <c r="EO61" s="272"/>
      <c r="EP61" s="272"/>
      <c r="EQ61" s="272"/>
      <c r="ER61" s="272"/>
      <c r="ES61" s="272"/>
      <c r="ET61" s="272"/>
      <c r="EU61" s="297"/>
      <c r="EV61" s="298"/>
      <c r="EW61" s="272"/>
      <c r="EX61" s="272"/>
      <c r="EY61" s="272"/>
      <c r="EZ61" s="248"/>
      <c r="FA61" s="272"/>
      <c r="FB61" s="272"/>
      <c r="FC61" s="297"/>
      <c r="FD61" s="380"/>
      <c r="FE61" s="309"/>
      <c r="FF61" s="381"/>
      <c r="FG61" s="382"/>
      <c r="FH61" s="383"/>
      <c r="FI61" s="384"/>
      <c r="FJ61" s="380"/>
      <c r="FK61" s="385"/>
      <c r="FL61" s="386"/>
      <c r="FM61" s="387"/>
      <c r="FN61" s="386"/>
      <c r="FO61" s="387"/>
      <c r="FP61" s="388"/>
      <c r="FQ61" s="387"/>
      <c r="FR61" s="388"/>
      <c r="FS61" s="387"/>
      <c r="FT61" s="388"/>
      <c r="FU61" s="387"/>
      <c r="FV61" s="388"/>
      <c r="FW61" s="387"/>
      <c r="FX61" s="388"/>
      <c r="FY61" s="387"/>
      <c r="FZ61" s="388"/>
      <c r="GA61" s="387"/>
      <c r="GB61" s="388"/>
      <c r="GC61" s="387"/>
      <c r="GD61" s="388"/>
      <c r="GE61" s="387"/>
      <c r="GF61" s="388"/>
      <c r="GG61" s="389"/>
      <c r="GH61" s="390"/>
      <c r="GI61" s="387"/>
      <c r="GJ61" s="387"/>
      <c r="GK61" s="387"/>
      <c r="GL61" s="387"/>
      <c r="GM61" s="387"/>
      <c r="GN61" s="387"/>
      <c r="GO61" s="387"/>
      <c r="GP61" s="387"/>
      <c r="GQ61" s="387"/>
      <c r="GR61" s="387"/>
      <c r="GS61" s="387"/>
      <c r="GT61" s="387"/>
      <c r="GU61" s="387"/>
      <c r="GV61" s="387"/>
      <c r="GW61" s="387"/>
      <c r="GX61" s="387"/>
      <c r="GY61" s="387"/>
      <c r="GZ61" s="387"/>
      <c r="HA61" s="387"/>
      <c r="HB61" s="387"/>
      <c r="HC61" s="387"/>
      <c r="HD61" s="387"/>
      <c r="HE61" s="391"/>
      <c r="HF61" s="389"/>
      <c r="HG61" s="387"/>
      <c r="HH61" s="387"/>
      <c r="HI61" s="387"/>
      <c r="HJ61" s="387"/>
      <c r="HK61" s="387"/>
      <c r="HL61" s="387"/>
      <c r="HM61" s="387"/>
      <c r="HN61" s="387"/>
      <c r="HO61" s="387"/>
      <c r="HP61" s="387"/>
      <c r="HQ61" s="387"/>
      <c r="HR61" s="387"/>
      <c r="HS61" s="387"/>
      <c r="HT61" s="387"/>
      <c r="HU61" s="387"/>
      <c r="HV61" s="387"/>
      <c r="HW61" s="387"/>
      <c r="HX61" s="387"/>
      <c r="HY61" s="387"/>
      <c r="HZ61" s="387"/>
      <c r="IA61" s="387"/>
      <c r="IB61" s="387"/>
      <c r="IC61" s="392"/>
      <c r="ID61" s="312"/>
      <c r="IE61" s="312"/>
      <c r="IF61" s="312"/>
      <c r="IG61" s="312"/>
      <c r="IH61" s="312"/>
      <c r="II61" s="312"/>
      <c r="IJ61" s="312"/>
      <c r="IK61" s="312"/>
      <c r="IL61" s="312"/>
      <c r="IM61" s="312"/>
      <c r="IN61" s="312"/>
      <c r="IO61" s="312"/>
      <c r="IP61" s="312"/>
      <c r="IQ61" s="312"/>
      <c r="IR61" s="312"/>
      <c r="IS61" s="312"/>
      <c r="IT61" s="312"/>
      <c r="IU61" s="312"/>
      <c r="IV61" s="312"/>
      <c r="IW61" s="312"/>
      <c r="IX61" s="312"/>
      <c r="IY61" s="312"/>
      <c r="IZ61" s="312"/>
      <c r="JA61" s="312"/>
      <c r="JB61" s="312"/>
      <c r="JC61" s="312"/>
      <c r="JD61" s="312"/>
      <c r="JE61" s="312"/>
      <c r="JF61" s="312"/>
      <c r="JG61" s="312"/>
      <c r="JH61" s="312"/>
      <c r="JI61" s="312"/>
      <c r="JJ61" s="312"/>
      <c r="JK61" s="312"/>
      <c r="JL61" s="312"/>
      <c r="JM61" s="312"/>
      <c r="JN61" s="312"/>
      <c r="JO61" s="312"/>
      <c r="JP61" s="312"/>
      <c r="JQ61" s="312"/>
      <c r="JR61" s="312"/>
      <c r="JS61" s="312"/>
      <c r="JT61" s="312"/>
      <c r="JU61" s="312"/>
      <c r="JV61" s="312"/>
      <c r="JW61" s="312"/>
      <c r="JX61" s="312"/>
      <c r="JY61" s="312"/>
      <c r="JZ61" s="312"/>
      <c r="KA61" s="312"/>
      <c r="KB61" s="312"/>
      <c r="KC61" s="312"/>
      <c r="KD61" s="312"/>
      <c r="KE61" s="312"/>
      <c r="KF61" s="312"/>
      <c r="KG61" s="312"/>
      <c r="KH61" s="312"/>
      <c r="KI61" s="312"/>
      <c r="KJ61" s="312"/>
      <c r="KK61" s="312"/>
      <c r="KL61" s="312"/>
      <c r="KM61" s="312"/>
      <c r="KN61" s="312"/>
      <c r="KO61" s="312"/>
      <c r="KP61" s="312"/>
      <c r="KQ61" s="312"/>
      <c r="KR61" s="312"/>
      <c r="KS61" s="312"/>
      <c r="KT61" s="312"/>
      <c r="KU61" s="312"/>
      <c r="KV61" s="312"/>
      <c r="KW61" s="312"/>
      <c r="KX61" s="312"/>
      <c r="KY61" s="312"/>
      <c r="KZ61" s="312"/>
      <c r="LA61" s="312"/>
      <c r="LB61" s="312"/>
      <c r="LC61" s="312"/>
      <c r="LD61" s="312"/>
      <c r="LE61" s="312"/>
      <c r="LF61" s="312"/>
      <c r="LG61" s="312"/>
      <c r="LH61" s="312"/>
      <c r="LI61" s="312"/>
      <c r="LJ61" s="312"/>
    </row>
    <row r="62" spans="1:322" s="393" customFormat="1">
      <c r="A62" s="397"/>
      <c r="B62" s="398"/>
      <c r="C62" s="275"/>
      <c r="D62" s="727"/>
      <c r="E62" s="357"/>
      <c r="F62" s="358"/>
      <c r="G62" s="399"/>
      <c r="H62" s="206"/>
      <c r="I62" s="206"/>
      <c r="J62" s="206"/>
      <c r="K62" s="206"/>
      <c r="L62" s="206"/>
      <c r="M62" s="400"/>
      <c r="N62" s="359"/>
      <c r="O62" s="359"/>
      <c r="P62" s="401"/>
      <c r="Q62" s="401"/>
      <c r="R62" s="360"/>
      <c r="S62" s="402"/>
      <c r="T62" s="211"/>
      <c r="U62" s="403"/>
      <c r="V62" s="217"/>
      <c r="W62" s="362"/>
      <c r="X62" s="363"/>
      <c r="Y62" s="278"/>
      <c r="Z62" s="278"/>
      <c r="AA62" s="404"/>
      <c r="AB62" s="271"/>
      <c r="AC62" s="405"/>
      <c r="AD62" s="271"/>
      <c r="AE62" s="405"/>
      <c r="AF62" s="271"/>
      <c r="AG62" s="405"/>
      <c r="AH62" s="271"/>
      <c r="AI62" s="405"/>
      <c r="AJ62" s="406"/>
      <c r="AK62" s="405"/>
      <c r="AL62" s="406"/>
      <c r="AM62" s="405"/>
      <c r="AN62" s="406"/>
      <c r="AO62" s="405"/>
      <c r="AP62" s="406"/>
      <c r="AQ62" s="405"/>
      <c r="AR62" s="406"/>
      <c r="AS62" s="405"/>
      <c r="AT62" s="406"/>
      <c r="AU62" s="405"/>
      <c r="AV62" s="406"/>
      <c r="AW62" s="405"/>
      <c r="AX62" s="407"/>
      <c r="AY62" s="366"/>
      <c r="AZ62" s="408"/>
      <c r="BA62" s="367"/>
      <c r="BB62" s="409"/>
      <c r="BC62" s="367"/>
      <c r="BD62" s="409"/>
      <c r="BE62" s="367"/>
      <c r="BF62" s="409"/>
      <c r="BG62" s="367"/>
      <c r="BH62" s="409"/>
      <c r="BI62" s="367"/>
      <c r="BJ62" s="409"/>
      <c r="BK62" s="367"/>
      <c r="BL62" s="409"/>
      <c r="BM62" s="367"/>
      <c r="BN62" s="409"/>
      <c r="BO62" s="367"/>
      <c r="BP62" s="409"/>
      <c r="BQ62" s="367"/>
      <c r="BR62" s="409"/>
      <c r="BS62" s="367"/>
      <c r="BT62" s="409"/>
      <c r="BU62" s="368"/>
      <c r="BV62" s="408"/>
      <c r="BW62" s="369"/>
      <c r="BX62" s="409"/>
      <c r="BY62" s="367"/>
      <c r="BZ62" s="409"/>
      <c r="CA62" s="367"/>
      <c r="CB62" s="409"/>
      <c r="CC62" s="367"/>
      <c r="CD62" s="409"/>
      <c r="CE62" s="367"/>
      <c r="CF62" s="409"/>
      <c r="CG62" s="367"/>
      <c r="CH62" s="409"/>
      <c r="CI62" s="367"/>
      <c r="CJ62" s="409"/>
      <c r="CK62" s="367"/>
      <c r="CL62" s="409"/>
      <c r="CM62" s="367"/>
      <c r="CN62" s="409"/>
      <c r="CO62" s="367"/>
      <c r="CP62" s="409"/>
      <c r="CQ62" s="367"/>
      <c r="CR62" s="409"/>
      <c r="CS62" s="368"/>
      <c r="CT62" s="410"/>
      <c r="CU62" s="283"/>
      <c r="CV62" s="411"/>
      <c r="CW62" s="412"/>
      <c r="CX62" s="285"/>
      <c r="CY62" s="227"/>
      <c r="CZ62" s="229"/>
      <c r="DA62" s="582"/>
      <c r="DB62" s="394"/>
      <c r="DC62" s="395"/>
      <c r="DD62" s="372"/>
      <c r="DE62" s="373"/>
      <c r="DF62" s="372"/>
      <c r="DG62" s="373"/>
      <c r="DH62" s="374"/>
      <c r="DI62" s="375"/>
      <c r="DJ62" s="413"/>
      <c r="DK62" s="377"/>
      <c r="DL62" s="378"/>
      <c r="DM62" s="379"/>
      <c r="DN62" s="233"/>
      <c r="DO62" s="233"/>
      <c r="DP62" s="233"/>
      <c r="DQ62" s="233"/>
      <c r="DR62" s="233"/>
      <c r="DS62" s="233"/>
      <c r="DT62" s="233"/>
      <c r="DU62" s="234"/>
      <c r="DV62" s="378"/>
      <c r="DW62" s="378"/>
      <c r="DX62" s="379"/>
      <c r="DY62" s="233"/>
      <c r="DZ62" s="233"/>
      <c r="EA62" s="233"/>
      <c r="EB62" s="233"/>
      <c r="EC62" s="233"/>
      <c r="ED62" s="233"/>
      <c r="EE62" s="233"/>
      <c r="EF62" s="234"/>
      <c r="EG62" s="378"/>
      <c r="EH62" s="378"/>
      <c r="EI62" s="414"/>
      <c r="EJ62" s="415"/>
      <c r="EK62" s="415"/>
      <c r="EL62" s="248"/>
      <c r="EM62" s="272"/>
      <c r="EN62" s="272"/>
      <c r="EO62" s="272"/>
      <c r="EP62" s="272"/>
      <c r="EQ62" s="272"/>
      <c r="ER62" s="272"/>
      <c r="ES62" s="272"/>
      <c r="ET62" s="272"/>
      <c r="EU62" s="297"/>
      <c r="EV62" s="298"/>
      <c r="EW62" s="272"/>
      <c r="EX62" s="272"/>
      <c r="EY62" s="272"/>
      <c r="EZ62" s="248"/>
      <c r="FA62" s="272"/>
      <c r="FB62" s="272"/>
      <c r="FC62" s="297"/>
      <c r="FD62" s="380"/>
      <c r="FE62" s="309"/>
      <c r="FF62" s="381"/>
      <c r="FG62" s="382"/>
      <c r="FH62" s="383"/>
      <c r="FI62" s="384"/>
      <c r="FJ62" s="380"/>
      <c r="FK62" s="385"/>
      <c r="FL62" s="386"/>
      <c r="FM62" s="387"/>
      <c r="FN62" s="386"/>
      <c r="FO62" s="387"/>
      <c r="FP62" s="388"/>
      <c r="FQ62" s="387"/>
      <c r="FR62" s="388"/>
      <c r="FS62" s="387"/>
      <c r="FT62" s="388"/>
      <c r="FU62" s="387"/>
      <c r="FV62" s="388"/>
      <c r="FW62" s="387"/>
      <c r="FX62" s="388"/>
      <c r="FY62" s="387"/>
      <c r="FZ62" s="388"/>
      <c r="GA62" s="387"/>
      <c r="GB62" s="388"/>
      <c r="GC62" s="387"/>
      <c r="GD62" s="388"/>
      <c r="GE62" s="387"/>
      <c r="GF62" s="388"/>
      <c r="GG62" s="389"/>
      <c r="GH62" s="390"/>
      <c r="GI62" s="387"/>
      <c r="GJ62" s="387"/>
      <c r="GK62" s="387"/>
      <c r="GL62" s="387"/>
      <c r="GM62" s="387"/>
      <c r="GN62" s="387"/>
      <c r="GO62" s="387"/>
      <c r="GP62" s="387"/>
      <c r="GQ62" s="387"/>
      <c r="GR62" s="387"/>
      <c r="GS62" s="387"/>
      <c r="GT62" s="387"/>
      <c r="GU62" s="387"/>
      <c r="GV62" s="387"/>
      <c r="GW62" s="387"/>
      <c r="GX62" s="387"/>
      <c r="GY62" s="387"/>
      <c r="GZ62" s="387"/>
      <c r="HA62" s="387"/>
      <c r="HB62" s="387"/>
      <c r="HC62" s="387"/>
      <c r="HD62" s="387"/>
      <c r="HE62" s="391"/>
      <c r="HF62" s="389"/>
      <c r="HG62" s="387"/>
      <c r="HH62" s="387"/>
      <c r="HI62" s="387"/>
      <c r="HJ62" s="387"/>
      <c r="HK62" s="387"/>
      <c r="HL62" s="387"/>
      <c r="HM62" s="387"/>
      <c r="HN62" s="387"/>
      <c r="HO62" s="387"/>
      <c r="HP62" s="387"/>
      <c r="HQ62" s="387"/>
      <c r="HR62" s="387"/>
      <c r="HS62" s="387"/>
      <c r="HT62" s="387"/>
      <c r="HU62" s="387"/>
      <c r="HV62" s="387"/>
      <c r="HW62" s="387"/>
      <c r="HX62" s="387"/>
      <c r="HY62" s="387"/>
      <c r="HZ62" s="387"/>
      <c r="IA62" s="387"/>
      <c r="IB62" s="387"/>
      <c r="IC62" s="392"/>
      <c r="ID62" s="312"/>
      <c r="IE62" s="312"/>
      <c r="IF62" s="312"/>
      <c r="IG62" s="312"/>
      <c r="IH62" s="312"/>
      <c r="II62" s="312"/>
      <c r="IJ62" s="312"/>
      <c r="IK62" s="312"/>
      <c r="IL62" s="312"/>
      <c r="IM62" s="312"/>
      <c r="IN62" s="312"/>
      <c r="IO62" s="312"/>
      <c r="IP62" s="312"/>
      <c r="IQ62" s="312"/>
      <c r="IR62" s="312"/>
      <c r="IS62" s="312"/>
      <c r="IT62" s="312"/>
      <c r="IU62" s="312"/>
      <c r="IV62" s="312"/>
      <c r="IW62" s="312"/>
      <c r="IX62" s="312"/>
      <c r="IY62" s="312"/>
      <c r="IZ62" s="312"/>
      <c r="JA62" s="312"/>
      <c r="JB62" s="312"/>
      <c r="JC62" s="312"/>
      <c r="JD62" s="312"/>
      <c r="JE62" s="312"/>
      <c r="JF62" s="312"/>
      <c r="JG62" s="312"/>
      <c r="JH62" s="312"/>
      <c r="JI62" s="312"/>
      <c r="JJ62" s="312"/>
      <c r="JK62" s="312"/>
      <c r="JL62" s="312"/>
      <c r="JM62" s="312"/>
      <c r="JN62" s="312"/>
      <c r="JO62" s="312"/>
      <c r="JP62" s="312"/>
      <c r="JQ62" s="312"/>
      <c r="JR62" s="312"/>
      <c r="JS62" s="312"/>
      <c r="JT62" s="312"/>
      <c r="JU62" s="312"/>
      <c r="JV62" s="312"/>
      <c r="JW62" s="312"/>
      <c r="JX62" s="312"/>
      <c r="JY62" s="312"/>
      <c r="JZ62" s="312"/>
      <c r="KA62" s="312"/>
      <c r="KB62" s="312"/>
      <c r="KC62" s="312"/>
      <c r="KD62" s="312"/>
      <c r="KE62" s="312"/>
      <c r="KF62" s="312"/>
      <c r="KG62" s="312"/>
      <c r="KH62" s="312"/>
      <c r="KI62" s="312"/>
      <c r="KJ62" s="312"/>
      <c r="KK62" s="312"/>
      <c r="KL62" s="312"/>
      <c r="KM62" s="312"/>
      <c r="KN62" s="312"/>
      <c r="KO62" s="312"/>
      <c r="KP62" s="312"/>
      <c r="KQ62" s="312"/>
      <c r="KR62" s="312"/>
      <c r="KS62" s="312"/>
      <c r="KT62" s="312"/>
      <c r="KU62" s="312"/>
      <c r="KV62" s="312"/>
      <c r="KW62" s="312"/>
      <c r="KX62" s="312"/>
      <c r="KY62" s="312"/>
      <c r="KZ62" s="312"/>
      <c r="LA62" s="312"/>
      <c r="LB62" s="312"/>
      <c r="LC62" s="312"/>
      <c r="LD62" s="312"/>
      <c r="LE62" s="312"/>
      <c r="LF62" s="312"/>
      <c r="LG62" s="312"/>
      <c r="LH62" s="312"/>
      <c r="LI62" s="312"/>
      <c r="LJ62" s="312"/>
    </row>
    <row r="63" spans="1:322" s="393" customFormat="1">
      <c r="A63" s="397"/>
      <c r="B63" s="398"/>
      <c r="C63" s="275"/>
      <c r="D63" s="727"/>
      <c r="E63" s="357"/>
      <c r="F63" s="358"/>
      <c r="G63" s="399"/>
      <c r="H63" s="206"/>
      <c r="I63" s="206"/>
      <c r="J63" s="206"/>
      <c r="K63" s="206"/>
      <c r="L63" s="206"/>
      <c r="M63" s="400"/>
      <c r="N63" s="359"/>
      <c r="O63" s="359"/>
      <c r="P63" s="401"/>
      <c r="Q63" s="401"/>
      <c r="R63" s="360"/>
      <c r="S63" s="402"/>
      <c r="T63" s="211"/>
      <c r="U63" s="403"/>
      <c r="V63" s="217"/>
      <c r="W63" s="362"/>
      <c r="X63" s="363"/>
      <c r="Y63" s="278"/>
      <c r="Z63" s="278"/>
      <c r="AA63" s="404"/>
      <c r="AB63" s="271"/>
      <c r="AC63" s="405"/>
      <c r="AD63" s="271"/>
      <c r="AE63" s="405"/>
      <c r="AF63" s="271"/>
      <c r="AG63" s="405"/>
      <c r="AH63" s="271"/>
      <c r="AI63" s="405"/>
      <c r="AJ63" s="406"/>
      <c r="AK63" s="405"/>
      <c r="AL63" s="406"/>
      <c r="AM63" s="405"/>
      <c r="AN63" s="406"/>
      <c r="AO63" s="405"/>
      <c r="AP63" s="406"/>
      <c r="AQ63" s="405"/>
      <c r="AR63" s="406"/>
      <c r="AS63" s="405"/>
      <c r="AT63" s="406"/>
      <c r="AU63" s="405"/>
      <c r="AV63" s="406"/>
      <c r="AW63" s="405"/>
      <c r="AX63" s="407"/>
      <c r="AY63" s="366"/>
      <c r="AZ63" s="408"/>
      <c r="BA63" s="367"/>
      <c r="BB63" s="409"/>
      <c r="BC63" s="367"/>
      <c r="BD63" s="409"/>
      <c r="BE63" s="367"/>
      <c r="BF63" s="409"/>
      <c r="BG63" s="367"/>
      <c r="BH63" s="409"/>
      <c r="BI63" s="367"/>
      <c r="BJ63" s="409"/>
      <c r="BK63" s="367"/>
      <c r="BL63" s="409"/>
      <c r="BM63" s="367"/>
      <c r="BN63" s="409"/>
      <c r="BO63" s="367"/>
      <c r="BP63" s="409"/>
      <c r="BQ63" s="367"/>
      <c r="BR63" s="409"/>
      <c r="BS63" s="367"/>
      <c r="BT63" s="409"/>
      <c r="BU63" s="368"/>
      <c r="BV63" s="408"/>
      <c r="BW63" s="369"/>
      <c r="BX63" s="409"/>
      <c r="BY63" s="367"/>
      <c r="BZ63" s="409"/>
      <c r="CA63" s="367"/>
      <c r="CB63" s="409"/>
      <c r="CC63" s="367"/>
      <c r="CD63" s="409"/>
      <c r="CE63" s="367"/>
      <c r="CF63" s="409"/>
      <c r="CG63" s="367"/>
      <c r="CH63" s="409"/>
      <c r="CI63" s="367"/>
      <c r="CJ63" s="409"/>
      <c r="CK63" s="367"/>
      <c r="CL63" s="409"/>
      <c r="CM63" s="367"/>
      <c r="CN63" s="409"/>
      <c r="CO63" s="367"/>
      <c r="CP63" s="409"/>
      <c r="CQ63" s="367"/>
      <c r="CR63" s="409"/>
      <c r="CS63" s="368"/>
      <c r="CT63" s="410"/>
      <c r="CU63" s="283"/>
      <c r="CV63" s="411"/>
      <c r="CW63" s="412"/>
      <c r="CX63" s="285"/>
      <c r="CY63" s="227"/>
      <c r="CZ63" s="229"/>
      <c r="DA63" s="582"/>
      <c r="DB63" s="394"/>
      <c r="DC63" s="395"/>
      <c r="DD63" s="372"/>
      <c r="DE63" s="373"/>
      <c r="DF63" s="372"/>
      <c r="DG63" s="373"/>
      <c r="DH63" s="374"/>
      <c r="DI63" s="375"/>
      <c r="DJ63" s="413"/>
      <c r="DK63" s="377"/>
      <c r="DL63" s="378"/>
      <c r="DM63" s="379"/>
      <c r="DN63" s="233"/>
      <c r="DO63" s="233"/>
      <c r="DP63" s="233"/>
      <c r="DQ63" s="233"/>
      <c r="DR63" s="233"/>
      <c r="DS63" s="233"/>
      <c r="DT63" s="233"/>
      <c r="DU63" s="234"/>
      <c r="DV63" s="378"/>
      <c r="DW63" s="378"/>
      <c r="DX63" s="379"/>
      <c r="DY63" s="233"/>
      <c r="DZ63" s="233"/>
      <c r="EA63" s="233"/>
      <c r="EB63" s="233"/>
      <c r="EC63" s="233"/>
      <c r="ED63" s="233"/>
      <c r="EE63" s="233"/>
      <c r="EF63" s="234"/>
      <c r="EG63" s="378"/>
      <c r="EH63" s="378"/>
      <c r="EI63" s="414"/>
      <c r="EJ63" s="415"/>
      <c r="EK63" s="415"/>
      <c r="EL63" s="248"/>
      <c r="EM63" s="272"/>
      <c r="EN63" s="272"/>
      <c r="EO63" s="272"/>
      <c r="EP63" s="272"/>
      <c r="EQ63" s="272"/>
      <c r="ER63" s="272"/>
      <c r="ES63" s="272"/>
      <c r="ET63" s="272"/>
      <c r="EU63" s="297"/>
      <c r="EV63" s="298"/>
      <c r="EW63" s="272"/>
      <c r="EX63" s="272"/>
      <c r="EY63" s="272"/>
      <c r="EZ63" s="248"/>
      <c r="FA63" s="272"/>
      <c r="FB63" s="272"/>
      <c r="FC63" s="297"/>
      <c r="FD63" s="380"/>
      <c r="FE63" s="309"/>
      <c r="FF63" s="381"/>
      <c r="FG63" s="382"/>
      <c r="FH63" s="383"/>
      <c r="FI63" s="384"/>
      <c r="FJ63" s="380"/>
      <c r="FK63" s="385"/>
      <c r="FL63" s="386"/>
      <c r="FM63" s="387"/>
      <c r="FN63" s="386"/>
      <c r="FO63" s="387"/>
      <c r="FP63" s="388"/>
      <c r="FQ63" s="387"/>
      <c r="FR63" s="388"/>
      <c r="FS63" s="387"/>
      <c r="FT63" s="388"/>
      <c r="FU63" s="387"/>
      <c r="FV63" s="388"/>
      <c r="FW63" s="387"/>
      <c r="FX63" s="388"/>
      <c r="FY63" s="387"/>
      <c r="FZ63" s="388"/>
      <c r="GA63" s="387"/>
      <c r="GB63" s="388"/>
      <c r="GC63" s="387"/>
      <c r="GD63" s="388"/>
      <c r="GE63" s="387"/>
      <c r="GF63" s="388"/>
      <c r="GG63" s="389"/>
      <c r="GH63" s="390"/>
      <c r="GI63" s="387"/>
      <c r="GJ63" s="387"/>
      <c r="GK63" s="387"/>
      <c r="GL63" s="387"/>
      <c r="GM63" s="387"/>
      <c r="GN63" s="387"/>
      <c r="GO63" s="387"/>
      <c r="GP63" s="387"/>
      <c r="GQ63" s="387"/>
      <c r="GR63" s="387"/>
      <c r="GS63" s="387"/>
      <c r="GT63" s="387"/>
      <c r="GU63" s="387"/>
      <c r="GV63" s="387"/>
      <c r="GW63" s="387"/>
      <c r="GX63" s="387"/>
      <c r="GY63" s="387"/>
      <c r="GZ63" s="387"/>
      <c r="HA63" s="387"/>
      <c r="HB63" s="387"/>
      <c r="HC63" s="387"/>
      <c r="HD63" s="387"/>
      <c r="HE63" s="391"/>
      <c r="HF63" s="389"/>
      <c r="HG63" s="387"/>
      <c r="HH63" s="387"/>
      <c r="HI63" s="387"/>
      <c r="HJ63" s="387"/>
      <c r="HK63" s="387"/>
      <c r="HL63" s="387"/>
      <c r="HM63" s="387"/>
      <c r="HN63" s="387"/>
      <c r="HO63" s="387"/>
      <c r="HP63" s="387"/>
      <c r="HQ63" s="387"/>
      <c r="HR63" s="387"/>
      <c r="HS63" s="387"/>
      <c r="HT63" s="387"/>
      <c r="HU63" s="387"/>
      <c r="HV63" s="387"/>
      <c r="HW63" s="387"/>
      <c r="HX63" s="387"/>
      <c r="HY63" s="387"/>
      <c r="HZ63" s="387"/>
      <c r="IA63" s="387"/>
      <c r="IB63" s="387"/>
      <c r="IC63" s="392"/>
      <c r="ID63" s="312"/>
      <c r="IE63" s="312"/>
      <c r="IF63" s="312"/>
      <c r="IG63" s="312"/>
      <c r="IH63" s="312"/>
      <c r="II63" s="312"/>
      <c r="IJ63" s="312"/>
      <c r="IK63" s="312"/>
      <c r="IL63" s="312"/>
      <c r="IM63" s="312"/>
      <c r="IN63" s="312"/>
      <c r="IO63" s="312"/>
      <c r="IP63" s="312"/>
      <c r="IQ63" s="312"/>
      <c r="IR63" s="312"/>
      <c r="IS63" s="312"/>
      <c r="IT63" s="312"/>
      <c r="IU63" s="312"/>
      <c r="IV63" s="312"/>
      <c r="IW63" s="312"/>
      <c r="IX63" s="312"/>
      <c r="IY63" s="312"/>
      <c r="IZ63" s="312"/>
      <c r="JA63" s="312"/>
      <c r="JB63" s="312"/>
      <c r="JC63" s="312"/>
      <c r="JD63" s="312"/>
      <c r="JE63" s="312"/>
      <c r="JF63" s="312"/>
      <c r="JG63" s="312"/>
      <c r="JH63" s="312"/>
      <c r="JI63" s="312"/>
      <c r="JJ63" s="312"/>
      <c r="JK63" s="312"/>
      <c r="JL63" s="312"/>
      <c r="JM63" s="312"/>
      <c r="JN63" s="312"/>
      <c r="JO63" s="312"/>
      <c r="JP63" s="312"/>
      <c r="JQ63" s="312"/>
      <c r="JR63" s="312"/>
      <c r="JS63" s="312"/>
      <c r="JT63" s="312"/>
      <c r="JU63" s="312"/>
      <c r="JV63" s="312"/>
      <c r="JW63" s="312"/>
      <c r="JX63" s="312"/>
      <c r="JY63" s="312"/>
      <c r="JZ63" s="312"/>
      <c r="KA63" s="312"/>
      <c r="KB63" s="312"/>
      <c r="KC63" s="312"/>
      <c r="KD63" s="312"/>
      <c r="KE63" s="312"/>
      <c r="KF63" s="312"/>
      <c r="KG63" s="312"/>
      <c r="KH63" s="312"/>
      <c r="KI63" s="312"/>
      <c r="KJ63" s="312"/>
      <c r="KK63" s="312"/>
      <c r="KL63" s="312"/>
      <c r="KM63" s="312"/>
      <c r="KN63" s="312"/>
      <c r="KO63" s="312"/>
      <c r="KP63" s="312"/>
      <c r="KQ63" s="312"/>
      <c r="KR63" s="312"/>
      <c r="KS63" s="312"/>
      <c r="KT63" s="312"/>
      <c r="KU63" s="312"/>
      <c r="KV63" s="312"/>
      <c r="KW63" s="312"/>
      <c r="KX63" s="312"/>
      <c r="KY63" s="312"/>
      <c r="KZ63" s="312"/>
      <c r="LA63" s="312"/>
      <c r="LB63" s="312"/>
      <c r="LC63" s="312"/>
      <c r="LD63" s="312"/>
      <c r="LE63" s="312"/>
      <c r="LF63" s="312"/>
      <c r="LG63" s="312"/>
      <c r="LH63" s="312"/>
      <c r="LI63" s="312"/>
      <c r="LJ63" s="312"/>
    </row>
    <row r="64" spans="1:322" s="393" customFormat="1">
      <c r="A64" s="397"/>
      <c r="B64" s="398"/>
      <c r="C64" s="275"/>
      <c r="D64" s="727"/>
      <c r="E64" s="357"/>
      <c r="F64" s="358"/>
      <c r="G64" s="399"/>
      <c r="H64" s="206"/>
      <c r="I64" s="206"/>
      <c r="J64" s="206"/>
      <c r="K64" s="206"/>
      <c r="L64" s="206"/>
      <c r="M64" s="400"/>
      <c r="N64" s="359"/>
      <c r="O64" s="359"/>
      <c r="P64" s="401"/>
      <c r="Q64" s="401"/>
      <c r="R64" s="360"/>
      <c r="S64" s="402"/>
      <c r="T64" s="211"/>
      <c r="U64" s="403"/>
      <c r="V64" s="217"/>
      <c r="W64" s="362"/>
      <c r="X64" s="363"/>
      <c r="Y64" s="278"/>
      <c r="Z64" s="278"/>
      <c r="AA64" s="404"/>
      <c r="AB64" s="271"/>
      <c r="AC64" s="405"/>
      <c r="AD64" s="271"/>
      <c r="AE64" s="405"/>
      <c r="AF64" s="271"/>
      <c r="AG64" s="405"/>
      <c r="AH64" s="271"/>
      <c r="AI64" s="405"/>
      <c r="AJ64" s="406"/>
      <c r="AK64" s="405"/>
      <c r="AL64" s="406"/>
      <c r="AM64" s="405"/>
      <c r="AN64" s="406"/>
      <c r="AO64" s="405"/>
      <c r="AP64" s="406"/>
      <c r="AQ64" s="405"/>
      <c r="AR64" s="406"/>
      <c r="AS64" s="405"/>
      <c r="AT64" s="406"/>
      <c r="AU64" s="405"/>
      <c r="AV64" s="406"/>
      <c r="AW64" s="405"/>
      <c r="AX64" s="407"/>
      <c r="AY64" s="366"/>
      <c r="AZ64" s="408"/>
      <c r="BA64" s="367"/>
      <c r="BB64" s="409"/>
      <c r="BC64" s="367"/>
      <c r="BD64" s="409"/>
      <c r="BE64" s="367"/>
      <c r="BF64" s="409"/>
      <c r="BG64" s="367"/>
      <c r="BH64" s="409"/>
      <c r="BI64" s="367"/>
      <c r="BJ64" s="409"/>
      <c r="BK64" s="367"/>
      <c r="BL64" s="409"/>
      <c r="BM64" s="367"/>
      <c r="BN64" s="409"/>
      <c r="BO64" s="367"/>
      <c r="BP64" s="409"/>
      <c r="BQ64" s="367"/>
      <c r="BR64" s="409"/>
      <c r="BS64" s="367"/>
      <c r="BT64" s="409"/>
      <c r="BU64" s="368"/>
      <c r="BV64" s="408"/>
      <c r="BW64" s="369"/>
      <c r="BX64" s="409"/>
      <c r="BY64" s="367"/>
      <c r="BZ64" s="409"/>
      <c r="CA64" s="367"/>
      <c r="CB64" s="409"/>
      <c r="CC64" s="367"/>
      <c r="CD64" s="409"/>
      <c r="CE64" s="367"/>
      <c r="CF64" s="409"/>
      <c r="CG64" s="367"/>
      <c r="CH64" s="409"/>
      <c r="CI64" s="367"/>
      <c r="CJ64" s="409"/>
      <c r="CK64" s="367"/>
      <c r="CL64" s="409"/>
      <c r="CM64" s="367"/>
      <c r="CN64" s="409"/>
      <c r="CO64" s="367"/>
      <c r="CP64" s="409"/>
      <c r="CQ64" s="367"/>
      <c r="CR64" s="409"/>
      <c r="CS64" s="368"/>
      <c r="CT64" s="410"/>
      <c r="CU64" s="283"/>
      <c r="CV64" s="411"/>
      <c r="CW64" s="412"/>
      <c r="CX64" s="285"/>
      <c r="CY64" s="227"/>
      <c r="CZ64" s="229"/>
      <c r="DA64" s="582"/>
      <c r="DB64" s="394"/>
      <c r="DC64" s="395"/>
      <c r="DD64" s="372"/>
      <c r="DE64" s="373"/>
      <c r="DF64" s="372"/>
      <c r="DG64" s="373"/>
      <c r="DH64" s="374"/>
      <c r="DI64" s="375"/>
      <c r="DJ64" s="413"/>
      <c r="DK64" s="377"/>
      <c r="DL64" s="378"/>
      <c r="DM64" s="379"/>
      <c r="DN64" s="233"/>
      <c r="DO64" s="233"/>
      <c r="DP64" s="233"/>
      <c r="DQ64" s="233"/>
      <c r="DR64" s="233"/>
      <c r="DS64" s="233"/>
      <c r="DT64" s="233"/>
      <c r="DU64" s="234"/>
      <c r="DV64" s="378"/>
      <c r="DW64" s="378"/>
      <c r="DX64" s="379"/>
      <c r="DY64" s="233"/>
      <c r="DZ64" s="233"/>
      <c r="EA64" s="233"/>
      <c r="EB64" s="233"/>
      <c r="EC64" s="233"/>
      <c r="ED64" s="233"/>
      <c r="EE64" s="233"/>
      <c r="EF64" s="234"/>
      <c r="EG64" s="378"/>
      <c r="EH64" s="378"/>
      <c r="EI64" s="414"/>
      <c r="EJ64" s="415"/>
      <c r="EK64" s="415"/>
      <c r="EL64" s="248"/>
      <c r="EM64" s="272"/>
      <c r="EN64" s="272"/>
      <c r="EO64" s="272"/>
      <c r="EP64" s="272"/>
      <c r="EQ64" s="272"/>
      <c r="ER64" s="272"/>
      <c r="ES64" s="272"/>
      <c r="ET64" s="272"/>
      <c r="EU64" s="297"/>
      <c r="EV64" s="298"/>
      <c r="EW64" s="272"/>
      <c r="EX64" s="272"/>
      <c r="EY64" s="272"/>
      <c r="EZ64" s="248"/>
      <c r="FA64" s="272"/>
      <c r="FB64" s="272"/>
      <c r="FC64" s="297"/>
      <c r="FD64" s="380"/>
      <c r="FE64" s="309"/>
      <c r="FF64" s="381"/>
      <c r="FG64" s="382"/>
      <c r="FH64" s="383"/>
      <c r="FI64" s="384"/>
      <c r="FJ64" s="380"/>
      <c r="FK64" s="385"/>
      <c r="FL64" s="386"/>
      <c r="FM64" s="387"/>
      <c r="FN64" s="386"/>
      <c r="FO64" s="387"/>
      <c r="FP64" s="388"/>
      <c r="FQ64" s="387"/>
      <c r="FR64" s="388"/>
      <c r="FS64" s="387"/>
      <c r="FT64" s="388"/>
      <c r="FU64" s="387"/>
      <c r="FV64" s="388"/>
      <c r="FW64" s="387"/>
      <c r="FX64" s="388"/>
      <c r="FY64" s="387"/>
      <c r="FZ64" s="388"/>
      <c r="GA64" s="387"/>
      <c r="GB64" s="388"/>
      <c r="GC64" s="387"/>
      <c r="GD64" s="388"/>
      <c r="GE64" s="387"/>
      <c r="GF64" s="388"/>
      <c r="GG64" s="389"/>
      <c r="GH64" s="390"/>
      <c r="GI64" s="387"/>
      <c r="GJ64" s="387"/>
      <c r="GK64" s="387"/>
      <c r="GL64" s="387"/>
      <c r="GM64" s="387"/>
      <c r="GN64" s="387"/>
      <c r="GO64" s="387"/>
      <c r="GP64" s="387"/>
      <c r="GQ64" s="387"/>
      <c r="GR64" s="387"/>
      <c r="GS64" s="387"/>
      <c r="GT64" s="387"/>
      <c r="GU64" s="387"/>
      <c r="GV64" s="387"/>
      <c r="GW64" s="387"/>
      <c r="GX64" s="387"/>
      <c r="GY64" s="387"/>
      <c r="GZ64" s="387"/>
      <c r="HA64" s="387"/>
      <c r="HB64" s="387"/>
      <c r="HC64" s="387"/>
      <c r="HD64" s="387"/>
      <c r="HE64" s="391"/>
      <c r="HF64" s="389"/>
      <c r="HG64" s="387"/>
      <c r="HH64" s="387"/>
      <c r="HI64" s="387"/>
      <c r="HJ64" s="387"/>
      <c r="HK64" s="387"/>
      <c r="HL64" s="387"/>
      <c r="HM64" s="387"/>
      <c r="HN64" s="387"/>
      <c r="HO64" s="387"/>
      <c r="HP64" s="387"/>
      <c r="HQ64" s="387"/>
      <c r="HR64" s="387"/>
      <c r="HS64" s="387"/>
      <c r="HT64" s="387"/>
      <c r="HU64" s="387"/>
      <c r="HV64" s="387"/>
      <c r="HW64" s="387"/>
      <c r="HX64" s="387"/>
      <c r="HY64" s="387"/>
      <c r="HZ64" s="387"/>
      <c r="IA64" s="387"/>
      <c r="IB64" s="387"/>
      <c r="IC64" s="392"/>
      <c r="ID64" s="312"/>
      <c r="IE64" s="312"/>
      <c r="IF64" s="312"/>
      <c r="IG64" s="312"/>
      <c r="IH64" s="312"/>
      <c r="II64" s="312"/>
      <c r="IJ64" s="312"/>
      <c r="IK64" s="312"/>
      <c r="IL64" s="312"/>
      <c r="IM64" s="312"/>
      <c r="IN64" s="312"/>
      <c r="IO64" s="312"/>
      <c r="IP64" s="312"/>
      <c r="IQ64" s="312"/>
      <c r="IR64" s="312"/>
      <c r="IS64" s="312"/>
      <c r="IT64" s="312"/>
      <c r="IU64" s="312"/>
      <c r="IV64" s="312"/>
      <c r="IW64" s="312"/>
      <c r="IX64" s="312"/>
      <c r="IY64" s="312"/>
      <c r="IZ64" s="312"/>
      <c r="JA64" s="312"/>
      <c r="JB64" s="312"/>
      <c r="JC64" s="312"/>
      <c r="JD64" s="312"/>
      <c r="JE64" s="312"/>
      <c r="JF64" s="312"/>
      <c r="JG64" s="312"/>
      <c r="JH64" s="312"/>
      <c r="JI64" s="312"/>
      <c r="JJ64" s="312"/>
      <c r="JK64" s="312"/>
      <c r="JL64" s="312"/>
      <c r="JM64" s="312"/>
      <c r="JN64" s="312"/>
      <c r="JO64" s="312"/>
      <c r="JP64" s="312"/>
      <c r="JQ64" s="312"/>
      <c r="JR64" s="312"/>
      <c r="JS64" s="312"/>
      <c r="JT64" s="312"/>
      <c r="JU64" s="312"/>
      <c r="JV64" s="312"/>
      <c r="JW64" s="312"/>
      <c r="JX64" s="312"/>
      <c r="JY64" s="312"/>
      <c r="JZ64" s="312"/>
      <c r="KA64" s="312"/>
      <c r="KB64" s="312"/>
      <c r="KC64" s="312"/>
      <c r="KD64" s="312"/>
      <c r="KE64" s="312"/>
      <c r="KF64" s="312"/>
      <c r="KG64" s="312"/>
      <c r="KH64" s="312"/>
      <c r="KI64" s="312"/>
      <c r="KJ64" s="312"/>
      <c r="KK64" s="312"/>
      <c r="KL64" s="312"/>
      <c r="KM64" s="312"/>
      <c r="KN64" s="312"/>
      <c r="KO64" s="312"/>
      <c r="KP64" s="312"/>
      <c r="KQ64" s="312"/>
      <c r="KR64" s="312"/>
      <c r="KS64" s="312"/>
      <c r="KT64" s="312"/>
      <c r="KU64" s="312"/>
      <c r="KV64" s="312"/>
      <c r="KW64" s="312"/>
      <c r="KX64" s="312"/>
      <c r="KY64" s="312"/>
      <c r="KZ64" s="312"/>
      <c r="LA64" s="312"/>
      <c r="LB64" s="312"/>
      <c r="LC64" s="312"/>
      <c r="LD64" s="312"/>
      <c r="LE64" s="312"/>
      <c r="LF64" s="312"/>
      <c r="LG64" s="312"/>
      <c r="LH64" s="312"/>
      <c r="LI64" s="312"/>
      <c r="LJ64" s="312"/>
    </row>
    <row r="65" spans="1:322" s="393" customFormat="1">
      <c r="A65" s="397"/>
      <c r="B65" s="398"/>
      <c r="C65" s="275"/>
      <c r="D65" s="727"/>
      <c r="E65" s="357"/>
      <c r="F65" s="358"/>
      <c r="G65" s="399"/>
      <c r="H65" s="206"/>
      <c r="I65" s="206"/>
      <c r="J65" s="206"/>
      <c r="K65" s="206"/>
      <c r="L65" s="206"/>
      <c r="M65" s="400"/>
      <c r="N65" s="359"/>
      <c r="O65" s="359"/>
      <c r="P65" s="401"/>
      <c r="Q65" s="401"/>
      <c r="R65" s="360"/>
      <c r="S65" s="402"/>
      <c r="T65" s="211"/>
      <c r="U65" s="403"/>
      <c r="V65" s="217"/>
      <c r="W65" s="362"/>
      <c r="X65" s="363"/>
      <c r="Y65" s="278"/>
      <c r="Z65" s="278"/>
      <c r="AA65" s="404"/>
      <c r="AB65" s="271"/>
      <c r="AC65" s="405"/>
      <c r="AD65" s="271"/>
      <c r="AE65" s="405"/>
      <c r="AF65" s="271"/>
      <c r="AG65" s="405"/>
      <c r="AH65" s="271"/>
      <c r="AI65" s="405"/>
      <c r="AJ65" s="406"/>
      <c r="AK65" s="405"/>
      <c r="AL65" s="406"/>
      <c r="AM65" s="405"/>
      <c r="AN65" s="406"/>
      <c r="AO65" s="405"/>
      <c r="AP65" s="406"/>
      <c r="AQ65" s="405"/>
      <c r="AR65" s="406"/>
      <c r="AS65" s="405"/>
      <c r="AT65" s="406"/>
      <c r="AU65" s="405"/>
      <c r="AV65" s="406"/>
      <c r="AW65" s="405"/>
      <c r="AX65" s="407"/>
      <c r="AY65" s="366"/>
      <c r="AZ65" s="408"/>
      <c r="BA65" s="367"/>
      <c r="BB65" s="409"/>
      <c r="BC65" s="367"/>
      <c r="BD65" s="409"/>
      <c r="BE65" s="367"/>
      <c r="BF65" s="409"/>
      <c r="BG65" s="367"/>
      <c r="BH65" s="409"/>
      <c r="BI65" s="367"/>
      <c r="BJ65" s="409"/>
      <c r="BK65" s="367"/>
      <c r="BL65" s="409"/>
      <c r="BM65" s="367"/>
      <c r="BN65" s="409"/>
      <c r="BO65" s="367"/>
      <c r="BP65" s="409"/>
      <c r="BQ65" s="367"/>
      <c r="BR65" s="409"/>
      <c r="BS65" s="367"/>
      <c r="BT65" s="409"/>
      <c r="BU65" s="368"/>
      <c r="BV65" s="408"/>
      <c r="BW65" s="369"/>
      <c r="BX65" s="409"/>
      <c r="BY65" s="367"/>
      <c r="BZ65" s="409"/>
      <c r="CA65" s="367"/>
      <c r="CB65" s="409"/>
      <c r="CC65" s="367"/>
      <c r="CD65" s="409"/>
      <c r="CE65" s="367"/>
      <c r="CF65" s="409"/>
      <c r="CG65" s="367"/>
      <c r="CH65" s="409"/>
      <c r="CI65" s="367"/>
      <c r="CJ65" s="409"/>
      <c r="CK65" s="367"/>
      <c r="CL65" s="409"/>
      <c r="CM65" s="367"/>
      <c r="CN65" s="409"/>
      <c r="CO65" s="367"/>
      <c r="CP65" s="409"/>
      <c r="CQ65" s="367"/>
      <c r="CR65" s="409"/>
      <c r="CS65" s="368"/>
      <c r="CT65" s="410"/>
      <c r="CU65" s="283"/>
      <c r="CV65" s="411"/>
      <c r="CW65" s="412"/>
      <c r="CX65" s="285"/>
      <c r="CY65" s="227"/>
      <c r="CZ65" s="229"/>
      <c r="DA65" s="582"/>
      <c r="DB65" s="394"/>
      <c r="DC65" s="395"/>
      <c r="DD65" s="372"/>
      <c r="DE65" s="373"/>
      <c r="DF65" s="372"/>
      <c r="DG65" s="373"/>
      <c r="DH65" s="374"/>
      <c r="DI65" s="375"/>
      <c r="DJ65" s="413"/>
      <c r="DK65" s="377"/>
      <c r="DL65" s="378"/>
      <c r="DM65" s="379"/>
      <c r="DN65" s="233"/>
      <c r="DO65" s="233"/>
      <c r="DP65" s="233"/>
      <c r="DQ65" s="233"/>
      <c r="DR65" s="233"/>
      <c r="DS65" s="233"/>
      <c r="DT65" s="233"/>
      <c r="DU65" s="234"/>
      <c r="DV65" s="378"/>
      <c r="DW65" s="378"/>
      <c r="DX65" s="379"/>
      <c r="DY65" s="233"/>
      <c r="DZ65" s="233"/>
      <c r="EA65" s="233"/>
      <c r="EB65" s="233"/>
      <c r="EC65" s="233"/>
      <c r="ED65" s="233"/>
      <c r="EE65" s="233"/>
      <c r="EF65" s="234"/>
      <c r="EG65" s="378"/>
      <c r="EH65" s="378"/>
      <c r="EI65" s="414"/>
      <c r="EJ65" s="415"/>
      <c r="EK65" s="415"/>
      <c r="EL65" s="248"/>
      <c r="EM65" s="272"/>
      <c r="EN65" s="272"/>
      <c r="EO65" s="272"/>
      <c r="EP65" s="272"/>
      <c r="EQ65" s="272"/>
      <c r="ER65" s="272"/>
      <c r="ES65" s="272"/>
      <c r="ET65" s="272"/>
      <c r="EU65" s="297"/>
      <c r="EV65" s="298"/>
      <c r="EW65" s="272"/>
      <c r="EX65" s="272"/>
      <c r="EY65" s="272"/>
      <c r="EZ65" s="248"/>
      <c r="FA65" s="272"/>
      <c r="FB65" s="272"/>
      <c r="FC65" s="297"/>
      <c r="FD65" s="380"/>
      <c r="FE65" s="309"/>
      <c r="FF65" s="381"/>
      <c r="FG65" s="382"/>
      <c r="FH65" s="383"/>
      <c r="FI65" s="384"/>
      <c r="FJ65" s="380"/>
      <c r="FK65" s="385"/>
      <c r="FL65" s="386"/>
      <c r="FM65" s="387"/>
      <c r="FN65" s="386"/>
      <c r="FO65" s="387"/>
      <c r="FP65" s="388"/>
      <c r="FQ65" s="387"/>
      <c r="FR65" s="388"/>
      <c r="FS65" s="387"/>
      <c r="FT65" s="388"/>
      <c r="FU65" s="387"/>
      <c r="FV65" s="388"/>
      <c r="FW65" s="387"/>
      <c r="FX65" s="388"/>
      <c r="FY65" s="387"/>
      <c r="FZ65" s="388"/>
      <c r="GA65" s="387"/>
      <c r="GB65" s="388"/>
      <c r="GC65" s="387"/>
      <c r="GD65" s="388"/>
      <c r="GE65" s="387"/>
      <c r="GF65" s="388"/>
      <c r="GG65" s="389"/>
      <c r="GH65" s="390"/>
      <c r="GI65" s="387"/>
      <c r="GJ65" s="387"/>
      <c r="GK65" s="387"/>
      <c r="GL65" s="387"/>
      <c r="GM65" s="387"/>
      <c r="GN65" s="387"/>
      <c r="GO65" s="387"/>
      <c r="GP65" s="387"/>
      <c r="GQ65" s="387"/>
      <c r="GR65" s="387"/>
      <c r="GS65" s="387"/>
      <c r="GT65" s="387"/>
      <c r="GU65" s="387"/>
      <c r="GV65" s="387"/>
      <c r="GW65" s="387"/>
      <c r="GX65" s="387"/>
      <c r="GY65" s="387"/>
      <c r="GZ65" s="387"/>
      <c r="HA65" s="387"/>
      <c r="HB65" s="387"/>
      <c r="HC65" s="387"/>
      <c r="HD65" s="387"/>
      <c r="HE65" s="391"/>
      <c r="HF65" s="389"/>
      <c r="HG65" s="387"/>
      <c r="HH65" s="387"/>
      <c r="HI65" s="387"/>
      <c r="HJ65" s="387"/>
      <c r="HK65" s="387"/>
      <c r="HL65" s="387"/>
      <c r="HM65" s="387"/>
      <c r="HN65" s="387"/>
      <c r="HO65" s="387"/>
      <c r="HP65" s="387"/>
      <c r="HQ65" s="387"/>
      <c r="HR65" s="387"/>
      <c r="HS65" s="387"/>
      <c r="HT65" s="387"/>
      <c r="HU65" s="387"/>
      <c r="HV65" s="387"/>
      <c r="HW65" s="387"/>
      <c r="HX65" s="387"/>
      <c r="HY65" s="387"/>
      <c r="HZ65" s="387"/>
      <c r="IA65" s="387"/>
      <c r="IB65" s="387"/>
      <c r="IC65" s="392"/>
      <c r="ID65" s="312"/>
      <c r="IE65" s="312"/>
      <c r="IF65" s="312"/>
      <c r="IG65" s="312"/>
      <c r="IH65" s="312"/>
      <c r="II65" s="312"/>
      <c r="IJ65" s="312"/>
      <c r="IK65" s="312"/>
      <c r="IL65" s="312"/>
      <c r="IM65" s="312"/>
      <c r="IN65" s="312"/>
      <c r="IO65" s="312"/>
      <c r="IP65" s="312"/>
      <c r="IQ65" s="312"/>
      <c r="IR65" s="312"/>
      <c r="IS65" s="312"/>
      <c r="IT65" s="312"/>
      <c r="IU65" s="312"/>
      <c r="IV65" s="312"/>
      <c r="IW65" s="312"/>
      <c r="IX65" s="312"/>
      <c r="IY65" s="312"/>
      <c r="IZ65" s="312"/>
      <c r="JA65" s="312"/>
      <c r="JB65" s="312"/>
      <c r="JC65" s="312"/>
      <c r="JD65" s="312"/>
      <c r="JE65" s="312"/>
      <c r="JF65" s="312"/>
      <c r="JG65" s="312"/>
      <c r="JH65" s="312"/>
      <c r="JI65" s="312"/>
      <c r="JJ65" s="312"/>
      <c r="JK65" s="312"/>
      <c r="JL65" s="312"/>
      <c r="JM65" s="312"/>
      <c r="JN65" s="312"/>
      <c r="JO65" s="312"/>
      <c r="JP65" s="312"/>
      <c r="JQ65" s="312"/>
      <c r="JR65" s="312"/>
      <c r="JS65" s="312"/>
      <c r="JT65" s="312"/>
      <c r="JU65" s="312"/>
      <c r="JV65" s="312"/>
      <c r="JW65" s="312"/>
      <c r="JX65" s="312"/>
      <c r="JY65" s="312"/>
      <c r="JZ65" s="312"/>
      <c r="KA65" s="312"/>
      <c r="KB65" s="312"/>
      <c r="KC65" s="312"/>
      <c r="KD65" s="312"/>
      <c r="KE65" s="312"/>
      <c r="KF65" s="312"/>
      <c r="KG65" s="312"/>
      <c r="KH65" s="312"/>
      <c r="KI65" s="312"/>
      <c r="KJ65" s="312"/>
      <c r="KK65" s="312"/>
      <c r="KL65" s="312"/>
      <c r="KM65" s="312"/>
      <c r="KN65" s="312"/>
      <c r="KO65" s="312"/>
      <c r="KP65" s="312"/>
      <c r="KQ65" s="312"/>
      <c r="KR65" s="312"/>
      <c r="KS65" s="312"/>
      <c r="KT65" s="312"/>
      <c r="KU65" s="312"/>
      <c r="KV65" s="312"/>
      <c r="KW65" s="312"/>
      <c r="KX65" s="312"/>
      <c r="KY65" s="312"/>
      <c r="KZ65" s="312"/>
      <c r="LA65" s="312"/>
      <c r="LB65" s="312"/>
      <c r="LC65" s="312"/>
      <c r="LD65" s="312"/>
      <c r="LE65" s="312"/>
      <c r="LF65" s="312"/>
      <c r="LG65" s="312"/>
      <c r="LH65" s="312"/>
      <c r="LI65" s="312"/>
      <c r="LJ65" s="312"/>
    </row>
    <row r="66" spans="1:322" s="393" customFormat="1">
      <c r="A66" s="397"/>
      <c r="B66" s="398"/>
      <c r="C66" s="275"/>
      <c r="D66" s="727"/>
      <c r="E66" s="357"/>
      <c r="F66" s="358"/>
      <c r="G66" s="399"/>
      <c r="H66" s="206"/>
      <c r="I66" s="206"/>
      <c r="J66" s="206"/>
      <c r="K66" s="206"/>
      <c r="L66" s="206"/>
      <c r="M66" s="400"/>
      <c r="N66" s="359"/>
      <c r="O66" s="359"/>
      <c r="P66" s="401"/>
      <c r="Q66" s="401"/>
      <c r="R66" s="360"/>
      <c r="S66" s="402"/>
      <c r="T66" s="211"/>
      <c r="U66" s="403"/>
      <c r="V66" s="217"/>
      <c r="W66" s="362"/>
      <c r="X66" s="363"/>
      <c r="Y66" s="278"/>
      <c r="Z66" s="278"/>
      <c r="AA66" s="404"/>
      <c r="AB66" s="271"/>
      <c r="AC66" s="405"/>
      <c r="AD66" s="271"/>
      <c r="AE66" s="405"/>
      <c r="AF66" s="271"/>
      <c r="AG66" s="405"/>
      <c r="AH66" s="271"/>
      <c r="AI66" s="405"/>
      <c r="AJ66" s="406"/>
      <c r="AK66" s="405"/>
      <c r="AL66" s="406"/>
      <c r="AM66" s="405"/>
      <c r="AN66" s="406"/>
      <c r="AO66" s="405"/>
      <c r="AP66" s="406"/>
      <c r="AQ66" s="405"/>
      <c r="AR66" s="406"/>
      <c r="AS66" s="405"/>
      <c r="AT66" s="406"/>
      <c r="AU66" s="405"/>
      <c r="AV66" s="406"/>
      <c r="AW66" s="405"/>
      <c r="AX66" s="407"/>
      <c r="AY66" s="366"/>
      <c r="AZ66" s="408"/>
      <c r="BA66" s="367"/>
      <c r="BB66" s="409"/>
      <c r="BC66" s="367"/>
      <c r="BD66" s="409"/>
      <c r="BE66" s="367"/>
      <c r="BF66" s="409"/>
      <c r="BG66" s="367"/>
      <c r="BH66" s="409"/>
      <c r="BI66" s="367"/>
      <c r="BJ66" s="409"/>
      <c r="BK66" s="367"/>
      <c r="BL66" s="409"/>
      <c r="BM66" s="367"/>
      <c r="BN66" s="409"/>
      <c r="BO66" s="367"/>
      <c r="BP66" s="409"/>
      <c r="BQ66" s="367"/>
      <c r="BR66" s="409"/>
      <c r="BS66" s="367"/>
      <c r="BT66" s="409"/>
      <c r="BU66" s="368"/>
      <c r="BV66" s="408"/>
      <c r="BW66" s="369"/>
      <c r="BX66" s="409"/>
      <c r="BY66" s="367"/>
      <c r="BZ66" s="409"/>
      <c r="CA66" s="367"/>
      <c r="CB66" s="409"/>
      <c r="CC66" s="367"/>
      <c r="CD66" s="409"/>
      <c r="CE66" s="367"/>
      <c r="CF66" s="409"/>
      <c r="CG66" s="367"/>
      <c r="CH66" s="409"/>
      <c r="CI66" s="367"/>
      <c r="CJ66" s="409"/>
      <c r="CK66" s="367"/>
      <c r="CL66" s="409"/>
      <c r="CM66" s="367"/>
      <c r="CN66" s="409"/>
      <c r="CO66" s="367"/>
      <c r="CP66" s="409"/>
      <c r="CQ66" s="367"/>
      <c r="CR66" s="409"/>
      <c r="CS66" s="368"/>
      <c r="CT66" s="410"/>
      <c r="CU66" s="283"/>
      <c r="CV66" s="411"/>
      <c r="CW66" s="412"/>
      <c r="CX66" s="285"/>
      <c r="CY66" s="227"/>
      <c r="CZ66" s="229"/>
      <c r="DA66" s="582"/>
      <c r="DB66" s="394"/>
      <c r="DC66" s="395"/>
      <c r="DD66" s="372"/>
      <c r="DE66" s="373"/>
      <c r="DF66" s="372"/>
      <c r="DG66" s="373"/>
      <c r="DH66" s="374"/>
      <c r="DI66" s="375"/>
      <c r="DJ66" s="413"/>
      <c r="DK66" s="377"/>
      <c r="DL66" s="378"/>
      <c r="DM66" s="379"/>
      <c r="DN66" s="233"/>
      <c r="DO66" s="233"/>
      <c r="DP66" s="233"/>
      <c r="DQ66" s="233"/>
      <c r="DR66" s="233"/>
      <c r="DS66" s="233"/>
      <c r="DT66" s="233"/>
      <c r="DU66" s="234"/>
      <c r="DV66" s="378"/>
      <c r="DW66" s="378"/>
      <c r="DX66" s="379"/>
      <c r="DY66" s="233"/>
      <c r="DZ66" s="233"/>
      <c r="EA66" s="233"/>
      <c r="EB66" s="233"/>
      <c r="EC66" s="233"/>
      <c r="ED66" s="233"/>
      <c r="EE66" s="233"/>
      <c r="EF66" s="234"/>
      <c r="EG66" s="378"/>
      <c r="EH66" s="378"/>
      <c r="EI66" s="414"/>
      <c r="EJ66" s="415"/>
      <c r="EK66" s="415"/>
      <c r="EL66" s="248"/>
      <c r="EM66" s="272"/>
      <c r="EN66" s="272"/>
      <c r="EO66" s="272"/>
      <c r="EP66" s="272"/>
      <c r="EQ66" s="272"/>
      <c r="ER66" s="272"/>
      <c r="ES66" s="272"/>
      <c r="ET66" s="272"/>
      <c r="EU66" s="297"/>
      <c r="EV66" s="298"/>
      <c r="EW66" s="272"/>
      <c r="EX66" s="272"/>
      <c r="EY66" s="272"/>
      <c r="EZ66" s="248"/>
      <c r="FA66" s="272"/>
      <c r="FB66" s="272"/>
      <c r="FC66" s="297"/>
      <c r="FD66" s="380"/>
      <c r="FE66" s="309"/>
      <c r="FF66" s="381"/>
      <c r="FG66" s="382"/>
      <c r="FH66" s="383"/>
      <c r="FI66" s="384"/>
      <c r="FJ66" s="380"/>
      <c r="FK66" s="385"/>
      <c r="FL66" s="386"/>
      <c r="FM66" s="387"/>
      <c r="FN66" s="386"/>
      <c r="FO66" s="387"/>
      <c r="FP66" s="388"/>
      <c r="FQ66" s="387"/>
      <c r="FR66" s="388"/>
      <c r="FS66" s="387"/>
      <c r="FT66" s="388"/>
      <c r="FU66" s="387"/>
      <c r="FV66" s="388"/>
      <c r="FW66" s="387"/>
      <c r="FX66" s="388"/>
      <c r="FY66" s="387"/>
      <c r="FZ66" s="388"/>
      <c r="GA66" s="387"/>
      <c r="GB66" s="388"/>
      <c r="GC66" s="387"/>
      <c r="GD66" s="388"/>
      <c r="GE66" s="387"/>
      <c r="GF66" s="388"/>
      <c r="GG66" s="389"/>
      <c r="GH66" s="390"/>
      <c r="GI66" s="387"/>
      <c r="GJ66" s="387"/>
      <c r="GK66" s="387"/>
      <c r="GL66" s="387"/>
      <c r="GM66" s="387"/>
      <c r="GN66" s="387"/>
      <c r="GO66" s="387"/>
      <c r="GP66" s="387"/>
      <c r="GQ66" s="387"/>
      <c r="GR66" s="387"/>
      <c r="GS66" s="387"/>
      <c r="GT66" s="387"/>
      <c r="GU66" s="387"/>
      <c r="GV66" s="387"/>
      <c r="GW66" s="387"/>
      <c r="GX66" s="387"/>
      <c r="GY66" s="387"/>
      <c r="GZ66" s="387"/>
      <c r="HA66" s="387"/>
      <c r="HB66" s="387"/>
      <c r="HC66" s="387"/>
      <c r="HD66" s="387"/>
      <c r="HE66" s="391"/>
      <c r="HF66" s="389"/>
      <c r="HG66" s="387"/>
      <c r="HH66" s="387"/>
      <c r="HI66" s="387"/>
      <c r="HJ66" s="387"/>
      <c r="HK66" s="387"/>
      <c r="HL66" s="387"/>
      <c r="HM66" s="387"/>
      <c r="HN66" s="387"/>
      <c r="HO66" s="387"/>
      <c r="HP66" s="387"/>
      <c r="HQ66" s="387"/>
      <c r="HR66" s="387"/>
      <c r="HS66" s="387"/>
      <c r="HT66" s="387"/>
      <c r="HU66" s="387"/>
      <c r="HV66" s="387"/>
      <c r="HW66" s="387"/>
      <c r="HX66" s="387"/>
      <c r="HY66" s="387"/>
      <c r="HZ66" s="387"/>
      <c r="IA66" s="387"/>
      <c r="IB66" s="387"/>
      <c r="IC66" s="392"/>
      <c r="ID66" s="312"/>
      <c r="IE66" s="312"/>
      <c r="IF66" s="312"/>
      <c r="IG66" s="312"/>
      <c r="IH66" s="312"/>
      <c r="II66" s="312"/>
      <c r="IJ66" s="312"/>
      <c r="IK66" s="312"/>
      <c r="IL66" s="312"/>
      <c r="IM66" s="312"/>
      <c r="IN66" s="312"/>
      <c r="IO66" s="312"/>
      <c r="IP66" s="312"/>
      <c r="IQ66" s="312"/>
      <c r="IR66" s="312"/>
      <c r="IS66" s="312"/>
      <c r="IT66" s="312"/>
      <c r="IU66" s="312"/>
      <c r="IV66" s="312"/>
      <c r="IW66" s="312"/>
      <c r="IX66" s="312"/>
      <c r="IY66" s="312"/>
      <c r="IZ66" s="312"/>
      <c r="JA66" s="312"/>
      <c r="JB66" s="312"/>
      <c r="JC66" s="312"/>
      <c r="JD66" s="312"/>
      <c r="JE66" s="312"/>
      <c r="JF66" s="312"/>
      <c r="JG66" s="312"/>
      <c r="JH66" s="312"/>
      <c r="JI66" s="312"/>
      <c r="JJ66" s="312"/>
      <c r="JK66" s="312"/>
      <c r="JL66" s="312"/>
      <c r="JM66" s="312"/>
      <c r="JN66" s="312"/>
      <c r="JO66" s="312"/>
      <c r="JP66" s="312"/>
      <c r="JQ66" s="312"/>
      <c r="JR66" s="312"/>
      <c r="JS66" s="312"/>
      <c r="JT66" s="312"/>
      <c r="JU66" s="312"/>
      <c r="JV66" s="312"/>
      <c r="JW66" s="312"/>
      <c r="JX66" s="312"/>
      <c r="JY66" s="312"/>
      <c r="JZ66" s="312"/>
      <c r="KA66" s="312"/>
      <c r="KB66" s="312"/>
      <c r="KC66" s="312"/>
      <c r="KD66" s="312"/>
      <c r="KE66" s="312"/>
      <c r="KF66" s="312"/>
      <c r="KG66" s="312"/>
      <c r="KH66" s="312"/>
      <c r="KI66" s="312"/>
      <c r="KJ66" s="312"/>
      <c r="KK66" s="312"/>
      <c r="KL66" s="312"/>
      <c r="KM66" s="312"/>
      <c r="KN66" s="312"/>
      <c r="KO66" s="312"/>
      <c r="KP66" s="312"/>
      <c r="KQ66" s="312"/>
      <c r="KR66" s="312"/>
      <c r="KS66" s="312"/>
      <c r="KT66" s="312"/>
      <c r="KU66" s="312"/>
      <c r="KV66" s="312"/>
      <c r="KW66" s="312"/>
      <c r="KX66" s="312"/>
      <c r="KY66" s="312"/>
      <c r="KZ66" s="312"/>
      <c r="LA66" s="312"/>
      <c r="LB66" s="312"/>
      <c r="LC66" s="312"/>
      <c r="LD66" s="312"/>
      <c r="LE66" s="312"/>
      <c r="LF66" s="312"/>
      <c r="LG66" s="312"/>
      <c r="LH66" s="312"/>
      <c r="LI66" s="312"/>
      <c r="LJ66" s="312"/>
    </row>
    <row r="67" spans="1:322" s="393" customFormat="1">
      <c r="A67" s="397"/>
      <c r="B67" s="398"/>
      <c r="C67" s="275"/>
      <c r="D67" s="727"/>
      <c r="E67" s="357"/>
      <c r="F67" s="358"/>
      <c r="G67" s="399"/>
      <c r="H67" s="206"/>
      <c r="I67" s="206"/>
      <c r="J67" s="206"/>
      <c r="K67" s="206"/>
      <c r="L67" s="206"/>
      <c r="M67" s="400"/>
      <c r="N67" s="359"/>
      <c r="O67" s="359"/>
      <c r="P67" s="401"/>
      <c r="Q67" s="401"/>
      <c r="R67" s="360"/>
      <c r="S67" s="402"/>
      <c r="T67" s="211"/>
      <c r="U67" s="403"/>
      <c r="V67" s="217"/>
      <c r="W67" s="362"/>
      <c r="X67" s="363"/>
      <c r="Y67" s="278"/>
      <c r="Z67" s="278"/>
      <c r="AA67" s="404"/>
      <c r="AB67" s="271"/>
      <c r="AC67" s="405"/>
      <c r="AD67" s="271"/>
      <c r="AE67" s="405"/>
      <c r="AF67" s="271"/>
      <c r="AG67" s="405"/>
      <c r="AH67" s="271"/>
      <c r="AI67" s="405"/>
      <c r="AJ67" s="406"/>
      <c r="AK67" s="405"/>
      <c r="AL67" s="406"/>
      <c r="AM67" s="405"/>
      <c r="AN67" s="406"/>
      <c r="AO67" s="405"/>
      <c r="AP67" s="406"/>
      <c r="AQ67" s="405"/>
      <c r="AR67" s="406"/>
      <c r="AS67" s="405"/>
      <c r="AT67" s="406"/>
      <c r="AU67" s="405"/>
      <c r="AV67" s="406"/>
      <c r="AW67" s="405"/>
      <c r="AX67" s="407"/>
      <c r="AY67" s="366"/>
      <c r="AZ67" s="408"/>
      <c r="BA67" s="367"/>
      <c r="BB67" s="409"/>
      <c r="BC67" s="367"/>
      <c r="BD67" s="409"/>
      <c r="BE67" s="367"/>
      <c r="BF67" s="409"/>
      <c r="BG67" s="367"/>
      <c r="BH67" s="409"/>
      <c r="BI67" s="367"/>
      <c r="BJ67" s="409"/>
      <c r="BK67" s="367"/>
      <c r="BL67" s="409"/>
      <c r="BM67" s="367"/>
      <c r="BN67" s="409"/>
      <c r="BO67" s="367"/>
      <c r="BP67" s="409"/>
      <c r="BQ67" s="367"/>
      <c r="BR67" s="409"/>
      <c r="BS67" s="367"/>
      <c r="BT67" s="409"/>
      <c r="BU67" s="368"/>
      <c r="BV67" s="408"/>
      <c r="BW67" s="369"/>
      <c r="BX67" s="409"/>
      <c r="BY67" s="367"/>
      <c r="BZ67" s="409"/>
      <c r="CA67" s="367"/>
      <c r="CB67" s="409"/>
      <c r="CC67" s="367"/>
      <c r="CD67" s="409"/>
      <c r="CE67" s="367"/>
      <c r="CF67" s="409"/>
      <c r="CG67" s="367"/>
      <c r="CH67" s="409"/>
      <c r="CI67" s="367"/>
      <c r="CJ67" s="409"/>
      <c r="CK67" s="367"/>
      <c r="CL67" s="409"/>
      <c r="CM67" s="367"/>
      <c r="CN67" s="409"/>
      <c r="CO67" s="367"/>
      <c r="CP67" s="409"/>
      <c r="CQ67" s="367"/>
      <c r="CR67" s="409"/>
      <c r="CS67" s="368"/>
      <c r="CT67" s="410"/>
      <c r="CU67" s="283"/>
      <c r="CV67" s="411"/>
      <c r="CW67" s="412"/>
      <c r="CX67" s="285"/>
      <c r="CY67" s="227"/>
      <c r="CZ67" s="229"/>
      <c r="DA67" s="582"/>
      <c r="DB67" s="394"/>
      <c r="DC67" s="395"/>
      <c r="DD67" s="372"/>
      <c r="DE67" s="373"/>
      <c r="DF67" s="372"/>
      <c r="DG67" s="373"/>
      <c r="DH67" s="374"/>
      <c r="DI67" s="375"/>
      <c r="DJ67" s="413"/>
      <c r="DK67" s="377"/>
      <c r="DL67" s="378"/>
      <c r="DM67" s="379"/>
      <c r="DN67" s="233"/>
      <c r="DO67" s="233"/>
      <c r="DP67" s="233"/>
      <c r="DQ67" s="233"/>
      <c r="DR67" s="233"/>
      <c r="DS67" s="233"/>
      <c r="DT67" s="233"/>
      <c r="DU67" s="234"/>
      <c r="DV67" s="378"/>
      <c r="DW67" s="378"/>
      <c r="DX67" s="379"/>
      <c r="DY67" s="233"/>
      <c r="DZ67" s="233"/>
      <c r="EA67" s="233"/>
      <c r="EB67" s="233"/>
      <c r="EC67" s="233"/>
      <c r="ED67" s="233"/>
      <c r="EE67" s="233"/>
      <c r="EF67" s="234"/>
      <c r="EG67" s="378"/>
      <c r="EH67" s="378"/>
      <c r="EI67" s="414"/>
      <c r="EJ67" s="415"/>
      <c r="EK67" s="415"/>
      <c r="EL67" s="248"/>
      <c r="EM67" s="272"/>
      <c r="EN67" s="272"/>
      <c r="EO67" s="272"/>
      <c r="EP67" s="272"/>
      <c r="EQ67" s="272"/>
      <c r="ER67" s="272"/>
      <c r="ES67" s="272"/>
      <c r="ET67" s="272"/>
      <c r="EU67" s="297"/>
      <c r="EV67" s="298"/>
      <c r="EW67" s="272"/>
      <c r="EX67" s="272"/>
      <c r="EY67" s="272"/>
      <c r="EZ67" s="248"/>
      <c r="FA67" s="272"/>
      <c r="FB67" s="272"/>
      <c r="FC67" s="297"/>
      <c r="FD67" s="380"/>
      <c r="FE67" s="309"/>
      <c r="FF67" s="381"/>
      <c r="FG67" s="382"/>
      <c r="FH67" s="383"/>
      <c r="FI67" s="384"/>
      <c r="FJ67" s="380"/>
      <c r="FK67" s="385"/>
      <c r="FL67" s="386"/>
      <c r="FM67" s="387"/>
      <c r="FN67" s="386"/>
      <c r="FO67" s="387"/>
      <c r="FP67" s="388"/>
      <c r="FQ67" s="387"/>
      <c r="FR67" s="388"/>
      <c r="FS67" s="387"/>
      <c r="FT67" s="388"/>
      <c r="FU67" s="387"/>
      <c r="FV67" s="388"/>
      <c r="FW67" s="387"/>
      <c r="FX67" s="388"/>
      <c r="FY67" s="387"/>
      <c r="FZ67" s="388"/>
      <c r="GA67" s="387"/>
      <c r="GB67" s="388"/>
      <c r="GC67" s="387"/>
      <c r="GD67" s="388"/>
      <c r="GE67" s="387"/>
      <c r="GF67" s="388"/>
      <c r="GG67" s="389"/>
      <c r="GH67" s="390"/>
      <c r="GI67" s="387"/>
      <c r="GJ67" s="387"/>
      <c r="GK67" s="387"/>
      <c r="GL67" s="387"/>
      <c r="GM67" s="387"/>
      <c r="GN67" s="387"/>
      <c r="GO67" s="387"/>
      <c r="GP67" s="387"/>
      <c r="GQ67" s="387"/>
      <c r="GR67" s="387"/>
      <c r="GS67" s="387"/>
      <c r="GT67" s="387"/>
      <c r="GU67" s="387"/>
      <c r="GV67" s="387"/>
      <c r="GW67" s="387"/>
      <c r="GX67" s="387"/>
      <c r="GY67" s="387"/>
      <c r="GZ67" s="387"/>
      <c r="HA67" s="387"/>
      <c r="HB67" s="387"/>
      <c r="HC67" s="387"/>
      <c r="HD67" s="387"/>
      <c r="HE67" s="391"/>
      <c r="HF67" s="389"/>
      <c r="HG67" s="387"/>
      <c r="HH67" s="387"/>
      <c r="HI67" s="387"/>
      <c r="HJ67" s="387"/>
      <c r="HK67" s="387"/>
      <c r="HL67" s="387"/>
      <c r="HM67" s="387"/>
      <c r="HN67" s="387"/>
      <c r="HO67" s="387"/>
      <c r="HP67" s="387"/>
      <c r="HQ67" s="387"/>
      <c r="HR67" s="387"/>
      <c r="HS67" s="387"/>
      <c r="HT67" s="387"/>
      <c r="HU67" s="387"/>
      <c r="HV67" s="387"/>
      <c r="HW67" s="387"/>
      <c r="HX67" s="387"/>
      <c r="HY67" s="387"/>
      <c r="HZ67" s="387"/>
      <c r="IA67" s="387"/>
      <c r="IB67" s="387"/>
      <c r="IC67" s="392"/>
      <c r="ID67" s="312"/>
      <c r="IE67" s="312"/>
      <c r="IF67" s="312"/>
      <c r="IG67" s="312"/>
      <c r="IH67" s="312"/>
      <c r="II67" s="312"/>
      <c r="IJ67" s="312"/>
      <c r="IK67" s="312"/>
      <c r="IL67" s="312"/>
      <c r="IM67" s="312"/>
      <c r="IN67" s="312"/>
      <c r="IO67" s="312"/>
      <c r="IP67" s="312"/>
      <c r="IQ67" s="312"/>
      <c r="IR67" s="312"/>
      <c r="IS67" s="312"/>
      <c r="IT67" s="312"/>
      <c r="IU67" s="312"/>
      <c r="IV67" s="312"/>
      <c r="IW67" s="312"/>
      <c r="IX67" s="312"/>
      <c r="IY67" s="312"/>
      <c r="IZ67" s="312"/>
      <c r="JA67" s="312"/>
      <c r="JB67" s="312"/>
      <c r="JC67" s="312"/>
      <c r="JD67" s="312"/>
      <c r="JE67" s="312"/>
      <c r="JF67" s="312"/>
      <c r="JG67" s="312"/>
      <c r="JH67" s="312"/>
      <c r="JI67" s="312"/>
      <c r="JJ67" s="312"/>
      <c r="JK67" s="312"/>
      <c r="JL67" s="312"/>
      <c r="JM67" s="312"/>
      <c r="JN67" s="312"/>
      <c r="JO67" s="312"/>
      <c r="JP67" s="312"/>
      <c r="JQ67" s="312"/>
      <c r="JR67" s="312"/>
      <c r="JS67" s="312"/>
      <c r="JT67" s="312"/>
      <c r="JU67" s="312"/>
      <c r="JV67" s="312"/>
      <c r="JW67" s="312"/>
      <c r="JX67" s="312"/>
      <c r="JY67" s="312"/>
      <c r="JZ67" s="312"/>
      <c r="KA67" s="312"/>
      <c r="KB67" s="312"/>
      <c r="KC67" s="312"/>
      <c r="KD67" s="312"/>
      <c r="KE67" s="312"/>
      <c r="KF67" s="312"/>
      <c r="KG67" s="312"/>
      <c r="KH67" s="312"/>
      <c r="KI67" s="312"/>
      <c r="KJ67" s="312"/>
      <c r="KK67" s="312"/>
      <c r="KL67" s="312"/>
      <c r="KM67" s="312"/>
      <c r="KN67" s="312"/>
      <c r="KO67" s="312"/>
      <c r="KP67" s="312"/>
      <c r="KQ67" s="312"/>
      <c r="KR67" s="312"/>
      <c r="KS67" s="312"/>
      <c r="KT67" s="312"/>
      <c r="KU67" s="312"/>
      <c r="KV67" s="312"/>
      <c r="KW67" s="312"/>
      <c r="KX67" s="312"/>
      <c r="KY67" s="312"/>
      <c r="KZ67" s="312"/>
      <c r="LA67" s="312"/>
      <c r="LB67" s="312"/>
      <c r="LC67" s="312"/>
      <c r="LD67" s="312"/>
      <c r="LE67" s="312"/>
      <c r="LF67" s="312"/>
      <c r="LG67" s="312"/>
      <c r="LH67" s="312"/>
      <c r="LI67" s="312"/>
      <c r="LJ67" s="312"/>
    </row>
    <row r="68" spans="1:322" s="393" customFormat="1">
      <c r="A68" s="397"/>
      <c r="B68" s="398"/>
      <c r="C68" s="275"/>
      <c r="D68" s="727"/>
      <c r="E68" s="357"/>
      <c r="F68" s="358"/>
      <c r="G68" s="399"/>
      <c r="H68" s="206"/>
      <c r="I68" s="206"/>
      <c r="J68" s="206"/>
      <c r="K68" s="206"/>
      <c r="L68" s="206"/>
      <c r="M68" s="400"/>
      <c r="N68" s="359"/>
      <c r="O68" s="359"/>
      <c r="P68" s="401"/>
      <c r="Q68" s="401"/>
      <c r="R68" s="360"/>
      <c r="S68" s="402"/>
      <c r="T68" s="211"/>
      <c r="U68" s="403"/>
      <c r="V68" s="217"/>
      <c r="W68" s="362"/>
      <c r="X68" s="363"/>
      <c r="Y68" s="278"/>
      <c r="Z68" s="278"/>
      <c r="AA68" s="404"/>
      <c r="AB68" s="271"/>
      <c r="AC68" s="405"/>
      <c r="AD68" s="271"/>
      <c r="AE68" s="405"/>
      <c r="AF68" s="271"/>
      <c r="AG68" s="405"/>
      <c r="AH68" s="271"/>
      <c r="AI68" s="405"/>
      <c r="AJ68" s="406"/>
      <c r="AK68" s="405"/>
      <c r="AL68" s="406"/>
      <c r="AM68" s="405"/>
      <c r="AN68" s="406"/>
      <c r="AO68" s="405"/>
      <c r="AP68" s="406"/>
      <c r="AQ68" s="405"/>
      <c r="AR68" s="406"/>
      <c r="AS68" s="405"/>
      <c r="AT68" s="406"/>
      <c r="AU68" s="405"/>
      <c r="AV68" s="406"/>
      <c r="AW68" s="405"/>
      <c r="AX68" s="407"/>
      <c r="AY68" s="366"/>
      <c r="AZ68" s="408"/>
      <c r="BA68" s="367"/>
      <c r="BB68" s="409"/>
      <c r="BC68" s="367"/>
      <c r="BD68" s="409"/>
      <c r="BE68" s="367"/>
      <c r="BF68" s="409"/>
      <c r="BG68" s="367"/>
      <c r="BH68" s="409"/>
      <c r="BI68" s="367"/>
      <c r="BJ68" s="409"/>
      <c r="BK68" s="367"/>
      <c r="BL68" s="409"/>
      <c r="BM68" s="367"/>
      <c r="BN68" s="409"/>
      <c r="BO68" s="367"/>
      <c r="BP68" s="409"/>
      <c r="BQ68" s="367"/>
      <c r="BR68" s="409"/>
      <c r="BS68" s="367"/>
      <c r="BT68" s="409"/>
      <c r="BU68" s="368"/>
      <c r="BV68" s="408"/>
      <c r="BW68" s="369"/>
      <c r="BX68" s="409"/>
      <c r="BY68" s="367"/>
      <c r="BZ68" s="409"/>
      <c r="CA68" s="367"/>
      <c r="CB68" s="409"/>
      <c r="CC68" s="367"/>
      <c r="CD68" s="409"/>
      <c r="CE68" s="367"/>
      <c r="CF68" s="409"/>
      <c r="CG68" s="367"/>
      <c r="CH68" s="409"/>
      <c r="CI68" s="367"/>
      <c r="CJ68" s="409"/>
      <c r="CK68" s="367"/>
      <c r="CL68" s="409"/>
      <c r="CM68" s="367"/>
      <c r="CN68" s="409"/>
      <c r="CO68" s="367"/>
      <c r="CP68" s="409"/>
      <c r="CQ68" s="367"/>
      <c r="CR68" s="409"/>
      <c r="CS68" s="368"/>
      <c r="CT68" s="410"/>
      <c r="CU68" s="283"/>
      <c r="CV68" s="411"/>
      <c r="CW68" s="412"/>
      <c r="CX68" s="285"/>
      <c r="CY68" s="227"/>
      <c r="CZ68" s="229"/>
      <c r="DA68" s="582"/>
      <c r="DB68" s="394"/>
      <c r="DC68" s="395"/>
      <c r="DD68" s="372"/>
      <c r="DE68" s="373"/>
      <c r="DF68" s="372"/>
      <c r="DG68" s="373"/>
      <c r="DH68" s="374"/>
      <c r="DI68" s="375"/>
      <c r="DJ68" s="413"/>
      <c r="DK68" s="377"/>
      <c r="DL68" s="378"/>
      <c r="DM68" s="379"/>
      <c r="DN68" s="233"/>
      <c r="DO68" s="233"/>
      <c r="DP68" s="233"/>
      <c r="DQ68" s="233"/>
      <c r="DR68" s="233"/>
      <c r="DS68" s="233"/>
      <c r="DT68" s="233"/>
      <c r="DU68" s="234"/>
      <c r="DV68" s="378"/>
      <c r="DW68" s="378"/>
      <c r="DX68" s="379"/>
      <c r="DY68" s="233"/>
      <c r="DZ68" s="233"/>
      <c r="EA68" s="233"/>
      <c r="EB68" s="233"/>
      <c r="EC68" s="233"/>
      <c r="ED68" s="233"/>
      <c r="EE68" s="233"/>
      <c r="EF68" s="234"/>
      <c r="EG68" s="378"/>
      <c r="EH68" s="378"/>
      <c r="EI68" s="414"/>
      <c r="EJ68" s="415"/>
      <c r="EK68" s="415"/>
      <c r="EL68" s="248"/>
      <c r="EM68" s="272"/>
      <c r="EN68" s="272"/>
      <c r="EO68" s="272"/>
      <c r="EP68" s="272"/>
      <c r="EQ68" s="272"/>
      <c r="ER68" s="272"/>
      <c r="ES68" s="272"/>
      <c r="ET68" s="272"/>
      <c r="EU68" s="297"/>
      <c r="EV68" s="298"/>
      <c r="EW68" s="272"/>
      <c r="EX68" s="272"/>
      <c r="EY68" s="272"/>
      <c r="EZ68" s="248"/>
      <c r="FA68" s="272"/>
      <c r="FB68" s="272"/>
      <c r="FC68" s="297"/>
      <c r="FD68" s="380"/>
      <c r="FE68" s="309"/>
      <c r="FF68" s="381"/>
      <c r="FG68" s="382"/>
      <c r="FH68" s="383"/>
      <c r="FI68" s="384"/>
      <c r="FJ68" s="380"/>
      <c r="FK68" s="385"/>
      <c r="FL68" s="386"/>
      <c r="FM68" s="387"/>
      <c r="FN68" s="386"/>
      <c r="FO68" s="387"/>
      <c r="FP68" s="388"/>
      <c r="FQ68" s="387"/>
      <c r="FR68" s="388"/>
      <c r="FS68" s="387"/>
      <c r="FT68" s="388"/>
      <c r="FU68" s="387"/>
      <c r="FV68" s="388"/>
      <c r="FW68" s="387"/>
      <c r="FX68" s="388"/>
      <c r="FY68" s="387"/>
      <c r="FZ68" s="388"/>
      <c r="GA68" s="387"/>
      <c r="GB68" s="388"/>
      <c r="GC68" s="387"/>
      <c r="GD68" s="388"/>
      <c r="GE68" s="387"/>
      <c r="GF68" s="388"/>
      <c r="GG68" s="389"/>
      <c r="GH68" s="390"/>
      <c r="GI68" s="387"/>
      <c r="GJ68" s="387"/>
      <c r="GK68" s="387"/>
      <c r="GL68" s="387"/>
      <c r="GM68" s="387"/>
      <c r="GN68" s="387"/>
      <c r="GO68" s="387"/>
      <c r="GP68" s="387"/>
      <c r="GQ68" s="387"/>
      <c r="GR68" s="387"/>
      <c r="GS68" s="387"/>
      <c r="GT68" s="387"/>
      <c r="GU68" s="387"/>
      <c r="GV68" s="387"/>
      <c r="GW68" s="387"/>
      <c r="GX68" s="387"/>
      <c r="GY68" s="387"/>
      <c r="GZ68" s="387"/>
      <c r="HA68" s="387"/>
      <c r="HB68" s="387"/>
      <c r="HC68" s="387"/>
      <c r="HD68" s="387"/>
      <c r="HE68" s="391"/>
      <c r="HF68" s="389"/>
      <c r="HG68" s="387"/>
      <c r="HH68" s="387"/>
      <c r="HI68" s="387"/>
      <c r="HJ68" s="387"/>
      <c r="HK68" s="387"/>
      <c r="HL68" s="387"/>
      <c r="HM68" s="387"/>
      <c r="HN68" s="387"/>
      <c r="HO68" s="387"/>
      <c r="HP68" s="387"/>
      <c r="HQ68" s="387"/>
      <c r="HR68" s="387"/>
      <c r="HS68" s="387"/>
      <c r="HT68" s="387"/>
      <c r="HU68" s="387"/>
      <c r="HV68" s="387"/>
      <c r="HW68" s="387"/>
      <c r="HX68" s="387"/>
      <c r="HY68" s="387"/>
      <c r="HZ68" s="387"/>
      <c r="IA68" s="387"/>
      <c r="IB68" s="387"/>
      <c r="IC68" s="392"/>
      <c r="ID68" s="312"/>
      <c r="IE68" s="312"/>
      <c r="IF68" s="312"/>
      <c r="IG68" s="312"/>
      <c r="IH68" s="312"/>
      <c r="II68" s="312"/>
      <c r="IJ68" s="312"/>
      <c r="IK68" s="312"/>
      <c r="IL68" s="312"/>
      <c r="IM68" s="312"/>
      <c r="IN68" s="312"/>
      <c r="IO68" s="312"/>
      <c r="IP68" s="312"/>
      <c r="IQ68" s="312"/>
      <c r="IR68" s="312"/>
      <c r="IS68" s="312"/>
      <c r="IT68" s="312"/>
      <c r="IU68" s="312"/>
      <c r="IV68" s="312"/>
      <c r="IW68" s="312"/>
      <c r="IX68" s="312"/>
      <c r="IY68" s="312"/>
      <c r="IZ68" s="312"/>
      <c r="JA68" s="312"/>
      <c r="JB68" s="312"/>
      <c r="JC68" s="312"/>
      <c r="JD68" s="312"/>
      <c r="JE68" s="312"/>
      <c r="JF68" s="312"/>
      <c r="JG68" s="312"/>
      <c r="JH68" s="312"/>
      <c r="JI68" s="312"/>
      <c r="JJ68" s="312"/>
      <c r="JK68" s="312"/>
      <c r="JL68" s="312"/>
      <c r="JM68" s="312"/>
      <c r="JN68" s="312"/>
      <c r="JO68" s="312"/>
      <c r="JP68" s="312"/>
      <c r="JQ68" s="312"/>
      <c r="JR68" s="312"/>
      <c r="JS68" s="312"/>
      <c r="JT68" s="312"/>
      <c r="JU68" s="312"/>
      <c r="JV68" s="312"/>
      <c r="JW68" s="312"/>
      <c r="JX68" s="312"/>
      <c r="JY68" s="312"/>
      <c r="JZ68" s="312"/>
      <c r="KA68" s="312"/>
      <c r="KB68" s="312"/>
      <c r="KC68" s="312"/>
      <c r="KD68" s="312"/>
      <c r="KE68" s="312"/>
      <c r="KF68" s="312"/>
      <c r="KG68" s="312"/>
      <c r="KH68" s="312"/>
      <c r="KI68" s="312"/>
      <c r="KJ68" s="312"/>
      <c r="KK68" s="312"/>
      <c r="KL68" s="312"/>
      <c r="KM68" s="312"/>
      <c r="KN68" s="312"/>
      <c r="KO68" s="312"/>
      <c r="KP68" s="312"/>
      <c r="KQ68" s="312"/>
      <c r="KR68" s="312"/>
      <c r="KS68" s="312"/>
      <c r="KT68" s="312"/>
      <c r="KU68" s="312"/>
      <c r="KV68" s="312"/>
      <c r="KW68" s="312"/>
      <c r="KX68" s="312"/>
      <c r="KY68" s="312"/>
      <c r="KZ68" s="312"/>
      <c r="LA68" s="312"/>
      <c r="LB68" s="312"/>
      <c r="LC68" s="312"/>
      <c r="LD68" s="312"/>
      <c r="LE68" s="312"/>
      <c r="LF68" s="312"/>
      <c r="LG68" s="312"/>
      <c r="LH68" s="312"/>
      <c r="LI68" s="312"/>
      <c r="LJ68" s="312"/>
    </row>
    <row r="69" spans="1:322" s="393" customFormat="1">
      <c r="A69" s="397"/>
      <c r="B69" s="398"/>
      <c r="C69" s="275"/>
      <c r="D69" s="727"/>
      <c r="E69" s="357"/>
      <c r="F69" s="358"/>
      <c r="G69" s="399"/>
      <c r="H69" s="206"/>
      <c r="I69" s="206"/>
      <c r="J69" s="206"/>
      <c r="K69" s="206"/>
      <c r="L69" s="206"/>
      <c r="M69" s="400"/>
      <c r="N69" s="359"/>
      <c r="O69" s="359"/>
      <c r="P69" s="401"/>
      <c r="Q69" s="401"/>
      <c r="R69" s="360"/>
      <c r="S69" s="402"/>
      <c r="T69" s="211"/>
      <c r="U69" s="403"/>
      <c r="V69" s="217"/>
      <c r="W69" s="362"/>
      <c r="X69" s="363"/>
      <c r="Y69" s="278"/>
      <c r="Z69" s="278"/>
      <c r="AA69" s="404"/>
      <c r="AB69" s="271"/>
      <c r="AC69" s="405"/>
      <c r="AD69" s="271"/>
      <c r="AE69" s="405"/>
      <c r="AF69" s="271"/>
      <c r="AG69" s="405"/>
      <c r="AH69" s="271"/>
      <c r="AI69" s="405"/>
      <c r="AJ69" s="406"/>
      <c r="AK69" s="405"/>
      <c r="AL69" s="406"/>
      <c r="AM69" s="405"/>
      <c r="AN69" s="406"/>
      <c r="AO69" s="405"/>
      <c r="AP69" s="406"/>
      <c r="AQ69" s="405"/>
      <c r="AR69" s="406"/>
      <c r="AS69" s="405"/>
      <c r="AT69" s="406"/>
      <c r="AU69" s="405"/>
      <c r="AV69" s="406"/>
      <c r="AW69" s="405"/>
      <c r="AX69" s="407"/>
      <c r="AY69" s="366"/>
      <c r="AZ69" s="408"/>
      <c r="BA69" s="367"/>
      <c r="BB69" s="409"/>
      <c r="BC69" s="367"/>
      <c r="BD69" s="409"/>
      <c r="BE69" s="367"/>
      <c r="BF69" s="409"/>
      <c r="BG69" s="367"/>
      <c r="BH69" s="409"/>
      <c r="BI69" s="367"/>
      <c r="BJ69" s="409"/>
      <c r="BK69" s="367"/>
      <c r="BL69" s="409"/>
      <c r="BM69" s="367"/>
      <c r="BN69" s="409"/>
      <c r="BO69" s="367"/>
      <c r="BP69" s="409"/>
      <c r="BQ69" s="367"/>
      <c r="BR69" s="409"/>
      <c r="BS69" s="367"/>
      <c r="BT69" s="409"/>
      <c r="BU69" s="368"/>
      <c r="BV69" s="408"/>
      <c r="BW69" s="369"/>
      <c r="BX69" s="409"/>
      <c r="BY69" s="367"/>
      <c r="BZ69" s="409"/>
      <c r="CA69" s="367"/>
      <c r="CB69" s="409"/>
      <c r="CC69" s="367"/>
      <c r="CD69" s="409"/>
      <c r="CE69" s="367"/>
      <c r="CF69" s="409"/>
      <c r="CG69" s="367"/>
      <c r="CH69" s="409"/>
      <c r="CI69" s="367"/>
      <c r="CJ69" s="409"/>
      <c r="CK69" s="367"/>
      <c r="CL69" s="409"/>
      <c r="CM69" s="367"/>
      <c r="CN69" s="409"/>
      <c r="CO69" s="367"/>
      <c r="CP69" s="409"/>
      <c r="CQ69" s="367"/>
      <c r="CR69" s="409"/>
      <c r="CS69" s="368"/>
      <c r="CT69" s="410"/>
      <c r="CU69" s="283"/>
      <c r="CV69" s="411"/>
      <c r="CW69" s="412"/>
      <c r="CX69" s="285"/>
      <c r="CY69" s="227"/>
      <c r="CZ69" s="229"/>
      <c r="DA69" s="582"/>
      <c r="DB69" s="394"/>
      <c r="DC69" s="395"/>
      <c r="DD69" s="372"/>
      <c r="DE69" s="373"/>
      <c r="DF69" s="372"/>
      <c r="DG69" s="373"/>
      <c r="DH69" s="374"/>
      <c r="DI69" s="375"/>
      <c r="DJ69" s="413"/>
      <c r="DK69" s="377"/>
      <c r="DL69" s="378"/>
      <c r="DM69" s="379"/>
      <c r="DN69" s="233"/>
      <c r="DO69" s="233"/>
      <c r="DP69" s="233"/>
      <c r="DQ69" s="233"/>
      <c r="DR69" s="233"/>
      <c r="DS69" s="233"/>
      <c r="DT69" s="233"/>
      <c r="DU69" s="234"/>
      <c r="DV69" s="378"/>
      <c r="DW69" s="378"/>
      <c r="DX69" s="379"/>
      <c r="DY69" s="233"/>
      <c r="DZ69" s="233"/>
      <c r="EA69" s="233"/>
      <c r="EB69" s="233"/>
      <c r="EC69" s="233"/>
      <c r="ED69" s="233"/>
      <c r="EE69" s="233"/>
      <c r="EF69" s="234"/>
      <c r="EG69" s="378"/>
      <c r="EH69" s="378"/>
      <c r="EI69" s="414"/>
      <c r="EJ69" s="415"/>
      <c r="EK69" s="415"/>
      <c r="EL69" s="248"/>
      <c r="EM69" s="272"/>
      <c r="EN69" s="272"/>
      <c r="EO69" s="272"/>
      <c r="EP69" s="272"/>
      <c r="EQ69" s="272"/>
      <c r="ER69" s="272"/>
      <c r="ES69" s="272"/>
      <c r="ET69" s="272"/>
      <c r="EU69" s="297"/>
      <c r="EV69" s="298"/>
      <c r="EW69" s="272"/>
      <c r="EX69" s="272"/>
      <c r="EY69" s="272"/>
      <c r="EZ69" s="248"/>
      <c r="FA69" s="272"/>
      <c r="FB69" s="272"/>
      <c r="FC69" s="297"/>
      <c r="FD69" s="380"/>
      <c r="FE69" s="309"/>
      <c r="FF69" s="381"/>
      <c r="FG69" s="382"/>
      <c r="FH69" s="383"/>
      <c r="FI69" s="384"/>
      <c r="FJ69" s="380"/>
      <c r="FK69" s="385"/>
      <c r="FL69" s="386"/>
      <c r="FM69" s="387"/>
      <c r="FN69" s="386"/>
      <c r="FO69" s="387"/>
      <c r="FP69" s="388"/>
      <c r="FQ69" s="387"/>
      <c r="FR69" s="388"/>
      <c r="FS69" s="387"/>
      <c r="FT69" s="388"/>
      <c r="FU69" s="387"/>
      <c r="FV69" s="388"/>
      <c r="FW69" s="387"/>
      <c r="FX69" s="388"/>
      <c r="FY69" s="387"/>
      <c r="FZ69" s="388"/>
      <c r="GA69" s="387"/>
      <c r="GB69" s="388"/>
      <c r="GC69" s="387"/>
      <c r="GD69" s="388"/>
      <c r="GE69" s="387"/>
      <c r="GF69" s="388"/>
      <c r="GG69" s="389"/>
      <c r="GH69" s="390"/>
      <c r="GI69" s="387"/>
      <c r="GJ69" s="387"/>
      <c r="GK69" s="387"/>
      <c r="GL69" s="387"/>
      <c r="GM69" s="387"/>
      <c r="GN69" s="387"/>
      <c r="GO69" s="387"/>
      <c r="GP69" s="387"/>
      <c r="GQ69" s="387"/>
      <c r="GR69" s="387"/>
      <c r="GS69" s="387"/>
      <c r="GT69" s="387"/>
      <c r="GU69" s="387"/>
      <c r="GV69" s="387"/>
      <c r="GW69" s="387"/>
      <c r="GX69" s="387"/>
      <c r="GY69" s="387"/>
      <c r="GZ69" s="387"/>
      <c r="HA69" s="387"/>
      <c r="HB69" s="387"/>
      <c r="HC69" s="387"/>
      <c r="HD69" s="387"/>
      <c r="HE69" s="391"/>
      <c r="HF69" s="389"/>
      <c r="HG69" s="387"/>
      <c r="HH69" s="387"/>
      <c r="HI69" s="387"/>
      <c r="HJ69" s="387"/>
      <c r="HK69" s="387"/>
      <c r="HL69" s="387"/>
      <c r="HM69" s="387"/>
      <c r="HN69" s="387"/>
      <c r="HO69" s="387"/>
      <c r="HP69" s="387"/>
      <c r="HQ69" s="387"/>
      <c r="HR69" s="387"/>
      <c r="HS69" s="387"/>
      <c r="HT69" s="387"/>
      <c r="HU69" s="387"/>
      <c r="HV69" s="387"/>
      <c r="HW69" s="387"/>
      <c r="HX69" s="387"/>
      <c r="HY69" s="387"/>
      <c r="HZ69" s="387"/>
      <c r="IA69" s="387"/>
      <c r="IB69" s="387"/>
      <c r="IC69" s="392"/>
      <c r="ID69" s="312"/>
      <c r="IE69" s="312"/>
      <c r="IF69" s="312"/>
      <c r="IG69" s="312"/>
      <c r="IH69" s="312"/>
      <c r="II69" s="312"/>
      <c r="IJ69" s="312"/>
      <c r="IK69" s="312"/>
      <c r="IL69" s="312"/>
      <c r="IM69" s="312"/>
      <c r="IN69" s="312"/>
      <c r="IO69" s="312"/>
      <c r="IP69" s="312"/>
      <c r="IQ69" s="312"/>
      <c r="IR69" s="312"/>
      <c r="IS69" s="312"/>
      <c r="IT69" s="312"/>
      <c r="IU69" s="312"/>
      <c r="IV69" s="312"/>
      <c r="IW69" s="312"/>
      <c r="IX69" s="312"/>
      <c r="IY69" s="312"/>
      <c r="IZ69" s="312"/>
      <c r="JA69" s="312"/>
      <c r="JB69" s="312"/>
      <c r="JC69" s="312"/>
      <c r="JD69" s="312"/>
      <c r="JE69" s="312"/>
      <c r="JF69" s="312"/>
      <c r="JG69" s="312"/>
      <c r="JH69" s="312"/>
      <c r="JI69" s="312"/>
      <c r="JJ69" s="312"/>
      <c r="JK69" s="312"/>
      <c r="JL69" s="312"/>
      <c r="JM69" s="312"/>
      <c r="JN69" s="312"/>
      <c r="JO69" s="312"/>
      <c r="JP69" s="312"/>
      <c r="JQ69" s="312"/>
      <c r="JR69" s="312"/>
      <c r="JS69" s="312"/>
      <c r="JT69" s="312"/>
      <c r="JU69" s="312"/>
      <c r="JV69" s="312"/>
      <c r="JW69" s="312"/>
      <c r="JX69" s="312"/>
      <c r="JY69" s="312"/>
      <c r="JZ69" s="312"/>
      <c r="KA69" s="312"/>
      <c r="KB69" s="312"/>
      <c r="KC69" s="312"/>
      <c r="KD69" s="312"/>
      <c r="KE69" s="312"/>
      <c r="KF69" s="312"/>
      <c r="KG69" s="312"/>
      <c r="KH69" s="312"/>
      <c r="KI69" s="312"/>
      <c r="KJ69" s="312"/>
      <c r="KK69" s="312"/>
      <c r="KL69" s="312"/>
      <c r="KM69" s="312"/>
      <c r="KN69" s="312"/>
      <c r="KO69" s="312"/>
      <c r="KP69" s="312"/>
      <c r="KQ69" s="312"/>
      <c r="KR69" s="312"/>
      <c r="KS69" s="312"/>
      <c r="KT69" s="312"/>
      <c r="KU69" s="312"/>
      <c r="KV69" s="312"/>
      <c r="KW69" s="312"/>
      <c r="KX69" s="312"/>
      <c r="KY69" s="312"/>
      <c r="KZ69" s="312"/>
      <c r="LA69" s="312"/>
      <c r="LB69" s="312"/>
      <c r="LC69" s="312"/>
      <c r="LD69" s="312"/>
      <c r="LE69" s="312"/>
      <c r="LF69" s="312"/>
      <c r="LG69" s="312"/>
      <c r="LH69" s="312"/>
      <c r="LI69" s="312"/>
      <c r="LJ69" s="312"/>
    </row>
    <row r="70" spans="1:322" s="393" customFormat="1">
      <c r="A70" s="397"/>
      <c r="B70" s="398"/>
      <c r="C70" s="275"/>
      <c r="D70" s="727"/>
      <c r="E70" s="357"/>
      <c r="F70" s="358"/>
      <c r="G70" s="399"/>
      <c r="H70" s="206"/>
      <c r="I70" s="206"/>
      <c r="J70" s="206"/>
      <c r="K70" s="206"/>
      <c r="L70" s="206"/>
      <c r="M70" s="400"/>
      <c r="N70" s="359"/>
      <c r="O70" s="359"/>
      <c r="P70" s="401"/>
      <c r="Q70" s="401"/>
      <c r="R70" s="360"/>
      <c r="S70" s="402"/>
      <c r="T70" s="211"/>
      <c r="U70" s="403"/>
      <c r="V70" s="217"/>
      <c r="W70" s="362"/>
      <c r="X70" s="363"/>
      <c r="Y70" s="278"/>
      <c r="Z70" s="278"/>
      <c r="AA70" s="404"/>
      <c r="AB70" s="271"/>
      <c r="AC70" s="405"/>
      <c r="AD70" s="271"/>
      <c r="AE70" s="405"/>
      <c r="AF70" s="271"/>
      <c r="AG70" s="405"/>
      <c r="AH70" s="271"/>
      <c r="AI70" s="405"/>
      <c r="AJ70" s="406"/>
      <c r="AK70" s="405"/>
      <c r="AL70" s="406"/>
      <c r="AM70" s="405"/>
      <c r="AN70" s="406"/>
      <c r="AO70" s="405"/>
      <c r="AP70" s="406"/>
      <c r="AQ70" s="405"/>
      <c r="AR70" s="406"/>
      <c r="AS70" s="405"/>
      <c r="AT70" s="406"/>
      <c r="AU70" s="405"/>
      <c r="AV70" s="406"/>
      <c r="AW70" s="405"/>
      <c r="AX70" s="407"/>
      <c r="AY70" s="366"/>
      <c r="AZ70" s="408"/>
      <c r="BA70" s="367"/>
      <c r="BB70" s="409"/>
      <c r="BC70" s="367"/>
      <c r="BD70" s="409"/>
      <c r="BE70" s="367"/>
      <c r="BF70" s="409"/>
      <c r="BG70" s="367"/>
      <c r="BH70" s="409"/>
      <c r="BI70" s="367"/>
      <c r="BJ70" s="409"/>
      <c r="BK70" s="367"/>
      <c r="BL70" s="409"/>
      <c r="BM70" s="367"/>
      <c r="BN70" s="409"/>
      <c r="BO70" s="367"/>
      <c r="BP70" s="409"/>
      <c r="BQ70" s="367"/>
      <c r="BR70" s="409"/>
      <c r="BS70" s="367"/>
      <c r="BT70" s="409"/>
      <c r="BU70" s="368"/>
      <c r="BV70" s="408"/>
      <c r="BW70" s="369"/>
      <c r="BX70" s="409"/>
      <c r="BY70" s="367"/>
      <c r="BZ70" s="409"/>
      <c r="CA70" s="367"/>
      <c r="CB70" s="409"/>
      <c r="CC70" s="367"/>
      <c r="CD70" s="409"/>
      <c r="CE70" s="367"/>
      <c r="CF70" s="409"/>
      <c r="CG70" s="367"/>
      <c r="CH70" s="409"/>
      <c r="CI70" s="367"/>
      <c r="CJ70" s="409"/>
      <c r="CK70" s="367"/>
      <c r="CL70" s="409"/>
      <c r="CM70" s="367"/>
      <c r="CN70" s="409"/>
      <c r="CO70" s="367"/>
      <c r="CP70" s="409"/>
      <c r="CQ70" s="367"/>
      <c r="CR70" s="409"/>
      <c r="CS70" s="368"/>
      <c r="CT70" s="410"/>
      <c r="CU70" s="283"/>
      <c r="CV70" s="411"/>
      <c r="CW70" s="412"/>
      <c r="CX70" s="285"/>
      <c r="CY70" s="227"/>
      <c r="CZ70" s="229"/>
      <c r="DA70" s="582"/>
      <c r="DB70" s="394"/>
      <c r="DC70" s="395"/>
      <c r="DD70" s="372"/>
      <c r="DE70" s="373"/>
      <c r="DF70" s="372"/>
      <c r="DG70" s="373"/>
      <c r="DH70" s="374"/>
      <c r="DI70" s="375"/>
      <c r="DJ70" s="413"/>
      <c r="DK70" s="377"/>
      <c r="DL70" s="378"/>
      <c r="DM70" s="379"/>
      <c r="DN70" s="233"/>
      <c r="DO70" s="233"/>
      <c r="DP70" s="233"/>
      <c r="DQ70" s="233"/>
      <c r="DR70" s="233"/>
      <c r="DS70" s="233"/>
      <c r="DT70" s="233"/>
      <c r="DU70" s="234"/>
      <c r="DV70" s="378"/>
      <c r="DW70" s="378"/>
      <c r="DX70" s="379"/>
      <c r="DY70" s="233"/>
      <c r="DZ70" s="233"/>
      <c r="EA70" s="233"/>
      <c r="EB70" s="233"/>
      <c r="EC70" s="233"/>
      <c r="ED70" s="233"/>
      <c r="EE70" s="233"/>
      <c r="EF70" s="234"/>
      <c r="EG70" s="378"/>
      <c r="EH70" s="378"/>
      <c r="EI70" s="414"/>
      <c r="EJ70" s="415"/>
      <c r="EK70" s="415"/>
      <c r="EL70" s="248"/>
      <c r="EM70" s="272"/>
      <c r="EN70" s="272"/>
      <c r="EO70" s="272"/>
      <c r="EP70" s="272"/>
      <c r="EQ70" s="272"/>
      <c r="ER70" s="272"/>
      <c r="ES70" s="272"/>
      <c r="ET70" s="272"/>
      <c r="EU70" s="297"/>
      <c r="EV70" s="298"/>
      <c r="EW70" s="272"/>
      <c r="EX70" s="272"/>
      <c r="EY70" s="272"/>
      <c r="EZ70" s="248"/>
      <c r="FA70" s="272"/>
      <c r="FB70" s="272"/>
      <c r="FC70" s="297"/>
      <c r="FD70" s="380"/>
      <c r="FE70" s="309"/>
      <c r="FF70" s="381"/>
      <c r="FG70" s="382"/>
      <c r="FH70" s="383"/>
      <c r="FI70" s="384"/>
      <c r="FJ70" s="380"/>
      <c r="FK70" s="385"/>
      <c r="FL70" s="386"/>
      <c r="FM70" s="387"/>
      <c r="FN70" s="386"/>
      <c r="FO70" s="387"/>
      <c r="FP70" s="388"/>
      <c r="FQ70" s="387"/>
      <c r="FR70" s="388"/>
      <c r="FS70" s="387"/>
      <c r="FT70" s="388"/>
      <c r="FU70" s="387"/>
      <c r="FV70" s="388"/>
      <c r="FW70" s="387"/>
      <c r="FX70" s="388"/>
      <c r="FY70" s="387"/>
      <c r="FZ70" s="388"/>
      <c r="GA70" s="387"/>
      <c r="GB70" s="388"/>
      <c r="GC70" s="387"/>
      <c r="GD70" s="388"/>
      <c r="GE70" s="387"/>
      <c r="GF70" s="388"/>
      <c r="GG70" s="389"/>
      <c r="GH70" s="390"/>
      <c r="GI70" s="387"/>
      <c r="GJ70" s="387"/>
      <c r="GK70" s="387"/>
      <c r="GL70" s="387"/>
      <c r="GM70" s="387"/>
      <c r="GN70" s="387"/>
      <c r="GO70" s="387"/>
      <c r="GP70" s="387"/>
      <c r="GQ70" s="387"/>
      <c r="GR70" s="387"/>
      <c r="GS70" s="387"/>
      <c r="GT70" s="387"/>
      <c r="GU70" s="387"/>
      <c r="GV70" s="387"/>
      <c r="GW70" s="387"/>
      <c r="GX70" s="387"/>
      <c r="GY70" s="387"/>
      <c r="GZ70" s="387"/>
      <c r="HA70" s="387"/>
      <c r="HB70" s="387"/>
      <c r="HC70" s="387"/>
      <c r="HD70" s="387"/>
      <c r="HE70" s="391"/>
      <c r="HF70" s="389"/>
      <c r="HG70" s="387"/>
      <c r="HH70" s="387"/>
      <c r="HI70" s="387"/>
      <c r="HJ70" s="387"/>
      <c r="HK70" s="387"/>
      <c r="HL70" s="387"/>
      <c r="HM70" s="387"/>
      <c r="HN70" s="387"/>
      <c r="HO70" s="387"/>
      <c r="HP70" s="387"/>
      <c r="HQ70" s="387"/>
      <c r="HR70" s="387"/>
      <c r="HS70" s="387"/>
      <c r="HT70" s="387"/>
      <c r="HU70" s="387"/>
      <c r="HV70" s="387"/>
      <c r="HW70" s="387"/>
      <c r="HX70" s="387"/>
      <c r="HY70" s="387"/>
      <c r="HZ70" s="387"/>
      <c r="IA70" s="387"/>
      <c r="IB70" s="387"/>
      <c r="IC70" s="392"/>
      <c r="ID70" s="312"/>
      <c r="IE70" s="312"/>
      <c r="IF70" s="312"/>
      <c r="IG70" s="312"/>
      <c r="IH70" s="312"/>
      <c r="II70" s="312"/>
      <c r="IJ70" s="312"/>
      <c r="IK70" s="312"/>
      <c r="IL70" s="312"/>
      <c r="IM70" s="312"/>
      <c r="IN70" s="312"/>
      <c r="IO70" s="312"/>
      <c r="IP70" s="312"/>
      <c r="IQ70" s="312"/>
      <c r="IR70" s="312"/>
      <c r="IS70" s="312"/>
      <c r="IT70" s="312"/>
      <c r="IU70" s="312"/>
      <c r="IV70" s="312"/>
      <c r="IW70" s="312"/>
      <c r="IX70" s="312"/>
      <c r="IY70" s="312"/>
      <c r="IZ70" s="312"/>
      <c r="JA70" s="312"/>
      <c r="JB70" s="312"/>
      <c r="JC70" s="312"/>
      <c r="JD70" s="312"/>
      <c r="JE70" s="312"/>
      <c r="JF70" s="312"/>
      <c r="JG70" s="312"/>
      <c r="JH70" s="312"/>
      <c r="JI70" s="312"/>
      <c r="JJ70" s="312"/>
      <c r="JK70" s="312"/>
      <c r="JL70" s="312"/>
      <c r="JM70" s="312"/>
      <c r="JN70" s="312"/>
      <c r="JO70" s="312"/>
      <c r="JP70" s="312"/>
      <c r="JQ70" s="312"/>
      <c r="JR70" s="312"/>
      <c r="JS70" s="312"/>
      <c r="JT70" s="312"/>
      <c r="JU70" s="312"/>
      <c r="JV70" s="312"/>
      <c r="JW70" s="312"/>
      <c r="JX70" s="312"/>
      <c r="JY70" s="312"/>
      <c r="JZ70" s="312"/>
      <c r="KA70" s="312"/>
      <c r="KB70" s="312"/>
      <c r="KC70" s="312"/>
      <c r="KD70" s="312"/>
      <c r="KE70" s="312"/>
      <c r="KF70" s="312"/>
      <c r="KG70" s="312"/>
      <c r="KH70" s="312"/>
      <c r="KI70" s="312"/>
      <c r="KJ70" s="312"/>
      <c r="KK70" s="312"/>
      <c r="KL70" s="312"/>
      <c r="KM70" s="312"/>
      <c r="KN70" s="312"/>
      <c r="KO70" s="312"/>
      <c r="KP70" s="312"/>
      <c r="KQ70" s="312"/>
      <c r="KR70" s="312"/>
      <c r="KS70" s="312"/>
      <c r="KT70" s="312"/>
      <c r="KU70" s="312"/>
      <c r="KV70" s="312"/>
      <c r="KW70" s="312"/>
      <c r="KX70" s="312"/>
      <c r="KY70" s="312"/>
      <c r="KZ70" s="312"/>
      <c r="LA70" s="312"/>
      <c r="LB70" s="312"/>
      <c r="LC70" s="312"/>
      <c r="LD70" s="312"/>
      <c r="LE70" s="312"/>
      <c r="LF70" s="312"/>
      <c r="LG70" s="312"/>
      <c r="LH70" s="312"/>
      <c r="LI70" s="312"/>
      <c r="LJ70" s="312"/>
    </row>
    <row r="71" spans="1:322" s="393" customFormat="1">
      <c r="A71" s="397"/>
      <c r="B71" s="398"/>
      <c r="C71" s="275"/>
      <c r="D71" s="727"/>
      <c r="E71" s="357"/>
      <c r="F71" s="358"/>
      <c r="G71" s="399"/>
      <c r="H71" s="206"/>
      <c r="I71" s="206"/>
      <c r="J71" s="206"/>
      <c r="K71" s="206"/>
      <c r="L71" s="206"/>
      <c r="M71" s="400"/>
      <c r="N71" s="359"/>
      <c r="O71" s="359"/>
      <c r="P71" s="401"/>
      <c r="Q71" s="401"/>
      <c r="R71" s="360"/>
      <c r="S71" s="402"/>
      <c r="T71" s="211"/>
      <c r="U71" s="403"/>
      <c r="V71" s="217"/>
      <c r="W71" s="362"/>
      <c r="X71" s="363"/>
      <c r="Y71" s="278"/>
      <c r="Z71" s="278"/>
      <c r="AA71" s="404"/>
      <c r="AB71" s="271"/>
      <c r="AC71" s="405"/>
      <c r="AD71" s="271"/>
      <c r="AE71" s="405"/>
      <c r="AF71" s="271"/>
      <c r="AG71" s="405"/>
      <c r="AH71" s="271"/>
      <c r="AI71" s="405"/>
      <c r="AJ71" s="406"/>
      <c r="AK71" s="405"/>
      <c r="AL71" s="406"/>
      <c r="AM71" s="405"/>
      <c r="AN71" s="406"/>
      <c r="AO71" s="405"/>
      <c r="AP71" s="406"/>
      <c r="AQ71" s="405"/>
      <c r="AR71" s="406"/>
      <c r="AS71" s="405"/>
      <c r="AT71" s="406"/>
      <c r="AU71" s="405"/>
      <c r="AV71" s="406"/>
      <c r="AW71" s="405"/>
      <c r="AX71" s="407"/>
      <c r="AY71" s="366"/>
      <c r="AZ71" s="408"/>
      <c r="BA71" s="367"/>
      <c r="BB71" s="409"/>
      <c r="BC71" s="367"/>
      <c r="BD71" s="409"/>
      <c r="BE71" s="367"/>
      <c r="BF71" s="409"/>
      <c r="BG71" s="367"/>
      <c r="BH71" s="409"/>
      <c r="BI71" s="367"/>
      <c r="BJ71" s="409"/>
      <c r="BK71" s="367"/>
      <c r="BL71" s="409"/>
      <c r="BM71" s="367"/>
      <c r="BN71" s="409"/>
      <c r="BO71" s="367"/>
      <c r="BP71" s="409"/>
      <c r="BQ71" s="367"/>
      <c r="BR71" s="409"/>
      <c r="BS71" s="367"/>
      <c r="BT71" s="409"/>
      <c r="BU71" s="368"/>
      <c r="BV71" s="408"/>
      <c r="BW71" s="369"/>
      <c r="BX71" s="409"/>
      <c r="BY71" s="367"/>
      <c r="BZ71" s="409"/>
      <c r="CA71" s="367"/>
      <c r="CB71" s="409"/>
      <c r="CC71" s="367"/>
      <c r="CD71" s="409"/>
      <c r="CE71" s="367"/>
      <c r="CF71" s="409"/>
      <c r="CG71" s="367"/>
      <c r="CH71" s="409"/>
      <c r="CI71" s="367"/>
      <c r="CJ71" s="409"/>
      <c r="CK71" s="367"/>
      <c r="CL71" s="409"/>
      <c r="CM71" s="367"/>
      <c r="CN71" s="409"/>
      <c r="CO71" s="367"/>
      <c r="CP71" s="409"/>
      <c r="CQ71" s="367"/>
      <c r="CR71" s="409"/>
      <c r="CS71" s="368"/>
      <c r="CT71" s="410"/>
      <c r="CU71" s="283"/>
      <c r="CV71" s="411"/>
      <c r="CW71" s="412"/>
      <c r="CX71" s="285"/>
      <c r="CY71" s="227"/>
      <c r="CZ71" s="229"/>
      <c r="DA71" s="582"/>
      <c r="DB71" s="394"/>
      <c r="DC71" s="395"/>
      <c r="DD71" s="372"/>
      <c r="DE71" s="373"/>
      <c r="DF71" s="372"/>
      <c r="DG71" s="373"/>
      <c r="DH71" s="374"/>
      <c r="DI71" s="375"/>
      <c r="DJ71" s="413"/>
      <c r="DK71" s="377"/>
      <c r="DL71" s="378"/>
      <c r="DM71" s="379"/>
      <c r="DN71" s="233"/>
      <c r="DO71" s="233"/>
      <c r="DP71" s="233"/>
      <c r="DQ71" s="233"/>
      <c r="DR71" s="233"/>
      <c r="DS71" s="233"/>
      <c r="DT71" s="233"/>
      <c r="DU71" s="234"/>
      <c r="DV71" s="378"/>
      <c r="DW71" s="378"/>
      <c r="DX71" s="379"/>
      <c r="DY71" s="233"/>
      <c r="DZ71" s="233"/>
      <c r="EA71" s="233"/>
      <c r="EB71" s="233"/>
      <c r="EC71" s="233"/>
      <c r="ED71" s="233"/>
      <c r="EE71" s="233"/>
      <c r="EF71" s="234"/>
      <c r="EG71" s="378"/>
      <c r="EH71" s="378"/>
      <c r="EI71" s="414"/>
      <c r="EJ71" s="415"/>
      <c r="EK71" s="415"/>
      <c r="EL71" s="248"/>
      <c r="EM71" s="272"/>
      <c r="EN71" s="272"/>
      <c r="EO71" s="272"/>
      <c r="EP71" s="272"/>
      <c r="EQ71" s="272"/>
      <c r="ER71" s="272"/>
      <c r="ES71" s="272"/>
      <c r="ET71" s="272"/>
      <c r="EU71" s="297"/>
      <c r="EV71" s="298"/>
      <c r="EW71" s="272"/>
      <c r="EX71" s="272"/>
      <c r="EY71" s="272"/>
      <c r="EZ71" s="248"/>
      <c r="FA71" s="272"/>
      <c r="FB71" s="272"/>
      <c r="FC71" s="297"/>
      <c r="FD71" s="380"/>
      <c r="FE71" s="309"/>
      <c r="FF71" s="381"/>
      <c r="FG71" s="382"/>
      <c r="FH71" s="383"/>
      <c r="FI71" s="384"/>
      <c r="FJ71" s="380"/>
      <c r="FK71" s="385"/>
      <c r="FL71" s="386"/>
      <c r="FM71" s="387"/>
      <c r="FN71" s="386"/>
      <c r="FO71" s="387"/>
      <c r="FP71" s="388"/>
      <c r="FQ71" s="387"/>
      <c r="FR71" s="388"/>
      <c r="FS71" s="387"/>
      <c r="FT71" s="388"/>
      <c r="FU71" s="387"/>
      <c r="FV71" s="388"/>
      <c r="FW71" s="387"/>
      <c r="FX71" s="388"/>
      <c r="FY71" s="387"/>
      <c r="FZ71" s="388"/>
      <c r="GA71" s="387"/>
      <c r="GB71" s="388"/>
      <c r="GC71" s="387"/>
      <c r="GD71" s="388"/>
      <c r="GE71" s="387"/>
      <c r="GF71" s="388"/>
      <c r="GG71" s="389"/>
      <c r="GH71" s="390"/>
      <c r="GI71" s="387"/>
      <c r="GJ71" s="387"/>
      <c r="GK71" s="387"/>
      <c r="GL71" s="387"/>
      <c r="GM71" s="387"/>
      <c r="GN71" s="387"/>
      <c r="GO71" s="387"/>
      <c r="GP71" s="387"/>
      <c r="GQ71" s="387"/>
      <c r="GR71" s="387"/>
      <c r="GS71" s="387"/>
      <c r="GT71" s="387"/>
      <c r="GU71" s="387"/>
      <c r="GV71" s="387"/>
      <c r="GW71" s="387"/>
      <c r="GX71" s="387"/>
      <c r="GY71" s="387"/>
      <c r="GZ71" s="387"/>
      <c r="HA71" s="387"/>
      <c r="HB71" s="387"/>
      <c r="HC71" s="387"/>
      <c r="HD71" s="387"/>
      <c r="HE71" s="391"/>
      <c r="HF71" s="389"/>
      <c r="HG71" s="387"/>
      <c r="HH71" s="387"/>
      <c r="HI71" s="387"/>
      <c r="HJ71" s="387"/>
      <c r="HK71" s="387"/>
      <c r="HL71" s="387"/>
      <c r="HM71" s="387"/>
      <c r="HN71" s="387"/>
      <c r="HO71" s="387"/>
      <c r="HP71" s="387"/>
      <c r="HQ71" s="387"/>
      <c r="HR71" s="387"/>
      <c r="HS71" s="387"/>
      <c r="HT71" s="387"/>
      <c r="HU71" s="387"/>
      <c r="HV71" s="387"/>
      <c r="HW71" s="387"/>
      <c r="HX71" s="387"/>
      <c r="HY71" s="387"/>
      <c r="HZ71" s="387"/>
      <c r="IA71" s="387"/>
      <c r="IB71" s="387"/>
      <c r="IC71" s="392"/>
      <c r="ID71" s="312"/>
      <c r="IE71" s="312"/>
      <c r="IF71" s="312"/>
      <c r="IG71" s="312"/>
      <c r="IH71" s="312"/>
      <c r="II71" s="312"/>
      <c r="IJ71" s="312"/>
      <c r="IK71" s="312"/>
      <c r="IL71" s="312"/>
      <c r="IM71" s="312"/>
      <c r="IN71" s="312"/>
      <c r="IO71" s="312"/>
      <c r="IP71" s="312"/>
      <c r="IQ71" s="312"/>
      <c r="IR71" s="312"/>
      <c r="IS71" s="312"/>
      <c r="IT71" s="312"/>
      <c r="IU71" s="312"/>
      <c r="IV71" s="312"/>
      <c r="IW71" s="312"/>
      <c r="IX71" s="312"/>
      <c r="IY71" s="312"/>
      <c r="IZ71" s="312"/>
      <c r="JA71" s="312"/>
      <c r="JB71" s="312"/>
      <c r="JC71" s="312"/>
      <c r="JD71" s="312"/>
      <c r="JE71" s="312"/>
      <c r="JF71" s="312"/>
      <c r="JG71" s="312"/>
      <c r="JH71" s="312"/>
      <c r="JI71" s="312"/>
      <c r="JJ71" s="312"/>
      <c r="JK71" s="312"/>
      <c r="JL71" s="312"/>
      <c r="JM71" s="312"/>
      <c r="JN71" s="312"/>
      <c r="JO71" s="312"/>
      <c r="JP71" s="312"/>
      <c r="JQ71" s="312"/>
      <c r="JR71" s="312"/>
      <c r="JS71" s="312"/>
      <c r="JT71" s="312"/>
      <c r="JU71" s="312"/>
      <c r="JV71" s="312"/>
      <c r="JW71" s="312"/>
      <c r="JX71" s="312"/>
      <c r="JY71" s="312"/>
      <c r="JZ71" s="312"/>
      <c r="KA71" s="312"/>
      <c r="KB71" s="312"/>
      <c r="KC71" s="312"/>
      <c r="KD71" s="312"/>
      <c r="KE71" s="312"/>
      <c r="KF71" s="312"/>
      <c r="KG71" s="312"/>
      <c r="KH71" s="312"/>
      <c r="KI71" s="312"/>
      <c r="KJ71" s="312"/>
      <c r="KK71" s="312"/>
      <c r="KL71" s="312"/>
      <c r="KM71" s="312"/>
      <c r="KN71" s="312"/>
      <c r="KO71" s="312"/>
      <c r="KP71" s="312"/>
      <c r="KQ71" s="312"/>
      <c r="KR71" s="312"/>
      <c r="KS71" s="312"/>
      <c r="KT71" s="312"/>
      <c r="KU71" s="312"/>
      <c r="KV71" s="312"/>
      <c r="KW71" s="312"/>
      <c r="KX71" s="312"/>
      <c r="KY71" s="312"/>
      <c r="KZ71" s="312"/>
      <c r="LA71" s="312"/>
      <c r="LB71" s="312"/>
      <c r="LC71" s="312"/>
      <c r="LD71" s="312"/>
      <c r="LE71" s="312"/>
      <c r="LF71" s="312"/>
      <c r="LG71" s="312"/>
      <c r="LH71" s="312"/>
      <c r="LI71" s="312"/>
      <c r="LJ71" s="312"/>
    </row>
    <row r="72" spans="1:322" s="393" customFormat="1">
      <c r="A72" s="397"/>
      <c r="B72" s="398"/>
      <c r="C72" s="275"/>
      <c r="D72" s="727"/>
      <c r="E72" s="357"/>
      <c r="F72" s="358"/>
      <c r="G72" s="399"/>
      <c r="H72" s="206"/>
      <c r="I72" s="206"/>
      <c r="J72" s="206"/>
      <c r="K72" s="206"/>
      <c r="L72" s="206"/>
      <c r="M72" s="400"/>
      <c r="N72" s="359"/>
      <c r="O72" s="359"/>
      <c r="P72" s="401"/>
      <c r="Q72" s="401"/>
      <c r="R72" s="360"/>
      <c r="S72" s="402"/>
      <c r="T72" s="211"/>
      <c r="U72" s="403"/>
      <c r="V72" s="217"/>
      <c r="W72" s="362"/>
      <c r="X72" s="363"/>
      <c r="Y72" s="278"/>
      <c r="Z72" s="278"/>
      <c r="AA72" s="404"/>
      <c r="AB72" s="271"/>
      <c r="AC72" s="405"/>
      <c r="AD72" s="271"/>
      <c r="AE72" s="405"/>
      <c r="AF72" s="271"/>
      <c r="AG72" s="405"/>
      <c r="AH72" s="271"/>
      <c r="AI72" s="405"/>
      <c r="AJ72" s="406"/>
      <c r="AK72" s="405"/>
      <c r="AL72" s="406"/>
      <c r="AM72" s="405"/>
      <c r="AN72" s="406"/>
      <c r="AO72" s="405"/>
      <c r="AP72" s="406"/>
      <c r="AQ72" s="405"/>
      <c r="AR72" s="406"/>
      <c r="AS72" s="405"/>
      <c r="AT72" s="406"/>
      <c r="AU72" s="405"/>
      <c r="AV72" s="406"/>
      <c r="AW72" s="405"/>
      <c r="AX72" s="407"/>
      <c r="AY72" s="366"/>
      <c r="AZ72" s="408"/>
      <c r="BA72" s="367"/>
      <c r="BB72" s="409"/>
      <c r="BC72" s="367"/>
      <c r="BD72" s="409"/>
      <c r="BE72" s="367"/>
      <c r="BF72" s="409"/>
      <c r="BG72" s="367"/>
      <c r="BH72" s="409"/>
      <c r="BI72" s="367"/>
      <c r="BJ72" s="409"/>
      <c r="BK72" s="367"/>
      <c r="BL72" s="409"/>
      <c r="BM72" s="367"/>
      <c r="BN72" s="409"/>
      <c r="BO72" s="367"/>
      <c r="BP72" s="409"/>
      <c r="BQ72" s="367"/>
      <c r="BR72" s="409"/>
      <c r="BS72" s="367"/>
      <c r="BT72" s="409"/>
      <c r="BU72" s="368"/>
      <c r="BV72" s="408"/>
      <c r="BW72" s="369"/>
      <c r="BX72" s="409"/>
      <c r="BY72" s="367"/>
      <c r="BZ72" s="409"/>
      <c r="CA72" s="367"/>
      <c r="CB72" s="409"/>
      <c r="CC72" s="367"/>
      <c r="CD72" s="409"/>
      <c r="CE72" s="367"/>
      <c r="CF72" s="409"/>
      <c r="CG72" s="367"/>
      <c r="CH72" s="409"/>
      <c r="CI72" s="367"/>
      <c r="CJ72" s="409"/>
      <c r="CK72" s="367"/>
      <c r="CL72" s="409"/>
      <c r="CM72" s="367"/>
      <c r="CN72" s="409"/>
      <c r="CO72" s="367"/>
      <c r="CP72" s="409"/>
      <c r="CQ72" s="367"/>
      <c r="CR72" s="409"/>
      <c r="CS72" s="368"/>
      <c r="CT72" s="410"/>
      <c r="CU72" s="283"/>
      <c r="CV72" s="411"/>
      <c r="CW72" s="412"/>
      <c r="CX72" s="285"/>
      <c r="CY72" s="227"/>
      <c r="CZ72" s="229"/>
      <c r="DA72" s="582"/>
      <c r="DB72" s="394"/>
      <c r="DC72" s="395"/>
      <c r="DD72" s="372"/>
      <c r="DE72" s="373"/>
      <c r="DF72" s="372"/>
      <c r="DG72" s="373"/>
      <c r="DH72" s="374"/>
      <c r="DI72" s="375"/>
      <c r="DJ72" s="413"/>
      <c r="DK72" s="377"/>
      <c r="DL72" s="378"/>
      <c r="DM72" s="379"/>
      <c r="DN72" s="233"/>
      <c r="DO72" s="233"/>
      <c r="DP72" s="233"/>
      <c r="DQ72" s="233"/>
      <c r="DR72" s="233"/>
      <c r="DS72" s="233"/>
      <c r="DT72" s="233"/>
      <c r="DU72" s="234"/>
      <c r="DV72" s="378"/>
      <c r="DW72" s="378"/>
      <c r="DX72" s="379"/>
      <c r="DY72" s="233"/>
      <c r="DZ72" s="233"/>
      <c r="EA72" s="233"/>
      <c r="EB72" s="233"/>
      <c r="EC72" s="233"/>
      <c r="ED72" s="233"/>
      <c r="EE72" s="233"/>
      <c r="EF72" s="234"/>
      <c r="EG72" s="378"/>
      <c r="EH72" s="378"/>
      <c r="EI72" s="414"/>
      <c r="EJ72" s="415"/>
      <c r="EK72" s="415"/>
      <c r="EL72" s="248"/>
      <c r="EM72" s="272"/>
      <c r="EN72" s="272"/>
      <c r="EO72" s="272"/>
      <c r="EP72" s="272"/>
      <c r="EQ72" s="272"/>
      <c r="ER72" s="272"/>
      <c r="ES72" s="272"/>
      <c r="ET72" s="272"/>
      <c r="EU72" s="297"/>
      <c r="EV72" s="298"/>
      <c r="EW72" s="272"/>
      <c r="EX72" s="272"/>
      <c r="EY72" s="272"/>
      <c r="EZ72" s="248"/>
      <c r="FA72" s="272"/>
      <c r="FB72" s="272"/>
      <c r="FC72" s="297"/>
      <c r="FD72" s="380"/>
      <c r="FE72" s="309"/>
      <c r="FF72" s="381"/>
      <c r="FG72" s="382"/>
      <c r="FH72" s="383"/>
      <c r="FI72" s="384"/>
      <c r="FJ72" s="380"/>
      <c r="FK72" s="385"/>
      <c r="FL72" s="386"/>
      <c r="FM72" s="387"/>
      <c r="FN72" s="386"/>
      <c r="FO72" s="387"/>
      <c r="FP72" s="388"/>
      <c r="FQ72" s="387"/>
      <c r="FR72" s="388"/>
      <c r="FS72" s="387"/>
      <c r="FT72" s="388"/>
      <c r="FU72" s="387"/>
      <c r="FV72" s="388"/>
      <c r="FW72" s="387"/>
      <c r="FX72" s="388"/>
      <c r="FY72" s="387"/>
      <c r="FZ72" s="388"/>
      <c r="GA72" s="387"/>
      <c r="GB72" s="388"/>
      <c r="GC72" s="387"/>
      <c r="GD72" s="388"/>
      <c r="GE72" s="387"/>
      <c r="GF72" s="388"/>
      <c r="GG72" s="389"/>
      <c r="GH72" s="390"/>
      <c r="GI72" s="387"/>
      <c r="GJ72" s="387"/>
      <c r="GK72" s="387"/>
      <c r="GL72" s="387"/>
      <c r="GM72" s="387"/>
      <c r="GN72" s="387"/>
      <c r="GO72" s="387"/>
      <c r="GP72" s="387"/>
      <c r="GQ72" s="387"/>
      <c r="GR72" s="387"/>
      <c r="GS72" s="387"/>
      <c r="GT72" s="387"/>
      <c r="GU72" s="387"/>
      <c r="GV72" s="387"/>
      <c r="GW72" s="387"/>
      <c r="GX72" s="387"/>
      <c r="GY72" s="387"/>
      <c r="GZ72" s="387"/>
      <c r="HA72" s="387"/>
      <c r="HB72" s="387"/>
      <c r="HC72" s="387"/>
      <c r="HD72" s="387"/>
      <c r="HE72" s="391"/>
      <c r="HF72" s="389"/>
      <c r="HG72" s="387"/>
      <c r="HH72" s="387"/>
      <c r="HI72" s="387"/>
      <c r="HJ72" s="387"/>
      <c r="HK72" s="387"/>
      <c r="HL72" s="387"/>
      <c r="HM72" s="387"/>
      <c r="HN72" s="387"/>
      <c r="HO72" s="387"/>
      <c r="HP72" s="387"/>
      <c r="HQ72" s="387"/>
      <c r="HR72" s="387"/>
      <c r="HS72" s="387"/>
      <c r="HT72" s="387"/>
      <c r="HU72" s="387"/>
      <c r="HV72" s="387"/>
      <c r="HW72" s="387"/>
      <c r="HX72" s="387"/>
      <c r="HY72" s="387"/>
      <c r="HZ72" s="387"/>
      <c r="IA72" s="387"/>
      <c r="IB72" s="387"/>
      <c r="IC72" s="392"/>
      <c r="ID72" s="312"/>
      <c r="IE72" s="312"/>
      <c r="IF72" s="312"/>
      <c r="IG72" s="312"/>
      <c r="IH72" s="312"/>
      <c r="II72" s="312"/>
      <c r="IJ72" s="312"/>
      <c r="IK72" s="312"/>
      <c r="IL72" s="312"/>
      <c r="IM72" s="312"/>
      <c r="IN72" s="312"/>
      <c r="IO72" s="312"/>
      <c r="IP72" s="312"/>
      <c r="IQ72" s="312"/>
      <c r="IR72" s="312"/>
      <c r="IS72" s="312"/>
      <c r="IT72" s="312"/>
      <c r="IU72" s="312"/>
      <c r="IV72" s="312"/>
      <c r="IW72" s="312"/>
      <c r="IX72" s="312"/>
      <c r="IY72" s="312"/>
      <c r="IZ72" s="312"/>
      <c r="JA72" s="312"/>
      <c r="JB72" s="312"/>
      <c r="JC72" s="312"/>
      <c r="JD72" s="312"/>
      <c r="JE72" s="312"/>
      <c r="JF72" s="312"/>
      <c r="JG72" s="312"/>
      <c r="JH72" s="312"/>
      <c r="JI72" s="312"/>
      <c r="JJ72" s="312"/>
      <c r="JK72" s="312"/>
      <c r="JL72" s="312"/>
      <c r="JM72" s="312"/>
      <c r="JN72" s="312"/>
      <c r="JO72" s="312"/>
      <c r="JP72" s="312"/>
      <c r="JQ72" s="312"/>
      <c r="JR72" s="312"/>
      <c r="JS72" s="312"/>
      <c r="JT72" s="312"/>
      <c r="JU72" s="312"/>
      <c r="JV72" s="312"/>
      <c r="JW72" s="312"/>
      <c r="JX72" s="312"/>
      <c r="JY72" s="312"/>
      <c r="JZ72" s="312"/>
      <c r="KA72" s="312"/>
      <c r="KB72" s="312"/>
      <c r="KC72" s="312"/>
      <c r="KD72" s="312"/>
      <c r="KE72" s="312"/>
      <c r="KF72" s="312"/>
      <c r="KG72" s="312"/>
      <c r="KH72" s="312"/>
      <c r="KI72" s="312"/>
      <c r="KJ72" s="312"/>
      <c r="KK72" s="312"/>
      <c r="KL72" s="312"/>
      <c r="KM72" s="312"/>
      <c r="KN72" s="312"/>
      <c r="KO72" s="312"/>
      <c r="KP72" s="312"/>
      <c r="KQ72" s="312"/>
      <c r="KR72" s="312"/>
      <c r="KS72" s="312"/>
      <c r="KT72" s="312"/>
      <c r="KU72" s="312"/>
      <c r="KV72" s="312"/>
      <c r="KW72" s="312"/>
      <c r="KX72" s="312"/>
      <c r="KY72" s="312"/>
      <c r="KZ72" s="312"/>
      <c r="LA72" s="312"/>
      <c r="LB72" s="312"/>
      <c r="LC72" s="312"/>
      <c r="LD72" s="312"/>
      <c r="LE72" s="312"/>
      <c r="LF72" s="312"/>
      <c r="LG72" s="312"/>
      <c r="LH72" s="312"/>
      <c r="LI72" s="312"/>
      <c r="LJ72" s="312"/>
    </row>
    <row r="73" spans="1:322" s="393" customFormat="1">
      <c r="A73" s="397"/>
      <c r="B73" s="398"/>
      <c r="C73" s="275"/>
      <c r="D73" s="727"/>
      <c r="E73" s="357"/>
      <c r="F73" s="358"/>
      <c r="G73" s="399"/>
      <c r="H73" s="206"/>
      <c r="I73" s="206"/>
      <c r="J73" s="206"/>
      <c r="K73" s="206"/>
      <c r="L73" s="206"/>
      <c r="M73" s="400"/>
      <c r="N73" s="359"/>
      <c r="O73" s="359"/>
      <c r="P73" s="401"/>
      <c r="Q73" s="401"/>
      <c r="R73" s="360"/>
      <c r="S73" s="402"/>
      <c r="T73" s="211"/>
      <c r="U73" s="403"/>
      <c r="V73" s="217"/>
      <c r="W73" s="362"/>
      <c r="X73" s="363"/>
      <c r="Y73" s="278"/>
      <c r="Z73" s="278"/>
      <c r="AA73" s="404"/>
      <c r="AB73" s="271"/>
      <c r="AC73" s="405"/>
      <c r="AD73" s="271"/>
      <c r="AE73" s="405"/>
      <c r="AF73" s="271"/>
      <c r="AG73" s="405"/>
      <c r="AH73" s="271"/>
      <c r="AI73" s="405"/>
      <c r="AJ73" s="406"/>
      <c r="AK73" s="405"/>
      <c r="AL73" s="406"/>
      <c r="AM73" s="405"/>
      <c r="AN73" s="406"/>
      <c r="AO73" s="405"/>
      <c r="AP73" s="406"/>
      <c r="AQ73" s="405"/>
      <c r="AR73" s="406"/>
      <c r="AS73" s="405"/>
      <c r="AT73" s="406"/>
      <c r="AU73" s="405"/>
      <c r="AV73" s="406"/>
      <c r="AW73" s="405"/>
      <c r="AX73" s="407"/>
      <c r="AY73" s="366"/>
      <c r="AZ73" s="408"/>
      <c r="BA73" s="367"/>
      <c r="BB73" s="409"/>
      <c r="BC73" s="367"/>
      <c r="BD73" s="409"/>
      <c r="BE73" s="367"/>
      <c r="BF73" s="409"/>
      <c r="BG73" s="367"/>
      <c r="BH73" s="409"/>
      <c r="BI73" s="367"/>
      <c r="BJ73" s="409"/>
      <c r="BK73" s="367"/>
      <c r="BL73" s="409"/>
      <c r="BM73" s="367"/>
      <c r="BN73" s="409"/>
      <c r="BO73" s="367"/>
      <c r="BP73" s="409"/>
      <c r="BQ73" s="367"/>
      <c r="BR73" s="409"/>
      <c r="BS73" s="367"/>
      <c r="BT73" s="409"/>
      <c r="BU73" s="368"/>
      <c r="BV73" s="408"/>
      <c r="BW73" s="369"/>
      <c r="BX73" s="409"/>
      <c r="BY73" s="367"/>
      <c r="BZ73" s="409"/>
      <c r="CA73" s="367"/>
      <c r="CB73" s="409"/>
      <c r="CC73" s="367"/>
      <c r="CD73" s="409"/>
      <c r="CE73" s="367"/>
      <c r="CF73" s="409"/>
      <c r="CG73" s="367"/>
      <c r="CH73" s="409"/>
      <c r="CI73" s="367"/>
      <c r="CJ73" s="409"/>
      <c r="CK73" s="367"/>
      <c r="CL73" s="409"/>
      <c r="CM73" s="367"/>
      <c r="CN73" s="409"/>
      <c r="CO73" s="367"/>
      <c r="CP73" s="409"/>
      <c r="CQ73" s="367"/>
      <c r="CR73" s="409"/>
      <c r="CS73" s="368"/>
      <c r="CT73" s="410"/>
      <c r="CU73" s="283"/>
      <c r="CV73" s="411"/>
      <c r="CW73" s="412"/>
      <c r="CX73" s="285"/>
      <c r="CY73" s="227"/>
      <c r="CZ73" s="229"/>
      <c r="DA73" s="582"/>
      <c r="DB73" s="394"/>
      <c r="DC73" s="395"/>
      <c r="DD73" s="372"/>
      <c r="DE73" s="373"/>
      <c r="DF73" s="372"/>
      <c r="DG73" s="373"/>
      <c r="DH73" s="374"/>
      <c r="DI73" s="375"/>
      <c r="DJ73" s="413"/>
      <c r="DK73" s="377"/>
      <c r="DL73" s="378"/>
      <c r="DM73" s="379"/>
      <c r="DN73" s="233"/>
      <c r="DO73" s="233"/>
      <c r="DP73" s="233"/>
      <c r="DQ73" s="233"/>
      <c r="DR73" s="233"/>
      <c r="DS73" s="233"/>
      <c r="DT73" s="233"/>
      <c r="DU73" s="234"/>
      <c r="DV73" s="378"/>
      <c r="DW73" s="378"/>
      <c r="DX73" s="379"/>
      <c r="DY73" s="233"/>
      <c r="DZ73" s="233"/>
      <c r="EA73" s="233"/>
      <c r="EB73" s="233"/>
      <c r="EC73" s="233"/>
      <c r="ED73" s="233"/>
      <c r="EE73" s="233"/>
      <c r="EF73" s="234"/>
      <c r="EG73" s="378"/>
      <c r="EH73" s="378"/>
      <c r="EI73" s="414"/>
      <c r="EJ73" s="415"/>
      <c r="EK73" s="415"/>
      <c r="EL73" s="248"/>
      <c r="EM73" s="272"/>
      <c r="EN73" s="272"/>
      <c r="EO73" s="272"/>
      <c r="EP73" s="272"/>
      <c r="EQ73" s="272"/>
      <c r="ER73" s="272"/>
      <c r="ES73" s="272"/>
      <c r="ET73" s="272"/>
      <c r="EU73" s="297"/>
      <c r="EV73" s="298"/>
      <c r="EW73" s="272"/>
      <c r="EX73" s="272"/>
      <c r="EY73" s="272"/>
      <c r="EZ73" s="248"/>
      <c r="FA73" s="272"/>
      <c r="FB73" s="272"/>
      <c r="FC73" s="297"/>
      <c r="FD73" s="380"/>
      <c r="FE73" s="309"/>
      <c r="FF73" s="381"/>
      <c r="FG73" s="382"/>
      <c r="FH73" s="383"/>
      <c r="FI73" s="384"/>
      <c r="FJ73" s="380"/>
      <c r="FK73" s="385"/>
      <c r="FL73" s="386"/>
      <c r="FM73" s="387"/>
      <c r="FN73" s="386"/>
      <c r="FO73" s="387"/>
      <c r="FP73" s="388"/>
      <c r="FQ73" s="387"/>
      <c r="FR73" s="388"/>
      <c r="FS73" s="387"/>
      <c r="FT73" s="388"/>
      <c r="FU73" s="387"/>
      <c r="FV73" s="388"/>
      <c r="FW73" s="387"/>
      <c r="FX73" s="388"/>
      <c r="FY73" s="387"/>
      <c r="FZ73" s="388"/>
      <c r="GA73" s="387"/>
      <c r="GB73" s="388"/>
      <c r="GC73" s="387"/>
      <c r="GD73" s="388"/>
      <c r="GE73" s="387"/>
      <c r="GF73" s="388"/>
      <c r="GG73" s="389"/>
      <c r="GH73" s="390"/>
      <c r="GI73" s="387"/>
      <c r="GJ73" s="387"/>
      <c r="GK73" s="387"/>
      <c r="GL73" s="387"/>
      <c r="GM73" s="387"/>
      <c r="GN73" s="387"/>
      <c r="GO73" s="387"/>
      <c r="GP73" s="387"/>
      <c r="GQ73" s="387"/>
      <c r="GR73" s="387"/>
      <c r="GS73" s="387"/>
      <c r="GT73" s="387"/>
      <c r="GU73" s="387"/>
      <c r="GV73" s="387"/>
      <c r="GW73" s="387"/>
      <c r="GX73" s="387"/>
      <c r="GY73" s="387"/>
      <c r="GZ73" s="387"/>
      <c r="HA73" s="387"/>
      <c r="HB73" s="387"/>
      <c r="HC73" s="387"/>
      <c r="HD73" s="387"/>
      <c r="HE73" s="391"/>
      <c r="HF73" s="389"/>
      <c r="HG73" s="387"/>
      <c r="HH73" s="387"/>
      <c r="HI73" s="387"/>
      <c r="HJ73" s="387"/>
      <c r="HK73" s="387"/>
      <c r="HL73" s="387"/>
      <c r="HM73" s="387"/>
      <c r="HN73" s="387"/>
      <c r="HO73" s="387"/>
      <c r="HP73" s="387"/>
      <c r="HQ73" s="387"/>
      <c r="HR73" s="387"/>
      <c r="HS73" s="387"/>
      <c r="HT73" s="387"/>
      <c r="HU73" s="387"/>
      <c r="HV73" s="387"/>
      <c r="HW73" s="387"/>
      <c r="HX73" s="387"/>
      <c r="HY73" s="387"/>
      <c r="HZ73" s="387"/>
      <c r="IA73" s="387"/>
      <c r="IB73" s="387"/>
      <c r="IC73" s="392"/>
      <c r="ID73" s="312"/>
      <c r="IE73" s="312"/>
      <c r="IF73" s="312"/>
      <c r="IG73" s="312"/>
      <c r="IH73" s="312"/>
      <c r="II73" s="312"/>
      <c r="IJ73" s="312"/>
      <c r="IK73" s="312"/>
      <c r="IL73" s="312"/>
      <c r="IM73" s="312"/>
      <c r="IN73" s="312"/>
      <c r="IO73" s="312"/>
      <c r="IP73" s="312"/>
      <c r="IQ73" s="312"/>
      <c r="IR73" s="312"/>
      <c r="IS73" s="312"/>
      <c r="IT73" s="312"/>
      <c r="IU73" s="312"/>
      <c r="IV73" s="312"/>
      <c r="IW73" s="312"/>
      <c r="IX73" s="312"/>
      <c r="IY73" s="312"/>
      <c r="IZ73" s="312"/>
      <c r="JA73" s="312"/>
      <c r="JB73" s="312"/>
      <c r="JC73" s="312"/>
      <c r="JD73" s="312"/>
      <c r="JE73" s="312"/>
      <c r="JF73" s="312"/>
      <c r="JG73" s="312"/>
      <c r="JH73" s="312"/>
      <c r="JI73" s="312"/>
      <c r="JJ73" s="312"/>
      <c r="JK73" s="312"/>
      <c r="JL73" s="312"/>
      <c r="JM73" s="312"/>
      <c r="JN73" s="312"/>
      <c r="JO73" s="312"/>
      <c r="JP73" s="312"/>
      <c r="JQ73" s="312"/>
      <c r="JR73" s="312"/>
      <c r="JS73" s="312"/>
      <c r="JT73" s="312"/>
      <c r="JU73" s="312"/>
      <c r="JV73" s="312"/>
      <c r="JW73" s="312"/>
      <c r="JX73" s="312"/>
      <c r="JY73" s="312"/>
      <c r="JZ73" s="312"/>
      <c r="KA73" s="312"/>
      <c r="KB73" s="312"/>
      <c r="KC73" s="312"/>
      <c r="KD73" s="312"/>
      <c r="KE73" s="312"/>
      <c r="KF73" s="312"/>
      <c r="KG73" s="312"/>
      <c r="KH73" s="312"/>
      <c r="KI73" s="312"/>
      <c r="KJ73" s="312"/>
      <c r="KK73" s="312"/>
      <c r="KL73" s="312"/>
      <c r="KM73" s="312"/>
      <c r="KN73" s="312"/>
      <c r="KO73" s="312"/>
      <c r="KP73" s="312"/>
      <c r="KQ73" s="312"/>
      <c r="KR73" s="312"/>
      <c r="KS73" s="312"/>
      <c r="KT73" s="312"/>
      <c r="KU73" s="312"/>
      <c r="KV73" s="312"/>
      <c r="KW73" s="312"/>
      <c r="KX73" s="312"/>
      <c r="KY73" s="312"/>
      <c r="KZ73" s="312"/>
      <c r="LA73" s="312"/>
      <c r="LB73" s="312"/>
      <c r="LC73" s="312"/>
      <c r="LD73" s="312"/>
      <c r="LE73" s="312"/>
      <c r="LF73" s="312"/>
      <c r="LG73" s="312"/>
      <c r="LH73" s="312"/>
      <c r="LI73" s="312"/>
      <c r="LJ73" s="312"/>
    </row>
    <row r="74" spans="1:322" s="393" customFormat="1">
      <c r="A74" s="397"/>
      <c r="B74" s="398"/>
      <c r="C74" s="275"/>
      <c r="D74" s="727"/>
      <c r="E74" s="357"/>
      <c r="F74" s="358"/>
      <c r="G74" s="399"/>
      <c r="H74" s="206"/>
      <c r="I74" s="206"/>
      <c r="J74" s="206"/>
      <c r="K74" s="206"/>
      <c r="L74" s="206"/>
      <c r="M74" s="400"/>
      <c r="N74" s="359"/>
      <c r="O74" s="359"/>
      <c r="P74" s="401"/>
      <c r="Q74" s="401"/>
      <c r="R74" s="360"/>
      <c r="S74" s="402"/>
      <c r="T74" s="211"/>
      <c r="U74" s="403"/>
      <c r="V74" s="217"/>
      <c r="W74" s="362"/>
      <c r="X74" s="363"/>
      <c r="Y74" s="278"/>
      <c r="Z74" s="278"/>
      <c r="AA74" s="404"/>
      <c r="AB74" s="271"/>
      <c r="AC74" s="405"/>
      <c r="AD74" s="271"/>
      <c r="AE74" s="405"/>
      <c r="AF74" s="271"/>
      <c r="AG74" s="405"/>
      <c r="AH74" s="271"/>
      <c r="AI74" s="405"/>
      <c r="AJ74" s="406"/>
      <c r="AK74" s="405"/>
      <c r="AL74" s="406"/>
      <c r="AM74" s="405"/>
      <c r="AN74" s="406"/>
      <c r="AO74" s="405"/>
      <c r="AP74" s="406"/>
      <c r="AQ74" s="405"/>
      <c r="AR74" s="406"/>
      <c r="AS74" s="405"/>
      <c r="AT74" s="406"/>
      <c r="AU74" s="405"/>
      <c r="AV74" s="406"/>
      <c r="AW74" s="405"/>
      <c r="AX74" s="407"/>
      <c r="AY74" s="366"/>
      <c r="AZ74" s="408"/>
      <c r="BA74" s="367"/>
      <c r="BB74" s="409"/>
      <c r="BC74" s="367"/>
      <c r="BD74" s="409"/>
      <c r="BE74" s="367"/>
      <c r="BF74" s="409"/>
      <c r="BG74" s="367"/>
      <c r="BH74" s="409"/>
      <c r="BI74" s="367"/>
      <c r="BJ74" s="409"/>
      <c r="BK74" s="367"/>
      <c r="BL74" s="409"/>
      <c r="BM74" s="367"/>
      <c r="BN74" s="409"/>
      <c r="BO74" s="367"/>
      <c r="BP74" s="409"/>
      <c r="BQ74" s="367"/>
      <c r="BR74" s="409"/>
      <c r="BS74" s="367"/>
      <c r="BT74" s="409"/>
      <c r="BU74" s="368"/>
      <c r="BV74" s="408"/>
      <c r="BW74" s="369"/>
      <c r="BX74" s="409"/>
      <c r="BY74" s="367"/>
      <c r="BZ74" s="409"/>
      <c r="CA74" s="367"/>
      <c r="CB74" s="409"/>
      <c r="CC74" s="367"/>
      <c r="CD74" s="409"/>
      <c r="CE74" s="367"/>
      <c r="CF74" s="409"/>
      <c r="CG74" s="367"/>
      <c r="CH74" s="409"/>
      <c r="CI74" s="367"/>
      <c r="CJ74" s="409"/>
      <c r="CK74" s="367"/>
      <c r="CL74" s="409"/>
      <c r="CM74" s="367"/>
      <c r="CN74" s="409"/>
      <c r="CO74" s="367"/>
      <c r="CP74" s="409"/>
      <c r="CQ74" s="367"/>
      <c r="CR74" s="409"/>
      <c r="CS74" s="368"/>
      <c r="CT74" s="410"/>
      <c r="CU74" s="283"/>
      <c r="CV74" s="411"/>
      <c r="CW74" s="412"/>
      <c r="CX74" s="285"/>
      <c r="CY74" s="227"/>
      <c r="CZ74" s="229"/>
      <c r="DA74" s="582"/>
      <c r="DB74" s="394"/>
      <c r="DC74" s="395"/>
      <c r="DD74" s="372"/>
      <c r="DE74" s="373"/>
      <c r="DF74" s="372"/>
      <c r="DG74" s="373"/>
      <c r="DH74" s="374"/>
      <c r="DI74" s="375"/>
      <c r="DJ74" s="413"/>
      <c r="DK74" s="377"/>
      <c r="DL74" s="378"/>
      <c r="DM74" s="379"/>
      <c r="DN74" s="233"/>
      <c r="DO74" s="233"/>
      <c r="DP74" s="233"/>
      <c r="DQ74" s="233"/>
      <c r="DR74" s="233"/>
      <c r="DS74" s="233"/>
      <c r="DT74" s="233"/>
      <c r="DU74" s="234"/>
      <c r="DV74" s="378"/>
      <c r="DW74" s="378"/>
      <c r="DX74" s="379"/>
      <c r="DY74" s="233"/>
      <c r="DZ74" s="233"/>
      <c r="EA74" s="233"/>
      <c r="EB74" s="233"/>
      <c r="EC74" s="233"/>
      <c r="ED74" s="233"/>
      <c r="EE74" s="233"/>
      <c r="EF74" s="234"/>
      <c r="EG74" s="378"/>
      <c r="EH74" s="378"/>
      <c r="EI74" s="414"/>
      <c r="EJ74" s="415"/>
      <c r="EK74" s="415"/>
      <c r="EL74" s="248"/>
      <c r="EM74" s="272"/>
      <c r="EN74" s="272"/>
      <c r="EO74" s="272"/>
      <c r="EP74" s="272"/>
      <c r="EQ74" s="272"/>
      <c r="ER74" s="272"/>
      <c r="ES74" s="272"/>
      <c r="ET74" s="272"/>
      <c r="EU74" s="297"/>
      <c r="EV74" s="298"/>
      <c r="EW74" s="272"/>
      <c r="EX74" s="272"/>
      <c r="EY74" s="272"/>
      <c r="EZ74" s="248"/>
      <c r="FA74" s="272"/>
      <c r="FB74" s="272"/>
      <c r="FC74" s="297"/>
      <c r="FD74" s="380"/>
      <c r="FE74" s="309"/>
      <c r="FF74" s="381"/>
      <c r="FG74" s="382"/>
      <c r="FH74" s="383"/>
      <c r="FI74" s="384"/>
      <c r="FJ74" s="380"/>
      <c r="FK74" s="385"/>
      <c r="FL74" s="386"/>
      <c r="FM74" s="387"/>
      <c r="FN74" s="386"/>
      <c r="FO74" s="387"/>
      <c r="FP74" s="388"/>
      <c r="FQ74" s="387"/>
      <c r="FR74" s="388"/>
      <c r="FS74" s="387"/>
      <c r="FT74" s="388"/>
      <c r="FU74" s="387"/>
      <c r="FV74" s="388"/>
      <c r="FW74" s="387"/>
      <c r="FX74" s="388"/>
      <c r="FY74" s="387"/>
      <c r="FZ74" s="388"/>
      <c r="GA74" s="387"/>
      <c r="GB74" s="388"/>
      <c r="GC74" s="387"/>
      <c r="GD74" s="388"/>
      <c r="GE74" s="387"/>
      <c r="GF74" s="388"/>
      <c r="GG74" s="389"/>
      <c r="GH74" s="390"/>
      <c r="GI74" s="387"/>
      <c r="GJ74" s="387"/>
      <c r="GK74" s="387"/>
      <c r="GL74" s="387"/>
      <c r="GM74" s="387"/>
      <c r="GN74" s="387"/>
      <c r="GO74" s="387"/>
      <c r="GP74" s="387"/>
      <c r="GQ74" s="387"/>
      <c r="GR74" s="387"/>
      <c r="GS74" s="387"/>
      <c r="GT74" s="387"/>
      <c r="GU74" s="387"/>
      <c r="GV74" s="387"/>
      <c r="GW74" s="387"/>
      <c r="GX74" s="387"/>
      <c r="GY74" s="387"/>
      <c r="GZ74" s="387"/>
      <c r="HA74" s="387"/>
      <c r="HB74" s="387"/>
      <c r="HC74" s="387"/>
      <c r="HD74" s="387"/>
      <c r="HE74" s="391"/>
      <c r="HF74" s="389"/>
      <c r="HG74" s="387"/>
      <c r="HH74" s="387"/>
      <c r="HI74" s="387"/>
      <c r="HJ74" s="387"/>
      <c r="HK74" s="387"/>
      <c r="HL74" s="387"/>
      <c r="HM74" s="387"/>
      <c r="HN74" s="387"/>
      <c r="HO74" s="387"/>
      <c r="HP74" s="387"/>
      <c r="HQ74" s="387"/>
      <c r="HR74" s="387"/>
      <c r="HS74" s="387"/>
      <c r="HT74" s="387"/>
      <c r="HU74" s="387"/>
      <c r="HV74" s="387"/>
      <c r="HW74" s="387"/>
      <c r="HX74" s="387"/>
      <c r="HY74" s="387"/>
      <c r="HZ74" s="387"/>
      <c r="IA74" s="387"/>
      <c r="IB74" s="387"/>
      <c r="IC74" s="392"/>
      <c r="ID74" s="312"/>
      <c r="IE74" s="312"/>
      <c r="IF74" s="312"/>
      <c r="IG74" s="312"/>
      <c r="IH74" s="312"/>
      <c r="II74" s="312"/>
      <c r="IJ74" s="312"/>
      <c r="IK74" s="312"/>
      <c r="IL74" s="312"/>
      <c r="IM74" s="312"/>
      <c r="IN74" s="312"/>
      <c r="IO74" s="312"/>
      <c r="IP74" s="312"/>
      <c r="IQ74" s="312"/>
      <c r="IR74" s="312"/>
      <c r="IS74" s="312"/>
      <c r="IT74" s="312"/>
      <c r="IU74" s="312"/>
      <c r="IV74" s="312"/>
      <c r="IW74" s="312"/>
      <c r="IX74" s="312"/>
      <c r="IY74" s="312"/>
      <c r="IZ74" s="312"/>
      <c r="JA74" s="312"/>
      <c r="JB74" s="312"/>
      <c r="JC74" s="312"/>
      <c r="JD74" s="312"/>
      <c r="JE74" s="312"/>
      <c r="JF74" s="312"/>
      <c r="JG74" s="312"/>
      <c r="JH74" s="312"/>
      <c r="JI74" s="312"/>
      <c r="JJ74" s="312"/>
      <c r="JK74" s="312"/>
      <c r="JL74" s="312"/>
      <c r="JM74" s="312"/>
      <c r="JN74" s="312"/>
      <c r="JO74" s="312"/>
      <c r="JP74" s="312"/>
      <c r="JQ74" s="312"/>
      <c r="JR74" s="312"/>
      <c r="JS74" s="312"/>
      <c r="JT74" s="312"/>
      <c r="JU74" s="312"/>
      <c r="JV74" s="312"/>
      <c r="JW74" s="312"/>
      <c r="JX74" s="312"/>
      <c r="JY74" s="312"/>
      <c r="JZ74" s="312"/>
      <c r="KA74" s="312"/>
      <c r="KB74" s="312"/>
      <c r="KC74" s="312"/>
      <c r="KD74" s="312"/>
      <c r="KE74" s="312"/>
      <c r="KF74" s="312"/>
      <c r="KG74" s="312"/>
      <c r="KH74" s="312"/>
      <c r="KI74" s="312"/>
      <c r="KJ74" s="312"/>
      <c r="KK74" s="312"/>
      <c r="KL74" s="312"/>
      <c r="KM74" s="312"/>
      <c r="KN74" s="312"/>
      <c r="KO74" s="312"/>
      <c r="KP74" s="312"/>
      <c r="KQ74" s="312"/>
      <c r="KR74" s="312"/>
      <c r="KS74" s="312"/>
      <c r="KT74" s="312"/>
      <c r="KU74" s="312"/>
      <c r="KV74" s="312"/>
      <c r="KW74" s="312"/>
      <c r="KX74" s="312"/>
      <c r="KY74" s="312"/>
      <c r="KZ74" s="312"/>
      <c r="LA74" s="312"/>
      <c r="LB74" s="312"/>
      <c r="LC74" s="312"/>
      <c r="LD74" s="312"/>
      <c r="LE74" s="312"/>
      <c r="LF74" s="312"/>
      <c r="LG74" s="312"/>
      <c r="LH74" s="312"/>
      <c r="LI74" s="312"/>
      <c r="LJ74" s="312"/>
    </row>
    <row r="75" spans="1:322" s="393" customFormat="1">
      <c r="A75" s="397"/>
      <c r="B75" s="398"/>
      <c r="C75" s="275"/>
      <c r="D75" s="727"/>
      <c r="E75" s="357"/>
      <c r="F75" s="358"/>
      <c r="G75" s="399"/>
      <c r="H75" s="206"/>
      <c r="I75" s="206"/>
      <c r="J75" s="206"/>
      <c r="K75" s="206"/>
      <c r="L75" s="206"/>
      <c r="M75" s="400"/>
      <c r="N75" s="359"/>
      <c r="O75" s="359"/>
      <c r="P75" s="401"/>
      <c r="Q75" s="401"/>
      <c r="R75" s="360"/>
      <c r="S75" s="402"/>
      <c r="T75" s="211"/>
      <c r="U75" s="403"/>
      <c r="V75" s="217"/>
      <c r="W75" s="362"/>
      <c r="X75" s="363"/>
      <c r="Y75" s="278"/>
      <c r="Z75" s="278"/>
      <c r="AA75" s="404"/>
      <c r="AB75" s="271"/>
      <c r="AC75" s="405"/>
      <c r="AD75" s="271"/>
      <c r="AE75" s="405"/>
      <c r="AF75" s="271"/>
      <c r="AG75" s="405"/>
      <c r="AH75" s="271"/>
      <c r="AI75" s="405"/>
      <c r="AJ75" s="406"/>
      <c r="AK75" s="405"/>
      <c r="AL75" s="406"/>
      <c r="AM75" s="405"/>
      <c r="AN75" s="406"/>
      <c r="AO75" s="405"/>
      <c r="AP75" s="406"/>
      <c r="AQ75" s="405"/>
      <c r="AR75" s="406"/>
      <c r="AS75" s="405"/>
      <c r="AT75" s="406"/>
      <c r="AU75" s="405"/>
      <c r="AV75" s="406"/>
      <c r="AW75" s="405"/>
      <c r="AX75" s="407"/>
      <c r="AY75" s="366"/>
      <c r="AZ75" s="408"/>
      <c r="BA75" s="367"/>
      <c r="BB75" s="409"/>
      <c r="BC75" s="367"/>
      <c r="BD75" s="409"/>
      <c r="BE75" s="367"/>
      <c r="BF75" s="409"/>
      <c r="BG75" s="367"/>
      <c r="BH75" s="409"/>
      <c r="BI75" s="367"/>
      <c r="BJ75" s="409"/>
      <c r="BK75" s="367"/>
      <c r="BL75" s="409"/>
      <c r="BM75" s="367"/>
      <c r="BN75" s="409"/>
      <c r="BO75" s="367"/>
      <c r="BP75" s="409"/>
      <c r="BQ75" s="367"/>
      <c r="BR75" s="409"/>
      <c r="BS75" s="367"/>
      <c r="BT75" s="409"/>
      <c r="BU75" s="368"/>
      <c r="BV75" s="408"/>
      <c r="BW75" s="369"/>
      <c r="BX75" s="409"/>
      <c r="BY75" s="367"/>
      <c r="BZ75" s="409"/>
      <c r="CA75" s="367"/>
      <c r="CB75" s="409"/>
      <c r="CC75" s="367"/>
      <c r="CD75" s="409"/>
      <c r="CE75" s="367"/>
      <c r="CF75" s="409"/>
      <c r="CG75" s="367"/>
      <c r="CH75" s="409"/>
      <c r="CI75" s="367"/>
      <c r="CJ75" s="409"/>
      <c r="CK75" s="367"/>
      <c r="CL75" s="409"/>
      <c r="CM75" s="367"/>
      <c r="CN75" s="409"/>
      <c r="CO75" s="367"/>
      <c r="CP75" s="409"/>
      <c r="CQ75" s="367"/>
      <c r="CR75" s="409"/>
      <c r="CS75" s="368"/>
      <c r="CT75" s="410"/>
      <c r="CU75" s="283"/>
      <c r="CV75" s="411"/>
      <c r="CW75" s="412"/>
      <c r="CX75" s="285"/>
      <c r="CY75" s="227"/>
      <c r="CZ75" s="229"/>
      <c r="DA75" s="582"/>
      <c r="DB75" s="394"/>
      <c r="DC75" s="395"/>
      <c r="DD75" s="372"/>
      <c r="DE75" s="373"/>
      <c r="DF75" s="372"/>
      <c r="DG75" s="373"/>
      <c r="DH75" s="374"/>
      <c r="DI75" s="375"/>
      <c r="DJ75" s="413"/>
      <c r="DK75" s="377"/>
      <c r="DL75" s="378"/>
      <c r="DM75" s="379"/>
      <c r="DN75" s="233"/>
      <c r="DO75" s="233"/>
      <c r="DP75" s="233"/>
      <c r="DQ75" s="233"/>
      <c r="DR75" s="233"/>
      <c r="DS75" s="233"/>
      <c r="DT75" s="233"/>
      <c r="DU75" s="234"/>
      <c r="DV75" s="378"/>
      <c r="DW75" s="378"/>
      <c r="DX75" s="379"/>
      <c r="DY75" s="233"/>
      <c r="DZ75" s="233"/>
      <c r="EA75" s="233"/>
      <c r="EB75" s="233"/>
      <c r="EC75" s="233"/>
      <c r="ED75" s="233"/>
      <c r="EE75" s="233"/>
      <c r="EF75" s="234"/>
      <c r="EG75" s="378"/>
      <c r="EH75" s="378"/>
      <c r="EI75" s="414"/>
      <c r="EJ75" s="415"/>
      <c r="EK75" s="415"/>
      <c r="EL75" s="248"/>
      <c r="EM75" s="272"/>
      <c r="EN75" s="272"/>
      <c r="EO75" s="272"/>
      <c r="EP75" s="272"/>
      <c r="EQ75" s="272"/>
      <c r="ER75" s="272"/>
      <c r="ES75" s="272"/>
      <c r="ET75" s="272"/>
      <c r="EU75" s="297"/>
      <c r="EV75" s="298"/>
      <c r="EW75" s="272"/>
      <c r="EX75" s="272"/>
      <c r="EY75" s="272"/>
      <c r="EZ75" s="248"/>
      <c r="FA75" s="272"/>
      <c r="FB75" s="272"/>
      <c r="FC75" s="297"/>
      <c r="FD75" s="380"/>
      <c r="FE75" s="309"/>
      <c r="FF75" s="381"/>
      <c r="FG75" s="382"/>
      <c r="FH75" s="383"/>
      <c r="FI75" s="384"/>
      <c r="FJ75" s="380"/>
      <c r="FK75" s="385"/>
      <c r="FL75" s="386"/>
      <c r="FM75" s="387"/>
      <c r="FN75" s="386"/>
      <c r="FO75" s="387"/>
      <c r="FP75" s="388"/>
      <c r="FQ75" s="387"/>
      <c r="FR75" s="388"/>
      <c r="FS75" s="387"/>
      <c r="FT75" s="388"/>
      <c r="FU75" s="387"/>
      <c r="FV75" s="388"/>
      <c r="FW75" s="387"/>
      <c r="FX75" s="388"/>
      <c r="FY75" s="387"/>
      <c r="FZ75" s="388"/>
      <c r="GA75" s="387"/>
      <c r="GB75" s="388"/>
      <c r="GC75" s="387"/>
      <c r="GD75" s="388"/>
      <c r="GE75" s="387"/>
      <c r="GF75" s="388"/>
      <c r="GG75" s="389"/>
      <c r="GH75" s="390"/>
      <c r="GI75" s="387"/>
      <c r="GJ75" s="387"/>
      <c r="GK75" s="387"/>
      <c r="GL75" s="387"/>
      <c r="GM75" s="387"/>
      <c r="GN75" s="387"/>
      <c r="GO75" s="387"/>
      <c r="GP75" s="387"/>
      <c r="GQ75" s="387"/>
      <c r="GR75" s="387"/>
      <c r="GS75" s="387"/>
      <c r="GT75" s="387"/>
      <c r="GU75" s="387"/>
      <c r="GV75" s="387"/>
      <c r="GW75" s="387"/>
      <c r="GX75" s="387"/>
      <c r="GY75" s="387"/>
      <c r="GZ75" s="387"/>
      <c r="HA75" s="387"/>
      <c r="HB75" s="387"/>
      <c r="HC75" s="387"/>
      <c r="HD75" s="387"/>
      <c r="HE75" s="391"/>
      <c r="HF75" s="389"/>
      <c r="HG75" s="387"/>
      <c r="HH75" s="387"/>
      <c r="HI75" s="387"/>
      <c r="HJ75" s="387"/>
      <c r="HK75" s="387"/>
      <c r="HL75" s="387"/>
      <c r="HM75" s="387"/>
      <c r="HN75" s="387"/>
      <c r="HO75" s="387"/>
      <c r="HP75" s="387"/>
      <c r="HQ75" s="387"/>
      <c r="HR75" s="387"/>
      <c r="HS75" s="387"/>
      <c r="HT75" s="387"/>
      <c r="HU75" s="387"/>
      <c r="HV75" s="387"/>
      <c r="HW75" s="387"/>
      <c r="HX75" s="387"/>
      <c r="HY75" s="387"/>
      <c r="HZ75" s="387"/>
      <c r="IA75" s="387"/>
      <c r="IB75" s="387"/>
      <c r="IC75" s="392"/>
      <c r="ID75" s="312"/>
      <c r="IE75" s="312"/>
      <c r="IF75" s="312"/>
      <c r="IG75" s="312"/>
      <c r="IH75" s="312"/>
      <c r="II75" s="312"/>
      <c r="IJ75" s="312"/>
      <c r="IK75" s="312"/>
      <c r="IL75" s="312"/>
      <c r="IM75" s="312"/>
      <c r="IN75" s="312"/>
      <c r="IO75" s="312"/>
      <c r="IP75" s="312"/>
      <c r="IQ75" s="312"/>
      <c r="IR75" s="312"/>
      <c r="IS75" s="312"/>
      <c r="IT75" s="312"/>
      <c r="IU75" s="312"/>
      <c r="IV75" s="312"/>
      <c r="IW75" s="312"/>
      <c r="IX75" s="312"/>
      <c r="IY75" s="312"/>
      <c r="IZ75" s="312"/>
      <c r="JA75" s="312"/>
      <c r="JB75" s="312"/>
      <c r="JC75" s="312"/>
      <c r="JD75" s="312"/>
      <c r="JE75" s="312"/>
      <c r="JF75" s="312"/>
      <c r="JG75" s="312"/>
      <c r="JH75" s="312"/>
      <c r="JI75" s="312"/>
      <c r="JJ75" s="312"/>
      <c r="JK75" s="312"/>
      <c r="JL75" s="312"/>
      <c r="JM75" s="312"/>
      <c r="JN75" s="312"/>
      <c r="JO75" s="312"/>
      <c r="JP75" s="312"/>
      <c r="JQ75" s="312"/>
      <c r="JR75" s="312"/>
      <c r="JS75" s="312"/>
      <c r="JT75" s="312"/>
      <c r="JU75" s="312"/>
      <c r="JV75" s="312"/>
      <c r="JW75" s="312"/>
      <c r="JX75" s="312"/>
      <c r="JY75" s="312"/>
      <c r="JZ75" s="312"/>
      <c r="KA75" s="312"/>
      <c r="KB75" s="312"/>
      <c r="KC75" s="312"/>
      <c r="KD75" s="312"/>
      <c r="KE75" s="312"/>
      <c r="KF75" s="312"/>
      <c r="KG75" s="312"/>
      <c r="KH75" s="312"/>
      <c r="KI75" s="312"/>
      <c r="KJ75" s="312"/>
      <c r="KK75" s="312"/>
      <c r="KL75" s="312"/>
      <c r="KM75" s="312"/>
      <c r="KN75" s="312"/>
      <c r="KO75" s="312"/>
      <c r="KP75" s="312"/>
      <c r="KQ75" s="312"/>
      <c r="KR75" s="312"/>
      <c r="KS75" s="312"/>
      <c r="KT75" s="312"/>
      <c r="KU75" s="312"/>
      <c r="KV75" s="312"/>
      <c r="KW75" s="312"/>
      <c r="KX75" s="312"/>
      <c r="KY75" s="312"/>
      <c r="KZ75" s="312"/>
    </row>
    <row r="76" spans="1:322" s="393" customFormat="1">
      <c r="A76" s="397"/>
      <c r="B76" s="398"/>
      <c r="C76" s="275"/>
      <c r="D76" s="727"/>
      <c r="E76" s="357"/>
      <c r="F76" s="358"/>
      <c r="G76" s="399"/>
      <c r="H76" s="206"/>
      <c r="I76" s="206"/>
      <c r="J76" s="206"/>
      <c r="K76" s="206"/>
      <c r="L76" s="206"/>
      <c r="M76" s="400"/>
      <c r="N76" s="359"/>
      <c r="O76" s="359"/>
      <c r="P76" s="401"/>
      <c r="Q76" s="401"/>
      <c r="R76" s="360"/>
      <c r="S76" s="402"/>
      <c r="T76" s="211"/>
      <c r="U76" s="403"/>
      <c r="V76" s="217"/>
      <c r="W76" s="362"/>
      <c r="X76" s="363"/>
      <c r="Y76" s="278"/>
      <c r="Z76" s="278"/>
      <c r="AA76" s="404"/>
      <c r="AB76" s="271"/>
      <c r="AC76" s="405"/>
      <c r="AD76" s="271"/>
      <c r="AE76" s="405"/>
      <c r="AF76" s="271"/>
      <c r="AG76" s="405"/>
      <c r="AH76" s="271"/>
      <c r="AI76" s="405"/>
      <c r="AJ76" s="406"/>
      <c r="AK76" s="405"/>
      <c r="AL76" s="406"/>
      <c r="AM76" s="405"/>
      <c r="AN76" s="406"/>
      <c r="AO76" s="405"/>
      <c r="AP76" s="406"/>
      <c r="AQ76" s="405"/>
      <c r="AR76" s="406"/>
      <c r="AS76" s="405"/>
      <c r="AT76" s="406"/>
      <c r="AU76" s="405"/>
      <c r="AV76" s="406"/>
      <c r="AW76" s="405"/>
      <c r="AX76" s="407"/>
      <c r="AY76" s="366"/>
      <c r="AZ76" s="408"/>
      <c r="BA76" s="367"/>
      <c r="BB76" s="409"/>
      <c r="BC76" s="367"/>
      <c r="BD76" s="409"/>
      <c r="BE76" s="367"/>
      <c r="BF76" s="409"/>
      <c r="BG76" s="367"/>
      <c r="BH76" s="409"/>
      <c r="BI76" s="367"/>
      <c r="BJ76" s="409"/>
      <c r="BK76" s="367"/>
      <c r="BL76" s="409"/>
      <c r="BM76" s="367"/>
      <c r="BN76" s="409"/>
      <c r="BO76" s="367"/>
      <c r="BP76" s="409"/>
      <c r="BQ76" s="367"/>
      <c r="BR76" s="409"/>
      <c r="BS76" s="367"/>
      <c r="BT76" s="409"/>
      <c r="BU76" s="368"/>
      <c r="BV76" s="408"/>
      <c r="BW76" s="369"/>
      <c r="BX76" s="409"/>
      <c r="BY76" s="367"/>
      <c r="BZ76" s="409"/>
      <c r="CA76" s="367"/>
      <c r="CB76" s="409"/>
      <c r="CC76" s="367"/>
      <c r="CD76" s="409"/>
      <c r="CE76" s="367"/>
      <c r="CF76" s="409"/>
      <c r="CG76" s="367"/>
      <c r="CH76" s="409"/>
      <c r="CI76" s="367"/>
      <c r="CJ76" s="409"/>
      <c r="CK76" s="367"/>
      <c r="CL76" s="409"/>
      <c r="CM76" s="367"/>
      <c r="CN76" s="409"/>
      <c r="CO76" s="367"/>
      <c r="CP76" s="409"/>
      <c r="CQ76" s="367"/>
      <c r="CR76" s="409"/>
      <c r="CS76" s="368"/>
      <c r="CT76" s="410"/>
      <c r="CU76" s="283"/>
      <c r="CV76" s="411"/>
      <c r="CW76" s="412"/>
      <c r="CX76" s="285"/>
      <c r="CY76" s="227"/>
      <c r="CZ76" s="229"/>
      <c r="DA76" s="582"/>
      <c r="DB76" s="394"/>
      <c r="DC76" s="395"/>
      <c r="DD76" s="372"/>
      <c r="DE76" s="373"/>
      <c r="DF76" s="372"/>
      <c r="DG76" s="373"/>
      <c r="DH76" s="374"/>
      <c r="DI76" s="375"/>
      <c r="DJ76" s="413"/>
      <c r="DK76" s="377"/>
      <c r="DL76" s="378"/>
      <c r="DM76" s="379"/>
      <c r="DN76" s="233"/>
      <c r="DO76" s="233"/>
      <c r="DP76" s="233"/>
      <c r="DQ76" s="233"/>
      <c r="DR76" s="233"/>
      <c r="DS76" s="233"/>
      <c r="DT76" s="233"/>
      <c r="DU76" s="234"/>
      <c r="DV76" s="378"/>
      <c r="DW76" s="378"/>
      <c r="DX76" s="379"/>
      <c r="DY76" s="233"/>
      <c r="DZ76" s="233"/>
      <c r="EA76" s="233"/>
      <c r="EB76" s="233"/>
      <c r="EC76" s="233"/>
      <c r="ED76" s="233"/>
      <c r="EE76" s="233"/>
      <c r="EF76" s="234"/>
      <c r="EG76" s="378"/>
      <c r="EH76" s="378"/>
      <c r="EI76" s="414"/>
      <c r="EJ76" s="415"/>
      <c r="EK76" s="415"/>
      <c r="EL76" s="248"/>
      <c r="EM76" s="272"/>
      <c r="EN76" s="272"/>
      <c r="EO76" s="272"/>
      <c r="EP76" s="272"/>
      <c r="EQ76" s="272"/>
      <c r="ER76" s="272"/>
      <c r="ES76" s="272"/>
      <c r="ET76" s="272"/>
      <c r="EU76" s="297"/>
      <c r="EV76" s="298"/>
      <c r="EW76" s="272"/>
      <c r="EX76" s="272"/>
      <c r="EY76" s="272"/>
      <c r="EZ76" s="248"/>
      <c r="FA76" s="272"/>
      <c r="FB76" s="272"/>
      <c r="FC76" s="297"/>
      <c r="FD76" s="380"/>
      <c r="FE76" s="309"/>
      <c r="FF76" s="381"/>
      <c r="FG76" s="382"/>
      <c r="FH76" s="383"/>
      <c r="FI76" s="384"/>
      <c r="FJ76" s="380"/>
      <c r="FK76" s="385"/>
      <c r="FL76" s="386"/>
      <c r="FM76" s="387"/>
      <c r="FN76" s="386"/>
      <c r="FO76" s="387"/>
      <c r="FP76" s="388"/>
      <c r="FQ76" s="387"/>
      <c r="FR76" s="388"/>
      <c r="FS76" s="387"/>
      <c r="FT76" s="388"/>
      <c r="FU76" s="387"/>
      <c r="FV76" s="388"/>
      <c r="FW76" s="387"/>
      <c r="FX76" s="388"/>
      <c r="FY76" s="387"/>
      <c r="FZ76" s="388"/>
      <c r="GA76" s="387"/>
      <c r="GB76" s="388"/>
      <c r="GC76" s="387"/>
      <c r="GD76" s="388"/>
      <c r="GE76" s="387"/>
      <c r="GF76" s="388"/>
      <c r="GG76" s="389"/>
      <c r="GH76" s="390"/>
      <c r="GI76" s="387"/>
      <c r="GJ76" s="387"/>
      <c r="GK76" s="387"/>
      <c r="GL76" s="387"/>
      <c r="GM76" s="387"/>
      <c r="GN76" s="387"/>
      <c r="GO76" s="387"/>
      <c r="GP76" s="387"/>
      <c r="GQ76" s="387"/>
      <c r="GR76" s="387"/>
      <c r="GS76" s="387"/>
      <c r="GT76" s="387"/>
      <c r="GU76" s="387"/>
      <c r="GV76" s="387"/>
      <c r="GW76" s="387"/>
      <c r="GX76" s="387"/>
      <c r="GY76" s="387"/>
      <c r="GZ76" s="387"/>
      <c r="HA76" s="387"/>
      <c r="HB76" s="387"/>
      <c r="HC76" s="387"/>
      <c r="HD76" s="387"/>
      <c r="HE76" s="391"/>
      <c r="HF76" s="389"/>
      <c r="HG76" s="387"/>
      <c r="HH76" s="387"/>
      <c r="HI76" s="387"/>
      <c r="HJ76" s="387"/>
      <c r="HK76" s="387"/>
      <c r="HL76" s="387"/>
      <c r="HM76" s="387"/>
      <c r="HN76" s="387"/>
      <c r="HO76" s="387"/>
      <c r="HP76" s="387"/>
      <c r="HQ76" s="387"/>
      <c r="HR76" s="387"/>
      <c r="HS76" s="387"/>
      <c r="HT76" s="387"/>
      <c r="HU76" s="387"/>
      <c r="HV76" s="387"/>
      <c r="HW76" s="387"/>
      <c r="HX76" s="387"/>
      <c r="HY76" s="387"/>
      <c r="HZ76" s="387"/>
      <c r="IA76" s="387"/>
      <c r="IB76" s="387"/>
      <c r="IC76" s="392"/>
      <c r="ID76" s="312"/>
      <c r="IE76" s="312"/>
      <c r="IF76" s="312"/>
      <c r="IG76" s="312"/>
      <c r="IH76" s="312"/>
      <c r="II76" s="312"/>
      <c r="IJ76" s="312"/>
      <c r="IK76" s="312"/>
      <c r="IL76" s="312"/>
      <c r="IM76" s="312"/>
      <c r="IN76" s="312"/>
      <c r="IO76" s="312"/>
      <c r="IP76" s="312"/>
      <c r="IQ76" s="312"/>
      <c r="IR76" s="312"/>
      <c r="IS76" s="312"/>
      <c r="IT76" s="312"/>
      <c r="IU76" s="312"/>
      <c r="IV76" s="312"/>
      <c r="IW76" s="312"/>
      <c r="IX76" s="312"/>
      <c r="IY76" s="312"/>
      <c r="IZ76" s="312"/>
      <c r="JA76" s="312"/>
      <c r="JB76" s="312"/>
      <c r="JC76" s="312"/>
      <c r="JD76" s="312"/>
      <c r="JE76" s="312"/>
      <c r="JF76" s="312"/>
      <c r="JG76" s="312"/>
      <c r="JH76" s="312"/>
      <c r="JI76" s="312"/>
      <c r="JJ76" s="312"/>
      <c r="JK76" s="312"/>
      <c r="JL76" s="312"/>
      <c r="JM76" s="312"/>
      <c r="JN76" s="312"/>
      <c r="JO76" s="312"/>
      <c r="JP76" s="312"/>
      <c r="JQ76" s="312"/>
      <c r="JR76" s="312"/>
      <c r="JS76" s="312"/>
      <c r="JT76" s="312"/>
      <c r="JU76" s="312"/>
      <c r="JV76" s="312"/>
      <c r="JW76" s="312"/>
      <c r="JX76" s="312"/>
      <c r="JY76" s="312"/>
      <c r="JZ76" s="312"/>
      <c r="KA76" s="312"/>
      <c r="KB76" s="312"/>
      <c r="KC76" s="312"/>
      <c r="KD76" s="312"/>
      <c r="KE76" s="312"/>
      <c r="KF76" s="312"/>
      <c r="KG76" s="312"/>
      <c r="KH76" s="312"/>
      <c r="KI76" s="312"/>
      <c r="KJ76" s="312"/>
      <c r="KK76" s="312"/>
      <c r="KL76" s="312"/>
      <c r="KM76" s="312"/>
      <c r="KN76" s="312"/>
      <c r="KO76" s="312"/>
      <c r="KP76" s="312"/>
      <c r="KQ76" s="312"/>
      <c r="KR76" s="312"/>
      <c r="KS76" s="312"/>
      <c r="KT76" s="312"/>
      <c r="KU76" s="312"/>
      <c r="KV76" s="312"/>
      <c r="KW76" s="312"/>
      <c r="KX76" s="312"/>
      <c r="KY76" s="312"/>
      <c r="KZ76" s="312"/>
    </row>
    <row r="77" spans="1:322">
      <c r="GH77" s="390"/>
      <c r="GI77" s="387"/>
      <c r="GJ77" s="387"/>
      <c r="GK77" s="387"/>
      <c r="GL77" s="387"/>
      <c r="GM77" s="387"/>
      <c r="GN77" s="387"/>
      <c r="GO77" s="387"/>
      <c r="GP77" s="387"/>
      <c r="GQ77" s="387"/>
      <c r="GR77" s="387"/>
      <c r="GS77" s="387"/>
      <c r="GT77" s="387"/>
      <c r="GU77" s="387"/>
      <c r="GV77" s="387"/>
      <c r="GW77" s="387"/>
      <c r="GX77" s="387"/>
      <c r="GY77" s="387"/>
      <c r="GZ77" s="387"/>
      <c r="HA77" s="387"/>
      <c r="HB77" s="387"/>
      <c r="HC77" s="387"/>
      <c r="HD77" s="387"/>
      <c r="HE77" s="391"/>
      <c r="HF77" s="417"/>
      <c r="HG77" s="387"/>
      <c r="HH77" s="387"/>
      <c r="HI77" s="387"/>
      <c r="HJ77" s="387"/>
      <c r="HK77" s="387"/>
      <c r="HL77" s="387"/>
      <c r="HM77" s="387"/>
      <c r="HN77" s="387"/>
      <c r="HO77" s="387"/>
      <c r="HP77" s="387"/>
      <c r="HQ77" s="387"/>
      <c r="HR77" s="387"/>
      <c r="HS77" s="387"/>
      <c r="HT77" s="387"/>
      <c r="HU77" s="387"/>
      <c r="HV77" s="387"/>
      <c r="HW77" s="387"/>
      <c r="HX77" s="387"/>
      <c r="HY77" s="387"/>
      <c r="HZ77" s="387"/>
      <c r="IA77" s="387"/>
      <c r="IB77" s="387"/>
      <c r="IC77" s="392"/>
      <c r="ID77" s="312"/>
      <c r="IE77" s="312"/>
      <c r="IF77" s="312"/>
      <c r="IG77" s="312"/>
      <c r="IH77" s="312"/>
      <c r="II77" s="312"/>
      <c r="IJ77" s="312"/>
      <c r="IK77" s="312"/>
      <c r="IL77" s="312"/>
      <c r="IM77" s="312"/>
      <c r="IN77" s="312"/>
      <c r="IO77" s="312"/>
      <c r="IP77" s="312"/>
      <c r="IQ77" s="312"/>
      <c r="IR77" s="312"/>
      <c r="IS77" s="312"/>
      <c r="IT77" s="312"/>
      <c r="IU77" s="312"/>
      <c r="IV77" s="312"/>
      <c r="IW77" s="312"/>
      <c r="IX77" s="312"/>
      <c r="IY77" s="312"/>
      <c r="IZ77" s="312"/>
      <c r="JA77" s="312"/>
      <c r="JB77" s="312"/>
      <c r="JC77" s="312"/>
      <c r="JD77" s="312"/>
      <c r="JE77" s="312"/>
      <c r="JF77" s="312"/>
      <c r="JG77" s="312"/>
      <c r="JH77" s="312"/>
      <c r="JI77" s="312"/>
      <c r="JJ77" s="312"/>
      <c r="JK77" s="312"/>
      <c r="JL77" s="312"/>
      <c r="JM77" s="312"/>
      <c r="JN77" s="312"/>
      <c r="JO77" s="312"/>
      <c r="JP77" s="312"/>
      <c r="JQ77" s="312"/>
      <c r="JR77" s="312"/>
      <c r="JS77" s="312"/>
      <c r="JT77" s="312"/>
      <c r="JU77" s="312"/>
      <c r="JV77" s="312"/>
      <c r="JW77" s="312"/>
      <c r="JX77" s="312"/>
      <c r="JY77" s="312"/>
      <c r="JZ77" s="312"/>
      <c r="KA77" s="312"/>
      <c r="KB77" s="312"/>
      <c r="KC77" s="312"/>
      <c r="KD77" s="312"/>
      <c r="KE77" s="312"/>
      <c r="KF77" s="312"/>
      <c r="KG77" s="312"/>
      <c r="KH77" s="312"/>
      <c r="KI77" s="312"/>
      <c r="KJ77" s="312"/>
      <c r="KK77" s="312"/>
      <c r="KL77" s="312"/>
      <c r="KM77" s="312"/>
      <c r="KN77" s="312"/>
      <c r="KO77" s="312"/>
      <c r="KP77" s="312"/>
      <c r="KQ77" s="312"/>
      <c r="KR77" s="312"/>
      <c r="KS77" s="312"/>
      <c r="KT77" s="312"/>
      <c r="KU77" s="312"/>
      <c r="KV77" s="312"/>
      <c r="KW77" s="312"/>
      <c r="KX77" s="312"/>
      <c r="KY77" s="312"/>
      <c r="KZ77" s="312"/>
    </row>
    <row r="78" spans="1:322">
      <c r="GH78" s="390"/>
      <c r="GI78" s="387"/>
      <c r="GJ78" s="387"/>
      <c r="GK78" s="387"/>
      <c r="GL78" s="387"/>
      <c r="GM78" s="387"/>
      <c r="GN78" s="387"/>
      <c r="GO78" s="387"/>
      <c r="GP78" s="387"/>
      <c r="GQ78" s="387"/>
      <c r="GR78" s="387"/>
      <c r="GS78" s="387"/>
      <c r="GT78" s="387"/>
      <c r="GU78" s="387"/>
      <c r="GV78" s="387"/>
      <c r="GW78" s="387"/>
      <c r="GX78" s="387"/>
      <c r="GY78" s="387"/>
      <c r="GZ78" s="387"/>
      <c r="HA78" s="387"/>
      <c r="HB78" s="387"/>
      <c r="HC78" s="387"/>
      <c r="HD78" s="387"/>
      <c r="HE78" s="391"/>
      <c r="HF78" s="417"/>
      <c r="HG78" s="387"/>
      <c r="HH78" s="387"/>
      <c r="HI78" s="387"/>
      <c r="HJ78" s="387"/>
      <c r="HK78" s="387"/>
      <c r="HL78" s="387"/>
      <c r="HM78" s="387"/>
      <c r="HN78" s="387"/>
      <c r="HO78" s="387"/>
      <c r="HP78" s="387"/>
      <c r="HQ78" s="387"/>
      <c r="HR78" s="387"/>
      <c r="HS78" s="387"/>
      <c r="HT78" s="387"/>
      <c r="HU78" s="387"/>
      <c r="HV78" s="387"/>
      <c r="HW78" s="387"/>
      <c r="HX78" s="387"/>
      <c r="HY78" s="387"/>
      <c r="HZ78" s="387"/>
      <c r="IA78" s="387"/>
      <c r="IB78" s="387"/>
      <c r="IC78" s="392"/>
      <c r="ID78" s="312"/>
      <c r="IE78" s="312"/>
      <c r="IF78" s="312"/>
      <c r="IG78" s="312"/>
      <c r="IH78" s="312"/>
      <c r="II78" s="312"/>
      <c r="IJ78" s="312"/>
      <c r="IK78" s="312"/>
      <c r="IL78" s="312"/>
      <c r="IM78" s="312"/>
      <c r="IN78" s="312"/>
      <c r="IO78" s="312"/>
      <c r="IP78" s="312"/>
      <c r="IQ78" s="312"/>
      <c r="IR78" s="312"/>
      <c r="IS78" s="312"/>
      <c r="IT78" s="312"/>
      <c r="IU78" s="312"/>
      <c r="IV78" s="312"/>
      <c r="IW78" s="312"/>
      <c r="IX78" s="312"/>
      <c r="IY78" s="312"/>
      <c r="IZ78" s="312"/>
      <c r="JA78" s="312"/>
      <c r="JB78" s="312"/>
      <c r="JC78" s="312"/>
      <c r="JD78" s="312"/>
      <c r="JE78" s="312"/>
      <c r="JF78" s="312"/>
      <c r="JG78" s="312"/>
      <c r="JH78" s="312"/>
      <c r="JI78" s="312"/>
      <c r="JJ78" s="312"/>
      <c r="JK78" s="312"/>
      <c r="JL78" s="312"/>
      <c r="JM78" s="312"/>
      <c r="JN78" s="312"/>
      <c r="JO78" s="312"/>
      <c r="JP78" s="312"/>
      <c r="JQ78" s="312"/>
      <c r="JR78" s="312"/>
      <c r="JS78" s="312"/>
      <c r="JT78" s="312"/>
      <c r="JU78" s="312"/>
      <c r="JV78" s="312"/>
      <c r="JW78" s="312"/>
      <c r="JX78" s="312"/>
      <c r="JY78" s="312"/>
      <c r="JZ78" s="312"/>
      <c r="KA78" s="312"/>
      <c r="KB78" s="312"/>
      <c r="KC78" s="312"/>
      <c r="KD78" s="312"/>
      <c r="KE78" s="312"/>
      <c r="KF78" s="312"/>
      <c r="KG78" s="312"/>
      <c r="KH78" s="312"/>
      <c r="KI78" s="312"/>
      <c r="KJ78" s="312"/>
      <c r="KK78" s="312"/>
      <c r="KL78" s="312"/>
      <c r="KM78" s="312"/>
      <c r="KN78" s="312"/>
      <c r="KO78" s="312"/>
      <c r="KP78" s="312"/>
      <c r="KQ78" s="312"/>
      <c r="KR78" s="312"/>
      <c r="KS78" s="312"/>
      <c r="KT78" s="312"/>
      <c r="KU78" s="312"/>
      <c r="KV78" s="312"/>
      <c r="KW78" s="312"/>
      <c r="KX78" s="312"/>
      <c r="KY78" s="312"/>
      <c r="KZ78" s="312"/>
    </row>
    <row r="79" spans="1:322">
      <c r="GH79" s="390"/>
      <c r="GI79" s="387"/>
      <c r="GJ79" s="387"/>
      <c r="GK79" s="387"/>
      <c r="GL79" s="387"/>
      <c r="GM79" s="387"/>
      <c r="GN79" s="387"/>
      <c r="GO79" s="387"/>
      <c r="GP79" s="387"/>
      <c r="GQ79" s="387"/>
      <c r="GR79" s="387"/>
      <c r="GS79" s="387"/>
      <c r="GT79" s="387"/>
      <c r="GU79" s="387"/>
      <c r="GV79" s="387"/>
      <c r="GW79" s="387"/>
      <c r="GX79" s="387"/>
      <c r="GY79" s="387"/>
      <c r="GZ79" s="387"/>
      <c r="HA79" s="387"/>
      <c r="HB79" s="387"/>
      <c r="HC79" s="387"/>
      <c r="HD79" s="387"/>
      <c r="HE79" s="391"/>
      <c r="HF79" s="417"/>
      <c r="HG79" s="387"/>
      <c r="HH79" s="387"/>
      <c r="HI79" s="387"/>
      <c r="HJ79" s="387"/>
      <c r="HK79" s="387"/>
      <c r="HL79" s="387"/>
      <c r="HM79" s="387"/>
      <c r="HN79" s="387"/>
      <c r="HO79" s="387"/>
      <c r="HP79" s="387"/>
      <c r="HQ79" s="387"/>
      <c r="HR79" s="387"/>
      <c r="HS79" s="387"/>
      <c r="HT79" s="387"/>
      <c r="HU79" s="387"/>
      <c r="HV79" s="387"/>
      <c r="HW79" s="387"/>
      <c r="HX79" s="387"/>
      <c r="HY79" s="387"/>
      <c r="HZ79" s="387"/>
      <c r="IA79" s="387"/>
      <c r="IB79" s="387"/>
      <c r="IC79" s="392"/>
      <c r="ID79" s="312"/>
      <c r="IE79" s="312"/>
      <c r="IF79" s="312"/>
      <c r="IG79" s="312"/>
      <c r="IH79" s="312"/>
      <c r="II79" s="312"/>
      <c r="IJ79" s="312"/>
      <c r="IK79" s="312"/>
      <c r="IL79" s="312"/>
      <c r="IM79" s="312"/>
      <c r="IN79" s="312"/>
      <c r="IO79" s="312"/>
      <c r="IP79" s="312"/>
      <c r="IQ79" s="312"/>
      <c r="IR79" s="312"/>
      <c r="IS79" s="312"/>
      <c r="IT79" s="312"/>
      <c r="IU79" s="312"/>
      <c r="IV79" s="312"/>
      <c r="IW79" s="312"/>
      <c r="IX79" s="312"/>
      <c r="IY79" s="312"/>
      <c r="IZ79" s="312"/>
      <c r="JA79" s="312"/>
      <c r="JB79" s="312"/>
      <c r="JC79" s="312"/>
      <c r="JD79" s="312"/>
      <c r="JE79" s="312"/>
      <c r="JF79" s="312"/>
      <c r="JG79" s="312"/>
      <c r="JH79" s="312"/>
      <c r="JI79" s="312"/>
      <c r="JJ79" s="312"/>
      <c r="JK79" s="312"/>
      <c r="JL79" s="312"/>
      <c r="JM79" s="312"/>
      <c r="JN79" s="312"/>
      <c r="JO79" s="312"/>
      <c r="JP79" s="312"/>
      <c r="JQ79" s="312"/>
      <c r="JR79" s="312"/>
      <c r="JS79" s="312"/>
      <c r="JT79" s="312"/>
      <c r="JU79" s="312"/>
      <c r="JV79" s="312"/>
      <c r="JW79" s="312"/>
      <c r="JX79" s="312"/>
      <c r="JY79" s="312"/>
      <c r="JZ79" s="312"/>
      <c r="KA79" s="312"/>
      <c r="KB79" s="312"/>
      <c r="KC79" s="312"/>
      <c r="KD79" s="312"/>
      <c r="KE79" s="312"/>
      <c r="KF79" s="312"/>
      <c r="KG79" s="312"/>
      <c r="KH79" s="312"/>
      <c r="KI79" s="312"/>
      <c r="KJ79" s="312"/>
      <c r="KK79" s="312"/>
      <c r="KL79" s="312"/>
      <c r="KM79" s="312"/>
      <c r="KN79" s="312"/>
      <c r="KO79" s="312"/>
      <c r="KP79" s="312"/>
      <c r="KQ79" s="312"/>
      <c r="KR79" s="312"/>
      <c r="KS79" s="312"/>
      <c r="KT79" s="312"/>
      <c r="KU79" s="312"/>
      <c r="KV79" s="312"/>
      <c r="KW79" s="312"/>
      <c r="KX79" s="312"/>
      <c r="KY79" s="312"/>
      <c r="KZ79" s="312"/>
    </row>
    <row r="80" spans="1:322">
      <c r="GH80" s="390"/>
      <c r="GI80" s="387"/>
      <c r="GJ80" s="387"/>
      <c r="GK80" s="387"/>
      <c r="GL80" s="387"/>
      <c r="GM80" s="387"/>
      <c r="GN80" s="387"/>
      <c r="GO80" s="387"/>
      <c r="GP80" s="387"/>
      <c r="GQ80" s="387"/>
      <c r="GR80" s="387"/>
      <c r="GS80" s="387"/>
      <c r="GT80" s="387"/>
      <c r="GU80" s="387"/>
      <c r="GV80" s="387"/>
      <c r="GW80" s="387"/>
      <c r="GX80" s="387"/>
      <c r="GY80" s="387"/>
      <c r="GZ80" s="387"/>
      <c r="HA80" s="387"/>
      <c r="HB80" s="387"/>
      <c r="HC80" s="387"/>
      <c r="HD80" s="387"/>
      <c r="HE80" s="391"/>
      <c r="HF80" s="417"/>
      <c r="HG80" s="387"/>
      <c r="HH80" s="387"/>
      <c r="HI80" s="387"/>
      <c r="HJ80" s="387"/>
      <c r="HK80" s="387"/>
      <c r="HL80" s="387"/>
      <c r="HM80" s="387"/>
      <c r="HN80" s="387"/>
      <c r="HO80" s="387"/>
      <c r="HP80" s="387"/>
      <c r="HQ80" s="387"/>
      <c r="HR80" s="387"/>
      <c r="HS80" s="387"/>
      <c r="HT80" s="387"/>
      <c r="HU80" s="387"/>
      <c r="HV80" s="387"/>
      <c r="HW80" s="387"/>
      <c r="HX80" s="387"/>
      <c r="HY80" s="387"/>
      <c r="HZ80" s="387"/>
      <c r="IA80" s="387"/>
      <c r="IB80" s="387"/>
      <c r="IC80" s="392"/>
      <c r="ID80" s="312"/>
      <c r="IE80" s="312"/>
      <c r="IF80" s="312"/>
      <c r="IG80" s="312"/>
      <c r="IH80" s="312"/>
      <c r="II80" s="312"/>
      <c r="IJ80" s="312"/>
      <c r="IK80" s="312"/>
      <c r="IL80" s="312"/>
      <c r="IM80" s="312"/>
      <c r="IN80" s="312"/>
      <c r="IO80" s="312"/>
      <c r="IP80" s="312"/>
      <c r="IQ80" s="312"/>
      <c r="IR80" s="312"/>
      <c r="IS80" s="312"/>
      <c r="IT80" s="312"/>
      <c r="IU80" s="312"/>
      <c r="IV80" s="312"/>
      <c r="IW80" s="312"/>
      <c r="JR80" s="312"/>
      <c r="JS80" s="312"/>
      <c r="JT80" s="312"/>
      <c r="JU80" s="312"/>
      <c r="JV80" s="312"/>
      <c r="JW80" s="312"/>
      <c r="JX80" s="312"/>
      <c r="JY80" s="312"/>
      <c r="JZ80" s="312"/>
      <c r="KA80" s="312"/>
      <c r="KB80" s="312"/>
      <c r="KC80" s="312"/>
      <c r="KD80" s="312"/>
      <c r="KE80" s="312"/>
      <c r="KF80" s="312"/>
      <c r="KG80" s="312"/>
      <c r="KH80" s="312"/>
      <c r="KI80" s="312"/>
      <c r="KJ80" s="312"/>
      <c r="KK80" s="312"/>
      <c r="KL80" s="312"/>
      <c r="KM80" s="312"/>
      <c r="KN80" s="312"/>
      <c r="KO80" s="312"/>
      <c r="KP80" s="312"/>
      <c r="KQ80" s="312"/>
      <c r="KR80" s="312"/>
      <c r="KS80" s="312"/>
      <c r="KT80" s="312"/>
      <c r="KU80" s="312"/>
      <c r="KV80" s="312"/>
      <c r="KW80" s="312"/>
      <c r="KX80" s="312"/>
      <c r="KY80" s="312"/>
      <c r="KZ80" s="312"/>
    </row>
    <row r="81" spans="190:312">
      <c r="GH81" s="390"/>
      <c r="GI81" s="387"/>
      <c r="GJ81" s="387"/>
      <c r="GK81" s="387"/>
      <c r="GL81" s="387"/>
      <c r="GM81" s="387"/>
      <c r="GN81" s="387"/>
      <c r="GO81" s="387"/>
      <c r="GP81" s="387"/>
      <c r="GQ81" s="387"/>
      <c r="GR81" s="387"/>
      <c r="GS81" s="387"/>
      <c r="GT81" s="387"/>
      <c r="GU81" s="387"/>
      <c r="GV81" s="387"/>
      <c r="GW81" s="387"/>
      <c r="GX81" s="387"/>
      <c r="GY81" s="387"/>
      <c r="GZ81" s="387"/>
      <c r="HA81" s="387"/>
      <c r="HB81" s="387"/>
      <c r="HC81" s="387"/>
      <c r="HD81" s="387"/>
      <c r="HE81" s="391"/>
      <c r="HF81" s="417"/>
      <c r="HG81" s="387"/>
      <c r="HH81" s="387"/>
      <c r="HI81" s="387"/>
      <c r="HJ81" s="387"/>
      <c r="HK81" s="387"/>
      <c r="HL81" s="387"/>
      <c r="HM81" s="387"/>
      <c r="HN81" s="387"/>
      <c r="HO81" s="387"/>
      <c r="HP81" s="387"/>
      <c r="HQ81" s="387"/>
      <c r="HR81" s="387"/>
      <c r="HS81" s="387"/>
      <c r="HT81" s="387"/>
      <c r="HU81" s="387"/>
      <c r="HV81" s="387"/>
      <c r="HW81" s="387"/>
      <c r="HX81" s="387"/>
      <c r="HY81" s="387"/>
      <c r="HZ81" s="387"/>
      <c r="IA81" s="387"/>
      <c r="IB81" s="387"/>
      <c r="IC81" s="392"/>
      <c r="ID81" s="312"/>
      <c r="IE81" s="312"/>
      <c r="IF81" s="312"/>
      <c r="IG81" s="312"/>
      <c r="IH81" s="312"/>
      <c r="II81" s="312"/>
      <c r="IJ81" s="312"/>
      <c r="IK81" s="312"/>
      <c r="IL81" s="312"/>
      <c r="IM81" s="312"/>
      <c r="IN81" s="312"/>
      <c r="IO81" s="312"/>
      <c r="IP81" s="312"/>
      <c r="IQ81" s="312"/>
      <c r="IR81" s="312"/>
      <c r="IS81" s="312"/>
      <c r="IT81" s="312"/>
      <c r="IU81" s="312"/>
      <c r="IV81" s="312"/>
      <c r="IW81" s="312"/>
      <c r="JR81" s="312"/>
      <c r="JS81" s="312"/>
      <c r="JT81" s="312"/>
      <c r="JU81" s="312"/>
      <c r="JV81" s="312"/>
      <c r="JW81" s="312"/>
      <c r="JX81" s="312"/>
      <c r="JY81" s="312"/>
      <c r="JZ81" s="312"/>
      <c r="KA81" s="312"/>
      <c r="KB81" s="312"/>
      <c r="KC81" s="312"/>
      <c r="KD81" s="312"/>
      <c r="KE81" s="312"/>
      <c r="KF81" s="312"/>
      <c r="KG81" s="312"/>
      <c r="KH81" s="312"/>
      <c r="KI81" s="312"/>
      <c r="KJ81" s="312"/>
      <c r="KK81" s="312"/>
      <c r="KL81" s="312"/>
      <c r="KM81" s="312"/>
      <c r="KN81" s="312"/>
      <c r="KO81" s="312"/>
      <c r="KP81" s="312"/>
      <c r="KQ81" s="312"/>
      <c r="KR81" s="312"/>
      <c r="KS81" s="312"/>
      <c r="KT81" s="312"/>
      <c r="KU81" s="312"/>
      <c r="KV81" s="312"/>
      <c r="KW81" s="312"/>
      <c r="KX81" s="312"/>
      <c r="KY81" s="312"/>
      <c r="KZ81" s="312"/>
    </row>
    <row r="82" spans="190:312">
      <c r="GH82" s="390"/>
      <c r="GI82" s="387"/>
      <c r="GJ82" s="387"/>
      <c r="GK82" s="387"/>
      <c r="GL82" s="387"/>
      <c r="GM82" s="387"/>
      <c r="GN82" s="387"/>
      <c r="GO82" s="387"/>
      <c r="GP82" s="387"/>
      <c r="GQ82" s="387"/>
      <c r="GR82" s="387"/>
      <c r="GS82" s="387"/>
      <c r="GT82" s="387"/>
      <c r="GU82" s="387"/>
      <c r="GV82" s="387"/>
      <c r="GW82" s="387"/>
      <c r="GX82" s="387"/>
      <c r="GY82" s="387"/>
      <c r="GZ82" s="387"/>
      <c r="HA82" s="387"/>
      <c r="HB82" s="387"/>
      <c r="HC82" s="387"/>
      <c r="HD82" s="387"/>
      <c r="HE82" s="391"/>
      <c r="HF82" s="417"/>
      <c r="HG82" s="387"/>
      <c r="HH82" s="387"/>
      <c r="HI82" s="387"/>
      <c r="HJ82" s="387"/>
      <c r="HK82" s="387"/>
      <c r="HL82" s="387"/>
      <c r="HM82" s="387"/>
      <c r="HN82" s="387"/>
      <c r="HO82" s="387"/>
      <c r="HP82" s="387"/>
      <c r="HQ82" s="387"/>
      <c r="HR82" s="387"/>
      <c r="HS82" s="387"/>
      <c r="HT82" s="387"/>
      <c r="HU82" s="387"/>
      <c r="HV82" s="387"/>
      <c r="HW82" s="387"/>
      <c r="HX82" s="387"/>
      <c r="HY82" s="387"/>
      <c r="HZ82" s="387"/>
      <c r="IA82" s="387"/>
      <c r="IB82" s="387"/>
      <c r="IC82" s="392"/>
      <c r="ID82" s="312"/>
      <c r="IE82" s="312"/>
      <c r="IF82" s="312"/>
      <c r="IG82" s="312"/>
      <c r="IH82" s="312"/>
      <c r="II82" s="312"/>
      <c r="IJ82" s="312"/>
      <c r="IK82" s="312"/>
      <c r="IL82" s="312"/>
      <c r="IM82" s="312"/>
      <c r="IN82" s="312"/>
      <c r="IO82" s="312"/>
      <c r="IP82" s="312"/>
      <c r="IQ82" s="312"/>
      <c r="IR82" s="312"/>
      <c r="IS82" s="312"/>
      <c r="IT82" s="312"/>
      <c r="IU82" s="312"/>
      <c r="IV82" s="312"/>
      <c r="IW82" s="312"/>
      <c r="JR82" s="312"/>
      <c r="JS82" s="312"/>
      <c r="JT82" s="312"/>
      <c r="JU82" s="312"/>
      <c r="JV82" s="312"/>
      <c r="JW82" s="312"/>
      <c r="JX82" s="312"/>
      <c r="JY82" s="312"/>
      <c r="JZ82" s="312"/>
      <c r="KA82" s="312"/>
      <c r="KB82" s="312"/>
      <c r="KC82" s="312"/>
      <c r="KD82" s="312"/>
      <c r="KE82" s="312"/>
      <c r="KF82" s="312"/>
      <c r="KG82" s="312"/>
      <c r="KH82" s="312"/>
      <c r="KI82" s="312"/>
      <c r="KJ82" s="312"/>
      <c r="KK82" s="312"/>
      <c r="KL82" s="312"/>
      <c r="KM82" s="312"/>
      <c r="KN82" s="312"/>
      <c r="KO82" s="312"/>
      <c r="KP82" s="312"/>
      <c r="KQ82" s="312"/>
      <c r="KR82" s="312"/>
      <c r="KS82" s="312"/>
      <c r="KT82" s="312"/>
      <c r="KU82" s="312"/>
      <c r="KV82" s="312"/>
      <c r="KW82" s="312"/>
      <c r="KX82" s="312"/>
      <c r="KY82" s="312"/>
      <c r="KZ82" s="312"/>
    </row>
    <row r="83" spans="190:312">
      <c r="GH83" s="390"/>
      <c r="GI83" s="387"/>
      <c r="GJ83" s="387"/>
      <c r="GK83" s="387"/>
      <c r="GL83" s="387"/>
      <c r="GM83" s="387"/>
      <c r="GN83" s="387"/>
      <c r="GO83" s="387"/>
      <c r="GP83" s="387"/>
      <c r="GQ83" s="387"/>
      <c r="GR83" s="387"/>
      <c r="GS83" s="387"/>
      <c r="GT83" s="387"/>
      <c r="GU83" s="387"/>
      <c r="GV83" s="387"/>
      <c r="GW83" s="387"/>
      <c r="GX83" s="387"/>
      <c r="GY83" s="387"/>
      <c r="GZ83" s="387"/>
      <c r="HA83" s="387"/>
      <c r="HB83" s="387"/>
      <c r="HC83" s="387"/>
      <c r="HD83" s="387"/>
      <c r="HE83" s="391"/>
      <c r="HF83" s="417"/>
      <c r="HG83" s="387"/>
      <c r="HH83" s="387"/>
      <c r="HI83" s="387"/>
      <c r="HJ83" s="387"/>
      <c r="HK83" s="387"/>
      <c r="HL83" s="387"/>
      <c r="HM83" s="387"/>
      <c r="HN83" s="387"/>
      <c r="HO83" s="387"/>
      <c r="HP83" s="387"/>
      <c r="HQ83" s="387"/>
      <c r="HR83" s="387"/>
      <c r="HS83" s="387"/>
      <c r="HT83" s="387"/>
      <c r="HU83" s="387"/>
      <c r="HV83" s="387"/>
      <c r="HW83" s="387"/>
      <c r="HX83" s="387"/>
      <c r="HY83" s="387"/>
      <c r="HZ83" s="387"/>
      <c r="IA83" s="387"/>
      <c r="IB83" s="387"/>
      <c r="IC83" s="392"/>
      <c r="ID83" s="312"/>
      <c r="IE83" s="312"/>
      <c r="IF83" s="312"/>
      <c r="IG83" s="312"/>
      <c r="IH83" s="312"/>
      <c r="II83" s="312"/>
      <c r="IJ83" s="312"/>
      <c r="IK83" s="312"/>
      <c r="IL83" s="312"/>
      <c r="IM83" s="312"/>
      <c r="IN83" s="312"/>
      <c r="IO83" s="312"/>
      <c r="IP83" s="312"/>
      <c r="IQ83" s="312"/>
      <c r="IR83" s="312"/>
      <c r="IS83" s="312"/>
      <c r="IT83" s="312"/>
      <c r="IU83" s="312"/>
      <c r="IV83" s="312"/>
      <c r="IW83" s="312"/>
      <c r="JR83" s="312"/>
      <c r="JS83" s="312"/>
      <c r="JT83" s="312"/>
      <c r="JU83" s="312"/>
      <c r="JV83" s="312"/>
      <c r="JW83" s="312"/>
      <c r="JX83" s="312"/>
      <c r="JY83" s="312"/>
      <c r="JZ83" s="312"/>
      <c r="KA83" s="312"/>
      <c r="KB83" s="312"/>
      <c r="KC83" s="312"/>
      <c r="KD83" s="312"/>
      <c r="KE83" s="312"/>
      <c r="KF83" s="312"/>
      <c r="KG83" s="312"/>
      <c r="KH83" s="312"/>
      <c r="KI83" s="312"/>
      <c r="KJ83" s="312"/>
      <c r="KK83" s="312"/>
      <c r="KL83" s="312"/>
      <c r="KM83" s="312"/>
      <c r="KN83" s="312"/>
      <c r="KO83" s="312"/>
      <c r="KP83" s="312"/>
      <c r="KQ83" s="312"/>
      <c r="KR83" s="312"/>
      <c r="KS83" s="312"/>
      <c r="KT83" s="312"/>
      <c r="KU83" s="312"/>
      <c r="KV83" s="312"/>
      <c r="KW83" s="312"/>
      <c r="KX83" s="312"/>
      <c r="KY83" s="312"/>
      <c r="KZ83" s="312"/>
    </row>
    <row r="84" spans="190:312">
      <c r="GH84" s="390"/>
      <c r="GI84" s="387"/>
      <c r="GJ84" s="387"/>
      <c r="GK84" s="387"/>
      <c r="GL84" s="387"/>
      <c r="GM84" s="387"/>
      <c r="GN84" s="387"/>
      <c r="GO84" s="387"/>
      <c r="GP84" s="387"/>
      <c r="GQ84" s="387"/>
      <c r="GR84" s="387"/>
      <c r="GS84" s="387"/>
      <c r="GT84" s="387"/>
      <c r="GU84" s="387"/>
      <c r="GV84" s="387"/>
      <c r="GW84" s="387"/>
      <c r="GX84" s="387"/>
      <c r="GY84" s="387"/>
      <c r="GZ84" s="387"/>
      <c r="HA84" s="387"/>
      <c r="HB84" s="387"/>
      <c r="HC84" s="387"/>
      <c r="HD84" s="387"/>
      <c r="HE84" s="391"/>
      <c r="HF84" s="417"/>
      <c r="HG84" s="387"/>
      <c r="HH84" s="387"/>
      <c r="HI84" s="387"/>
      <c r="HJ84" s="387"/>
      <c r="HK84" s="387"/>
      <c r="HL84" s="387"/>
      <c r="HM84" s="387"/>
      <c r="HN84" s="387"/>
      <c r="HO84" s="387"/>
      <c r="HP84" s="387"/>
      <c r="HQ84" s="387"/>
      <c r="HR84" s="387"/>
      <c r="HS84" s="387"/>
      <c r="HT84" s="387"/>
      <c r="HU84" s="387"/>
      <c r="HV84" s="387"/>
      <c r="HW84" s="387"/>
      <c r="HX84" s="387"/>
      <c r="HY84" s="387"/>
      <c r="HZ84" s="387"/>
      <c r="IA84" s="387"/>
      <c r="IB84" s="387"/>
      <c r="IC84" s="392"/>
      <c r="ID84" s="312"/>
      <c r="IE84" s="312"/>
      <c r="IF84" s="312"/>
      <c r="IG84" s="312"/>
      <c r="IH84" s="312"/>
      <c r="II84" s="312"/>
      <c r="IJ84" s="312"/>
      <c r="IK84" s="312"/>
      <c r="IL84" s="312"/>
      <c r="IM84" s="312"/>
      <c r="IN84" s="312"/>
      <c r="IO84" s="312"/>
      <c r="IP84" s="312"/>
      <c r="IQ84" s="312"/>
      <c r="IR84" s="312"/>
      <c r="IS84" s="312"/>
      <c r="IT84" s="312"/>
      <c r="IU84" s="312"/>
      <c r="IV84" s="312"/>
      <c r="IW84" s="312"/>
      <c r="JR84" s="312"/>
      <c r="JS84" s="312"/>
      <c r="JT84" s="312"/>
      <c r="JU84" s="312"/>
      <c r="JV84" s="312"/>
      <c r="JW84" s="312"/>
      <c r="JX84" s="312"/>
      <c r="JY84" s="312"/>
      <c r="JZ84" s="312"/>
      <c r="KA84" s="312"/>
      <c r="KB84" s="312"/>
      <c r="KC84" s="312"/>
      <c r="KD84" s="312"/>
      <c r="KE84" s="312"/>
      <c r="KF84" s="312"/>
      <c r="KG84" s="312"/>
      <c r="KH84" s="312"/>
      <c r="KI84" s="312"/>
      <c r="KJ84" s="312"/>
      <c r="KK84" s="312"/>
      <c r="KL84" s="312"/>
      <c r="KM84" s="312"/>
      <c r="KN84" s="312"/>
      <c r="KO84" s="312"/>
      <c r="KP84" s="312"/>
      <c r="KQ84" s="312"/>
      <c r="KR84" s="312"/>
      <c r="KS84" s="312"/>
      <c r="KT84" s="312"/>
      <c r="KU84" s="312"/>
      <c r="KV84" s="312"/>
      <c r="KW84" s="312"/>
      <c r="KX84" s="312"/>
      <c r="KY84" s="312"/>
      <c r="KZ84" s="312"/>
    </row>
    <row r="85" spans="190:312">
      <c r="GH85" s="390"/>
      <c r="GI85" s="387"/>
      <c r="GJ85" s="387"/>
      <c r="GK85" s="387"/>
      <c r="GL85" s="387"/>
      <c r="GM85" s="387"/>
      <c r="GN85" s="387"/>
      <c r="GO85" s="387"/>
      <c r="GP85" s="387"/>
      <c r="GQ85" s="387"/>
      <c r="GR85" s="387"/>
      <c r="GS85" s="387"/>
      <c r="GT85" s="387"/>
      <c r="GU85" s="387"/>
      <c r="GV85" s="387"/>
      <c r="GW85" s="387"/>
      <c r="GX85" s="387"/>
      <c r="GY85" s="387"/>
      <c r="GZ85" s="387"/>
      <c r="HA85" s="387"/>
      <c r="HB85" s="387"/>
      <c r="HC85" s="387"/>
      <c r="HD85" s="387"/>
      <c r="HE85" s="391"/>
      <c r="HF85" s="417"/>
      <c r="HG85" s="387"/>
      <c r="HH85" s="387"/>
      <c r="HI85" s="387"/>
      <c r="HJ85" s="387"/>
      <c r="HK85" s="387"/>
      <c r="HL85" s="387"/>
      <c r="HM85" s="387"/>
      <c r="HN85" s="387"/>
      <c r="HO85" s="387"/>
      <c r="HP85" s="387"/>
      <c r="HQ85" s="387"/>
      <c r="HR85" s="387"/>
      <c r="HS85" s="387"/>
      <c r="HT85" s="387"/>
      <c r="HU85" s="387"/>
      <c r="HV85" s="387"/>
      <c r="HW85" s="387"/>
      <c r="HX85" s="387"/>
      <c r="HY85" s="387"/>
      <c r="HZ85" s="387"/>
      <c r="IA85" s="387"/>
      <c r="IB85" s="387"/>
      <c r="IC85" s="392"/>
      <c r="ID85" s="312"/>
      <c r="IE85" s="312"/>
      <c r="IF85" s="312"/>
      <c r="IG85" s="312"/>
      <c r="IH85" s="312"/>
      <c r="II85" s="312"/>
      <c r="IJ85" s="312"/>
      <c r="IK85" s="312"/>
      <c r="IL85" s="312"/>
      <c r="IM85" s="312"/>
      <c r="IN85" s="312"/>
      <c r="IO85" s="312"/>
      <c r="IP85" s="312"/>
      <c r="IQ85" s="312"/>
      <c r="IR85" s="312"/>
      <c r="IS85" s="312"/>
      <c r="IT85" s="312"/>
      <c r="IU85" s="312"/>
      <c r="IV85" s="312"/>
      <c r="IW85" s="312"/>
      <c r="JR85" s="312"/>
      <c r="JS85" s="312"/>
      <c r="JT85" s="312"/>
      <c r="JU85" s="312"/>
      <c r="JV85" s="312"/>
      <c r="JW85" s="312"/>
      <c r="JX85" s="312"/>
      <c r="JY85" s="312"/>
      <c r="JZ85" s="312"/>
      <c r="KA85" s="312"/>
      <c r="KB85" s="312"/>
      <c r="KC85" s="312"/>
      <c r="KD85" s="312"/>
      <c r="KE85" s="312"/>
      <c r="KF85" s="312"/>
      <c r="KG85" s="312"/>
      <c r="KH85" s="312"/>
      <c r="KI85" s="312"/>
      <c r="KJ85" s="312"/>
      <c r="KK85" s="312"/>
      <c r="KL85" s="312"/>
      <c r="KM85" s="312"/>
      <c r="KN85" s="312"/>
      <c r="KO85" s="312"/>
      <c r="KP85" s="312"/>
      <c r="KQ85" s="312"/>
      <c r="KR85" s="312"/>
      <c r="KS85" s="312"/>
      <c r="KT85" s="312"/>
      <c r="KU85" s="312"/>
      <c r="KV85" s="312"/>
      <c r="KW85" s="312"/>
      <c r="KX85" s="312"/>
      <c r="KY85" s="312"/>
      <c r="KZ85" s="312"/>
    </row>
    <row r="86" spans="190:312">
      <c r="GH86" s="390"/>
      <c r="GI86" s="387"/>
      <c r="GJ86" s="387"/>
      <c r="GK86" s="387"/>
      <c r="GL86" s="387"/>
      <c r="GM86" s="387"/>
      <c r="GN86" s="387"/>
      <c r="GO86" s="387"/>
      <c r="GP86" s="387"/>
      <c r="GQ86" s="387"/>
      <c r="GR86" s="387"/>
      <c r="GS86" s="387"/>
      <c r="GT86" s="387"/>
      <c r="GU86" s="387"/>
      <c r="GV86" s="387"/>
      <c r="GW86" s="387"/>
      <c r="GX86" s="387"/>
      <c r="GY86" s="387"/>
      <c r="GZ86" s="387"/>
      <c r="HA86" s="387"/>
      <c r="HB86" s="387"/>
      <c r="HC86" s="387"/>
      <c r="HD86" s="387"/>
      <c r="HE86" s="391"/>
      <c r="HF86" s="417"/>
      <c r="HG86" s="387"/>
      <c r="HH86" s="387"/>
      <c r="HI86" s="387"/>
      <c r="HJ86" s="387"/>
      <c r="HK86" s="387"/>
      <c r="HL86" s="387"/>
      <c r="HM86" s="387"/>
      <c r="HN86" s="387"/>
      <c r="HO86" s="387"/>
      <c r="HP86" s="387"/>
      <c r="HQ86" s="387"/>
      <c r="HR86" s="387"/>
      <c r="HS86" s="387"/>
      <c r="HT86" s="387"/>
      <c r="HU86" s="387"/>
      <c r="HV86" s="387"/>
      <c r="HW86" s="387"/>
      <c r="HX86" s="387"/>
      <c r="HY86" s="387"/>
      <c r="HZ86" s="387"/>
      <c r="IA86" s="387"/>
      <c r="IB86" s="387"/>
      <c r="IC86" s="392"/>
      <c r="ID86" s="312"/>
      <c r="IE86" s="312"/>
      <c r="IF86" s="312"/>
      <c r="IG86" s="312"/>
      <c r="IH86" s="312"/>
      <c r="II86" s="312"/>
      <c r="IJ86" s="312"/>
      <c r="IK86" s="312"/>
      <c r="IL86" s="312"/>
      <c r="IM86" s="312"/>
      <c r="IN86" s="312"/>
      <c r="IO86" s="312"/>
      <c r="IP86" s="312"/>
      <c r="IQ86" s="312"/>
      <c r="IR86" s="312"/>
      <c r="IS86" s="312"/>
      <c r="IT86" s="312"/>
      <c r="IU86" s="312"/>
      <c r="IV86" s="312"/>
      <c r="IW86" s="312"/>
      <c r="JR86" s="312"/>
      <c r="JS86" s="312"/>
      <c r="JT86" s="312"/>
      <c r="JU86" s="312"/>
      <c r="JV86" s="312"/>
      <c r="JW86" s="312"/>
      <c r="JX86" s="312"/>
      <c r="JY86" s="312"/>
      <c r="JZ86" s="312"/>
      <c r="KA86" s="312"/>
      <c r="KB86" s="312"/>
      <c r="KC86" s="312"/>
      <c r="KD86" s="312"/>
      <c r="KE86" s="312"/>
      <c r="KF86" s="312"/>
      <c r="KG86" s="312"/>
      <c r="KH86" s="312"/>
      <c r="KI86" s="312"/>
      <c r="KJ86" s="312"/>
      <c r="KK86" s="312"/>
      <c r="KL86" s="312"/>
      <c r="KM86" s="312"/>
      <c r="KN86" s="312"/>
      <c r="KO86" s="312"/>
      <c r="KP86" s="312"/>
      <c r="KQ86" s="312"/>
      <c r="KR86" s="312"/>
      <c r="KS86" s="312"/>
      <c r="KT86" s="312"/>
      <c r="KU86" s="312"/>
      <c r="KV86" s="312"/>
      <c r="KW86" s="312"/>
      <c r="KX86" s="312"/>
      <c r="KY86" s="312"/>
      <c r="KZ86" s="312"/>
    </row>
    <row r="87" spans="190:312">
      <c r="GH87" s="390"/>
      <c r="GI87" s="387"/>
      <c r="GJ87" s="387"/>
      <c r="GK87" s="387"/>
      <c r="GL87" s="387"/>
      <c r="GM87" s="387"/>
      <c r="GN87" s="387"/>
      <c r="GO87" s="387"/>
      <c r="GP87" s="387"/>
      <c r="GQ87" s="387"/>
      <c r="GR87" s="387"/>
      <c r="GS87" s="387"/>
      <c r="GT87" s="387"/>
      <c r="GU87" s="387"/>
      <c r="GV87" s="387"/>
      <c r="GW87" s="387"/>
      <c r="GX87" s="387"/>
      <c r="GY87" s="387"/>
      <c r="GZ87" s="387"/>
      <c r="HA87" s="387"/>
      <c r="HB87" s="387"/>
      <c r="HC87" s="387"/>
      <c r="HD87" s="387"/>
      <c r="HE87" s="391"/>
      <c r="HF87" s="417"/>
      <c r="HG87" s="387"/>
      <c r="HH87" s="387"/>
      <c r="HI87" s="387"/>
      <c r="HJ87" s="387"/>
      <c r="HK87" s="387"/>
      <c r="HL87" s="387"/>
      <c r="HM87" s="387"/>
      <c r="HN87" s="387"/>
      <c r="HO87" s="387"/>
      <c r="HP87" s="387"/>
      <c r="HQ87" s="387"/>
      <c r="HR87" s="387"/>
      <c r="HS87" s="387"/>
      <c r="HT87" s="387"/>
      <c r="HU87" s="387"/>
      <c r="HV87" s="387"/>
      <c r="HW87" s="387"/>
      <c r="HX87" s="387"/>
      <c r="HY87" s="387"/>
      <c r="HZ87" s="387"/>
      <c r="IA87" s="387"/>
      <c r="IB87" s="387"/>
      <c r="IC87" s="392"/>
      <c r="JR87" s="312"/>
      <c r="JS87" s="312"/>
      <c r="JT87" s="312"/>
      <c r="JU87" s="312"/>
      <c r="JV87" s="312"/>
      <c r="JW87" s="312"/>
      <c r="JX87" s="312"/>
      <c r="JY87" s="312"/>
      <c r="JZ87" s="312"/>
      <c r="KA87" s="312"/>
      <c r="KB87" s="312"/>
      <c r="KC87" s="312"/>
      <c r="KD87" s="312"/>
      <c r="KE87" s="312"/>
      <c r="KF87" s="312"/>
      <c r="KG87" s="312"/>
      <c r="KH87" s="312"/>
      <c r="KI87" s="312"/>
      <c r="KJ87" s="312"/>
      <c r="KK87" s="312"/>
      <c r="KL87" s="312"/>
      <c r="KM87" s="312"/>
      <c r="KN87" s="312"/>
      <c r="KO87" s="312"/>
      <c r="KP87" s="312"/>
      <c r="KQ87" s="312"/>
      <c r="KR87" s="312"/>
      <c r="KS87" s="312"/>
      <c r="KT87" s="312"/>
      <c r="KU87" s="312"/>
      <c r="KV87" s="312"/>
      <c r="KW87" s="312"/>
      <c r="KX87" s="312"/>
      <c r="KY87" s="312"/>
      <c r="KZ87" s="312"/>
    </row>
    <row r="88" spans="190:312">
      <c r="GH88" s="390"/>
      <c r="GI88" s="387"/>
      <c r="GJ88" s="387"/>
      <c r="GK88" s="387"/>
      <c r="GL88" s="387"/>
      <c r="GM88" s="387"/>
      <c r="GN88" s="387"/>
      <c r="GO88" s="387"/>
      <c r="GP88" s="387"/>
      <c r="GQ88" s="387"/>
      <c r="GR88" s="387"/>
      <c r="GS88" s="387"/>
      <c r="GT88" s="387"/>
      <c r="GU88" s="387"/>
      <c r="GV88" s="387"/>
      <c r="GW88" s="387"/>
      <c r="GX88" s="387"/>
      <c r="GY88" s="387"/>
      <c r="GZ88" s="387"/>
      <c r="HA88" s="387"/>
      <c r="HB88" s="387"/>
      <c r="HC88" s="387"/>
      <c r="HD88" s="387"/>
      <c r="HE88" s="391"/>
      <c r="HF88" s="417"/>
      <c r="HG88" s="387"/>
      <c r="HH88" s="387"/>
      <c r="HI88" s="387"/>
      <c r="HJ88" s="387"/>
      <c r="HK88" s="387"/>
      <c r="HL88" s="387"/>
      <c r="HM88" s="387"/>
      <c r="HN88" s="387"/>
      <c r="HO88" s="387"/>
      <c r="HP88" s="387"/>
      <c r="HQ88" s="387"/>
      <c r="HR88" s="387"/>
      <c r="HS88" s="387"/>
      <c r="HT88" s="387"/>
      <c r="HU88" s="387"/>
      <c r="HV88" s="387"/>
      <c r="HW88" s="387"/>
      <c r="HX88" s="387"/>
      <c r="HY88" s="387"/>
      <c r="HZ88" s="387"/>
      <c r="IA88" s="387"/>
      <c r="IB88" s="387"/>
      <c r="IC88" s="392"/>
      <c r="KG88" s="312"/>
      <c r="KH88" s="312"/>
      <c r="KI88" s="312"/>
      <c r="KJ88" s="312"/>
      <c r="KK88" s="312"/>
      <c r="KL88" s="312"/>
      <c r="KM88" s="312"/>
      <c r="KN88" s="312"/>
      <c r="KO88" s="312"/>
      <c r="KP88" s="312"/>
      <c r="KQ88" s="312"/>
      <c r="KR88" s="312"/>
      <c r="KS88" s="312"/>
      <c r="KT88" s="312"/>
      <c r="KU88" s="312"/>
      <c r="KV88" s="312"/>
      <c r="KW88" s="312"/>
      <c r="KX88" s="312"/>
      <c r="KY88" s="312"/>
      <c r="KZ88" s="312"/>
    </row>
    <row r="89" spans="190:312">
      <c r="GH89" s="390"/>
      <c r="GI89" s="387"/>
      <c r="GJ89" s="387"/>
      <c r="GK89" s="387"/>
      <c r="GL89" s="387"/>
      <c r="GM89" s="387"/>
      <c r="GN89" s="387"/>
      <c r="GO89" s="387"/>
      <c r="GP89" s="387"/>
      <c r="GQ89" s="387"/>
      <c r="GR89" s="387"/>
      <c r="GS89" s="387"/>
      <c r="GT89" s="387"/>
      <c r="GU89" s="387"/>
      <c r="GV89" s="387"/>
      <c r="GW89" s="387"/>
      <c r="GX89" s="387"/>
      <c r="GY89" s="387"/>
      <c r="GZ89" s="387"/>
      <c r="HA89" s="387"/>
      <c r="HB89" s="387"/>
      <c r="HC89" s="387"/>
      <c r="HD89" s="387"/>
      <c r="HE89" s="391"/>
      <c r="HF89" s="417"/>
      <c r="HG89" s="387"/>
      <c r="HH89" s="387"/>
      <c r="HI89" s="387"/>
      <c r="HJ89" s="387"/>
      <c r="HK89" s="387"/>
      <c r="HL89" s="387"/>
      <c r="HM89" s="387"/>
      <c r="HN89" s="387"/>
      <c r="HO89" s="387"/>
      <c r="HP89" s="387"/>
      <c r="HQ89" s="387"/>
      <c r="HR89" s="387"/>
      <c r="HS89" s="387"/>
      <c r="HT89" s="387"/>
      <c r="HU89" s="387"/>
      <c r="HV89" s="387"/>
      <c r="HW89" s="387"/>
      <c r="HX89" s="387"/>
      <c r="HY89" s="387"/>
      <c r="HZ89" s="387"/>
      <c r="IA89" s="387"/>
      <c r="IB89" s="387"/>
      <c r="IC89" s="392"/>
      <c r="KG89" s="312"/>
      <c r="KH89" s="312"/>
      <c r="KI89" s="312"/>
      <c r="KJ89" s="312"/>
      <c r="KK89" s="312"/>
      <c r="KL89" s="312"/>
      <c r="KM89" s="312"/>
      <c r="KN89" s="312"/>
      <c r="KO89" s="312"/>
      <c r="KP89" s="312"/>
      <c r="KQ89" s="312"/>
      <c r="KR89" s="312"/>
      <c r="KS89" s="312"/>
      <c r="KT89" s="312"/>
      <c r="KU89" s="312"/>
      <c r="KV89" s="312"/>
      <c r="KW89" s="312"/>
      <c r="KX89" s="312"/>
      <c r="KY89" s="312"/>
      <c r="KZ89" s="312"/>
    </row>
    <row r="90" spans="190:312">
      <c r="GH90" s="390"/>
      <c r="GI90" s="387"/>
      <c r="GJ90" s="387"/>
      <c r="GK90" s="387"/>
      <c r="GL90" s="387"/>
      <c r="GM90" s="387"/>
      <c r="GN90" s="387"/>
      <c r="GO90" s="387"/>
      <c r="GP90" s="387"/>
      <c r="GQ90" s="387"/>
      <c r="GR90" s="387"/>
      <c r="GS90" s="387"/>
      <c r="GT90" s="387"/>
      <c r="GU90" s="387"/>
      <c r="GV90" s="387"/>
      <c r="GW90" s="387"/>
      <c r="GX90" s="387"/>
      <c r="GY90" s="387"/>
      <c r="GZ90" s="387"/>
      <c r="HA90" s="387"/>
      <c r="HB90" s="387"/>
      <c r="HC90" s="387"/>
      <c r="HD90" s="387"/>
      <c r="HE90" s="391"/>
      <c r="HF90" s="417"/>
      <c r="HG90" s="387"/>
      <c r="HH90" s="387"/>
      <c r="HI90" s="387"/>
      <c r="HJ90" s="387"/>
      <c r="HK90" s="387"/>
      <c r="HL90" s="387"/>
      <c r="HM90" s="387"/>
      <c r="HN90" s="387"/>
      <c r="HO90" s="387"/>
      <c r="HP90" s="387"/>
      <c r="HQ90" s="387"/>
      <c r="HR90" s="387"/>
      <c r="HS90" s="387"/>
      <c r="HT90" s="387"/>
      <c r="HU90" s="387"/>
      <c r="HV90" s="387"/>
      <c r="HW90" s="387"/>
      <c r="HX90" s="387"/>
      <c r="HY90" s="387"/>
      <c r="HZ90" s="387"/>
      <c r="IA90" s="387"/>
      <c r="IB90" s="387"/>
      <c r="IC90" s="392"/>
      <c r="KG90" s="312"/>
      <c r="KH90" s="312"/>
      <c r="KI90" s="312"/>
      <c r="KJ90" s="312"/>
      <c r="KK90" s="312"/>
      <c r="KL90" s="312"/>
      <c r="KM90" s="312"/>
      <c r="KN90" s="312"/>
      <c r="KO90" s="312"/>
      <c r="KP90" s="312"/>
      <c r="KQ90" s="312"/>
      <c r="KR90" s="312"/>
      <c r="KS90" s="312"/>
      <c r="KT90" s="312"/>
      <c r="KU90" s="312"/>
      <c r="KV90" s="312"/>
      <c r="KW90" s="312"/>
      <c r="KX90" s="312"/>
      <c r="KY90" s="312"/>
      <c r="KZ90" s="312"/>
    </row>
    <row r="91" spans="190:312">
      <c r="GH91" s="390"/>
      <c r="GI91" s="387"/>
      <c r="GJ91" s="387"/>
      <c r="GK91" s="387"/>
      <c r="GL91" s="387"/>
      <c r="GM91" s="387"/>
      <c r="GN91" s="387"/>
      <c r="GO91" s="387"/>
      <c r="GP91" s="387"/>
      <c r="GQ91" s="387"/>
      <c r="GR91" s="387"/>
      <c r="GS91" s="387"/>
      <c r="GT91" s="387"/>
      <c r="GU91" s="387"/>
      <c r="GV91" s="387"/>
      <c r="GW91" s="387"/>
      <c r="GX91" s="387"/>
      <c r="GY91" s="387"/>
      <c r="GZ91" s="387"/>
      <c r="HA91" s="387"/>
      <c r="HB91" s="387"/>
      <c r="HC91" s="387"/>
      <c r="HD91" s="387"/>
      <c r="HE91" s="391"/>
      <c r="HF91" s="417"/>
      <c r="HG91" s="387"/>
      <c r="HH91" s="387"/>
      <c r="HI91" s="387"/>
      <c r="HJ91" s="387"/>
      <c r="HK91" s="387"/>
      <c r="HL91" s="387"/>
      <c r="HM91" s="387"/>
      <c r="HN91" s="387"/>
      <c r="HO91" s="387"/>
      <c r="HP91" s="387"/>
      <c r="HQ91" s="387"/>
      <c r="HR91" s="387"/>
      <c r="HS91" s="387"/>
      <c r="HT91" s="387"/>
      <c r="HU91" s="387"/>
      <c r="HV91" s="387"/>
      <c r="HW91" s="387"/>
      <c r="HX91" s="387"/>
      <c r="HY91" s="387"/>
      <c r="HZ91" s="387"/>
      <c r="IA91" s="387"/>
      <c r="IB91" s="387"/>
      <c r="IC91" s="392"/>
      <c r="KK91" s="312"/>
      <c r="KL91" s="312"/>
      <c r="KM91" s="312"/>
      <c r="KN91" s="312"/>
      <c r="KO91" s="312"/>
      <c r="KP91" s="312"/>
      <c r="KQ91" s="312"/>
      <c r="KR91" s="312"/>
      <c r="KS91" s="312"/>
      <c r="KT91" s="312"/>
      <c r="KU91" s="312"/>
      <c r="KV91" s="312"/>
      <c r="KW91" s="312"/>
      <c r="KX91" s="312"/>
      <c r="KY91" s="312"/>
      <c r="KZ91" s="312"/>
    </row>
    <row r="92" spans="190:312">
      <c r="GH92" s="390"/>
      <c r="GI92" s="387"/>
      <c r="GJ92" s="387"/>
      <c r="GK92" s="387"/>
      <c r="GL92" s="387"/>
      <c r="GM92" s="387"/>
      <c r="GN92" s="387"/>
      <c r="GO92" s="387"/>
      <c r="GP92" s="387"/>
      <c r="GQ92" s="387"/>
      <c r="GR92" s="387"/>
      <c r="GS92" s="387"/>
      <c r="GT92" s="387"/>
      <c r="GU92" s="387"/>
      <c r="GV92" s="387"/>
      <c r="GW92" s="387"/>
      <c r="GX92" s="387"/>
      <c r="GY92" s="387"/>
      <c r="GZ92" s="387"/>
      <c r="HA92" s="387"/>
      <c r="HB92" s="387"/>
      <c r="HC92" s="387"/>
      <c r="HD92" s="387"/>
      <c r="HE92" s="391"/>
      <c r="HF92" s="417"/>
      <c r="HG92" s="387"/>
      <c r="HH92" s="387"/>
      <c r="HI92" s="387"/>
      <c r="HJ92" s="387"/>
      <c r="HK92" s="387"/>
      <c r="HL92" s="387"/>
      <c r="HM92" s="387"/>
      <c r="HN92" s="387"/>
      <c r="HO92" s="387"/>
      <c r="HP92" s="387"/>
      <c r="HQ92" s="387"/>
      <c r="HR92" s="387"/>
      <c r="HS92" s="387"/>
      <c r="HT92" s="387"/>
      <c r="HU92" s="387"/>
      <c r="HV92" s="387"/>
      <c r="HW92" s="387"/>
      <c r="HX92" s="387"/>
      <c r="HY92" s="387"/>
      <c r="HZ92" s="387"/>
      <c r="IA92" s="387"/>
      <c r="IB92" s="387"/>
      <c r="IC92" s="392"/>
    </row>
    <row r="93" spans="190:312">
      <c r="GH93" s="390"/>
      <c r="GI93" s="387"/>
      <c r="GJ93" s="387"/>
      <c r="GK93" s="387"/>
      <c r="GL93" s="387"/>
      <c r="GM93" s="387"/>
      <c r="GN93" s="387"/>
      <c r="GO93" s="387"/>
      <c r="GP93" s="387"/>
      <c r="GQ93" s="387"/>
      <c r="GR93" s="387"/>
      <c r="GS93" s="387"/>
      <c r="GT93" s="387"/>
      <c r="GU93" s="387"/>
      <c r="GV93" s="387"/>
      <c r="GW93" s="387"/>
      <c r="GX93" s="387"/>
      <c r="GY93" s="387"/>
      <c r="GZ93" s="387"/>
      <c r="HA93" s="387"/>
      <c r="HB93" s="387"/>
      <c r="HC93" s="387"/>
      <c r="HD93" s="387"/>
      <c r="HE93" s="391"/>
      <c r="HF93" s="417"/>
      <c r="HG93" s="387"/>
      <c r="HH93" s="387"/>
      <c r="HI93" s="387"/>
      <c r="HJ93" s="387"/>
      <c r="HK93" s="387"/>
      <c r="HL93" s="387"/>
      <c r="HM93" s="387"/>
      <c r="HN93" s="387"/>
      <c r="HO93" s="387"/>
      <c r="HP93" s="387"/>
      <c r="HQ93" s="387"/>
      <c r="HR93" s="387"/>
      <c r="HS93" s="387"/>
      <c r="HT93" s="387"/>
      <c r="HU93" s="387"/>
      <c r="HV93" s="387"/>
      <c r="HW93" s="387"/>
      <c r="HX93" s="387"/>
      <c r="HY93" s="387"/>
      <c r="HZ93" s="387"/>
      <c r="IA93" s="387"/>
      <c r="IB93" s="387"/>
      <c r="IC93" s="392"/>
    </row>
    <row r="94" spans="190:312">
      <c r="GH94" s="390"/>
      <c r="GI94" s="387"/>
      <c r="GJ94" s="387"/>
      <c r="GK94" s="387"/>
      <c r="GL94" s="387"/>
      <c r="GM94" s="387"/>
      <c r="GN94" s="387"/>
      <c r="GO94" s="387"/>
      <c r="GP94" s="387"/>
      <c r="GQ94" s="387"/>
      <c r="GR94" s="387"/>
      <c r="GS94" s="387"/>
      <c r="GT94" s="387"/>
      <c r="GU94" s="387"/>
      <c r="GV94" s="387"/>
      <c r="GW94" s="387"/>
      <c r="GX94" s="387"/>
      <c r="GY94" s="387"/>
      <c r="GZ94" s="387"/>
      <c r="HA94" s="387"/>
      <c r="HB94" s="387"/>
      <c r="HC94" s="387"/>
      <c r="HD94" s="387"/>
      <c r="HE94" s="391"/>
      <c r="HF94" s="417"/>
      <c r="HG94" s="387"/>
      <c r="HH94" s="387"/>
      <c r="HI94" s="387"/>
      <c r="HJ94" s="387"/>
      <c r="HK94" s="387"/>
      <c r="HL94" s="387"/>
      <c r="HM94" s="387"/>
      <c r="HN94" s="387"/>
      <c r="HO94" s="387"/>
      <c r="HP94" s="387"/>
      <c r="HQ94" s="387"/>
      <c r="HR94" s="387"/>
      <c r="HS94" s="387"/>
      <c r="HT94" s="387"/>
      <c r="HU94" s="387"/>
      <c r="HV94" s="387"/>
      <c r="HW94" s="387"/>
      <c r="HX94" s="387"/>
      <c r="HY94" s="387"/>
      <c r="HZ94" s="387"/>
      <c r="IA94" s="387"/>
      <c r="IB94" s="387"/>
      <c r="IC94" s="392"/>
    </row>
    <row r="95" spans="190:312">
      <c r="GH95" s="390"/>
      <c r="GI95" s="387"/>
      <c r="GJ95" s="387"/>
      <c r="GK95" s="387"/>
      <c r="GL95" s="387"/>
      <c r="GM95" s="387"/>
      <c r="GN95" s="387"/>
      <c r="GO95" s="387"/>
      <c r="GP95" s="387"/>
      <c r="GQ95" s="387"/>
      <c r="GR95" s="387"/>
      <c r="GS95" s="387"/>
      <c r="GT95" s="387"/>
      <c r="GU95" s="387"/>
      <c r="GV95" s="387"/>
      <c r="GW95" s="387"/>
      <c r="GX95" s="387"/>
      <c r="GY95" s="387"/>
      <c r="GZ95" s="387"/>
      <c r="HA95" s="387"/>
      <c r="HB95" s="387"/>
      <c r="HC95" s="387"/>
      <c r="HD95" s="387"/>
      <c r="HE95" s="391"/>
      <c r="HF95" s="417"/>
      <c r="HG95" s="387"/>
      <c r="HH95" s="387"/>
      <c r="HI95" s="387"/>
      <c r="HJ95" s="387"/>
      <c r="HK95" s="387"/>
      <c r="HL95" s="387"/>
      <c r="HM95" s="387"/>
      <c r="HN95" s="387"/>
      <c r="HO95" s="387"/>
      <c r="HP95" s="387"/>
      <c r="HQ95" s="387"/>
      <c r="HR95" s="387"/>
      <c r="HS95" s="387"/>
      <c r="HT95" s="387"/>
      <c r="HU95" s="387"/>
      <c r="HV95" s="387"/>
      <c r="HW95" s="387"/>
      <c r="HX95" s="387"/>
      <c r="HY95" s="387"/>
      <c r="HZ95" s="387"/>
      <c r="IA95" s="387"/>
      <c r="IB95" s="387"/>
      <c r="IC95" s="392"/>
    </row>
    <row r="96" spans="190:312">
      <c r="GH96" s="390"/>
      <c r="GI96" s="387"/>
      <c r="GJ96" s="387"/>
      <c r="GK96" s="387"/>
      <c r="GL96" s="387"/>
      <c r="GM96" s="387"/>
      <c r="GN96" s="387"/>
      <c r="GO96" s="387"/>
      <c r="GP96" s="387"/>
      <c r="GQ96" s="387"/>
      <c r="GR96" s="387"/>
      <c r="GS96" s="387"/>
      <c r="GT96" s="387"/>
      <c r="GU96" s="387"/>
      <c r="GV96" s="387"/>
      <c r="GW96" s="387"/>
      <c r="GX96" s="387"/>
      <c r="GY96" s="387"/>
      <c r="GZ96" s="387"/>
      <c r="HA96" s="387"/>
      <c r="HB96" s="387"/>
      <c r="HC96" s="387"/>
      <c r="HD96" s="387"/>
      <c r="HE96" s="391"/>
      <c r="HF96" s="417"/>
      <c r="HG96" s="387"/>
      <c r="HH96" s="387"/>
      <c r="HI96" s="387"/>
      <c r="HJ96" s="387"/>
      <c r="HK96" s="387"/>
      <c r="HL96" s="387"/>
      <c r="HM96" s="387"/>
      <c r="HN96" s="387"/>
      <c r="HO96" s="387"/>
      <c r="HP96" s="387"/>
      <c r="HQ96" s="387"/>
      <c r="HR96" s="387"/>
      <c r="HS96" s="387"/>
      <c r="HT96" s="387"/>
      <c r="HU96" s="387"/>
      <c r="HV96" s="387"/>
      <c r="HW96" s="387"/>
      <c r="HX96" s="387"/>
      <c r="HY96" s="387"/>
      <c r="HZ96" s="387"/>
      <c r="IA96" s="387"/>
      <c r="IB96" s="387"/>
      <c r="IC96" s="392"/>
    </row>
    <row r="97" spans="190:237">
      <c r="GH97" s="390"/>
      <c r="GI97" s="387"/>
      <c r="GJ97" s="387"/>
      <c r="GK97" s="387"/>
      <c r="GL97" s="387"/>
      <c r="GM97" s="387"/>
      <c r="GN97" s="387"/>
      <c r="GO97" s="387"/>
      <c r="GP97" s="387"/>
      <c r="GQ97" s="387"/>
      <c r="GR97" s="387"/>
      <c r="GS97" s="387"/>
      <c r="GT97" s="387"/>
      <c r="GU97" s="387"/>
      <c r="GV97" s="387"/>
      <c r="GW97" s="387"/>
      <c r="GX97" s="387"/>
      <c r="GY97" s="387"/>
      <c r="GZ97" s="387"/>
      <c r="HA97" s="387"/>
      <c r="HB97" s="387"/>
      <c r="HC97" s="387"/>
      <c r="HD97" s="387"/>
      <c r="HE97" s="391"/>
      <c r="HF97" s="417"/>
      <c r="HG97" s="387"/>
      <c r="HH97" s="387"/>
      <c r="HI97" s="387"/>
      <c r="HJ97" s="387"/>
      <c r="HK97" s="387"/>
      <c r="HL97" s="387"/>
      <c r="HM97" s="387"/>
      <c r="HN97" s="387"/>
      <c r="HO97" s="387"/>
      <c r="HP97" s="387"/>
      <c r="HQ97" s="387"/>
      <c r="HR97" s="387"/>
      <c r="HS97" s="387"/>
      <c r="HT97" s="387"/>
      <c r="HU97" s="387"/>
      <c r="HV97" s="387"/>
      <c r="HW97" s="387"/>
      <c r="HX97" s="387"/>
      <c r="HY97" s="387"/>
      <c r="HZ97" s="387"/>
      <c r="IA97" s="387"/>
      <c r="IB97" s="387"/>
      <c r="IC97" s="392"/>
    </row>
    <row r="98" spans="190:237">
      <c r="GH98" s="390"/>
      <c r="GI98" s="387"/>
      <c r="GJ98" s="387"/>
      <c r="GK98" s="387"/>
      <c r="GL98" s="387"/>
      <c r="GM98" s="387"/>
      <c r="GN98" s="387"/>
      <c r="GO98" s="387"/>
      <c r="GP98" s="387"/>
      <c r="GQ98" s="387"/>
      <c r="GR98" s="387"/>
      <c r="GS98" s="387"/>
      <c r="GT98" s="387"/>
      <c r="GU98" s="387"/>
      <c r="GV98" s="387"/>
      <c r="GW98" s="387"/>
      <c r="GX98" s="387"/>
      <c r="GY98" s="387"/>
      <c r="GZ98" s="387"/>
      <c r="HA98" s="387"/>
      <c r="HB98" s="387"/>
      <c r="HC98" s="387"/>
      <c r="HD98" s="387"/>
      <c r="HE98" s="391"/>
      <c r="HF98" s="417"/>
      <c r="HG98" s="387"/>
      <c r="HH98" s="387"/>
      <c r="HI98" s="387"/>
      <c r="HJ98" s="387"/>
      <c r="HK98" s="387"/>
      <c r="HL98" s="387"/>
      <c r="HM98" s="387"/>
      <c r="HN98" s="387"/>
      <c r="HO98" s="387"/>
      <c r="HP98" s="387"/>
      <c r="HQ98" s="387"/>
      <c r="HR98" s="387"/>
      <c r="HS98" s="387"/>
      <c r="HT98" s="387"/>
      <c r="HU98" s="387"/>
      <c r="HV98" s="387"/>
      <c r="HW98" s="387"/>
      <c r="HX98" s="387"/>
      <c r="HY98" s="387"/>
      <c r="HZ98" s="387"/>
      <c r="IA98" s="387"/>
      <c r="IB98" s="387"/>
      <c r="IC98" s="392"/>
    </row>
    <row r="99" spans="190:237">
      <c r="GH99" s="390"/>
      <c r="GI99" s="387"/>
      <c r="GJ99" s="387"/>
      <c r="GK99" s="387"/>
      <c r="GL99" s="387"/>
      <c r="GM99" s="387"/>
      <c r="GN99" s="387"/>
      <c r="GO99" s="387"/>
      <c r="GP99" s="387"/>
      <c r="GQ99" s="387"/>
      <c r="GR99" s="387"/>
      <c r="GS99" s="387"/>
      <c r="GT99" s="387"/>
      <c r="GU99" s="387"/>
      <c r="GV99" s="387"/>
      <c r="GW99" s="387"/>
      <c r="GX99" s="387"/>
      <c r="GY99" s="387"/>
      <c r="GZ99" s="387"/>
      <c r="HA99" s="387"/>
      <c r="HB99" s="387"/>
      <c r="HC99" s="387"/>
      <c r="HD99" s="387"/>
      <c r="HE99" s="391"/>
      <c r="HF99" s="417"/>
      <c r="HG99" s="387"/>
      <c r="HH99" s="387"/>
      <c r="HI99" s="387"/>
      <c r="HJ99" s="387"/>
      <c r="HK99" s="387"/>
      <c r="HL99" s="387"/>
      <c r="HM99" s="387"/>
      <c r="HN99" s="387"/>
      <c r="HO99" s="387"/>
      <c r="HP99" s="387"/>
      <c r="HQ99" s="387"/>
      <c r="HR99" s="387"/>
      <c r="HS99" s="387"/>
      <c r="HT99" s="387"/>
      <c r="HU99" s="387"/>
      <c r="HV99" s="387"/>
      <c r="HW99" s="387"/>
      <c r="HX99" s="387"/>
      <c r="HY99" s="387"/>
      <c r="HZ99" s="387"/>
      <c r="IA99" s="387"/>
      <c r="IB99" s="387"/>
      <c r="IC99" s="392"/>
    </row>
    <row r="100" spans="190:237">
      <c r="GH100" s="390"/>
      <c r="GI100" s="387"/>
      <c r="GJ100" s="387"/>
      <c r="GK100" s="387"/>
      <c r="GL100" s="387"/>
      <c r="GM100" s="387"/>
      <c r="GN100" s="387"/>
      <c r="GO100" s="387"/>
      <c r="GP100" s="387"/>
      <c r="GQ100" s="387"/>
      <c r="GR100" s="387"/>
      <c r="GS100" s="387"/>
      <c r="GT100" s="387"/>
      <c r="GU100" s="387"/>
      <c r="GV100" s="387"/>
      <c r="GW100" s="387"/>
      <c r="GX100" s="387"/>
      <c r="GY100" s="387"/>
      <c r="GZ100" s="387"/>
      <c r="HA100" s="387"/>
      <c r="HB100" s="387"/>
      <c r="HC100" s="387"/>
      <c r="HD100" s="387"/>
      <c r="HE100" s="391"/>
      <c r="HF100" s="417"/>
      <c r="HG100" s="387"/>
      <c r="HH100" s="387"/>
      <c r="HI100" s="387"/>
      <c r="HJ100" s="387"/>
      <c r="HK100" s="387"/>
      <c r="HL100" s="387"/>
      <c r="HM100" s="387"/>
      <c r="HN100" s="387"/>
      <c r="HO100" s="387"/>
      <c r="HP100" s="387"/>
      <c r="HQ100" s="387"/>
      <c r="HR100" s="387"/>
      <c r="HS100" s="387"/>
      <c r="HT100" s="387"/>
      <c r="HU100" s="387"/>
      <c r="HV100" s="387"/>
      <c r="HW100" s="387"/>
      <c r="HX100" s="387"/>
      <c r="HY100" s="387"/>
      <c r="HZ100" s="387"/>
      <c r="IA100" s="387"/>
      <c r="IB100" s="387"/>
      <c r="IC100" s="392"/>
    </row>
    <row r="101" spans="190:237">
      <c r="GH101" s="390"/>
      <c r="GI101" s="387"/>
      <c r="GJ101" s="387"/>
      <c r="GK101" s="387"/>
      <c r="GL101" s="387"/>
      <c r="GM101" s="387"/>
      <c r="GN101" s="387"/>
      <c r="GO101" s="387"/>
      <c r="GP101" s="387"/>
      <c r="GQ101" s="387"/>
      <c r="GR101" s="387"/>
      <c r="GS101" s="387"/>
      <c r="GT101" s="387"/>
      <c r="GU101" s="387"/>
      <c r="GV101" s="387"/>
      <c r="GW101" s="387"/>
      <c r="GX101" s="387"/>
      <c r="GY101" s="387"/>
      <c r="GZ101" s="387"/>
      <c r="HA101" s="387"/>
      <c r="HB101" s="387"/>
      <c r="HC101" s="387"/>
      <c r="HD101" s="387"/>
      <c r="HE101" s="391"/>
      <c r="HF101" s="417"/>
      <c r="HG101" s="387"/>
      <c r="HH101" s="387"/>
      <c r="HI101" s="387"/>
      <c r="HJ101" s="387"/>
      <c r="HK101" s="387"/>
      <c r="HL101" s="387"/>
      <c r="HM101" s="387"/>
      <c r="HN101" s="387"/>
      <c r="HO101" s="387"/>
      <c r="HP101" s="387"/>
      <c r="HQ101" s="387"/>
      <c r="HR101" s="387"/>
      <c r="HS101" s="387"/>
      <c r="HT101" s="387"/>
      <c r="HU101" s="387"/>
      <c r="HV101" s="387"/>
      <c r="HW101" s="387"/>
      <c r="HX101" s="387"/>
      <c r="HY101" s="387"/>
      <c r="HZ101" s="387"/>
      <c r="IA101" s="387"/>
      <c r="IB101" s="387"/>
      <c r="IC101" s="392"/>
    </row>
    <row r="102" spans="190:237">
      <c r="GH102" s="390"/>
      <c r="GI102" s="387"/>
      <c r="GJ102" s="387"/>
      <c r="GK102" s="387"/>
      <c r="GL102" s="387"/>
      <c r="GM102" s="387"/>
      <c r="GN102" s="387"/>
      <c r="GO102" s="387"/>
      <c r="GP102" s="387"/>
      <c r="GQ102" s="387"/>
      <c r="GR102" s="387"/>
      <c r="GS102" s="387"/>
      <c r="GT102" s="387"/>
      <c r="GU102" s="387"/>
      <c r="GV102" s="387"/>
      <c r="GW102" s="387"/>
      <c r="GX102" s="387"/>
      <c r="GY102" s="387"/>
      <c r="GZ102" s="387"/>
      <c r="HA102" s="387"/>
      <c r="HB102" s="387"/>
      <c r="HC102" s="387"/>
      <c r="HD102" s="387"/>
      <c r="HE102" s="391"/>
      <c r="HF102" s="417"/>
      <c r="HG102" s="387"/>
      <c r="HH102" s="387"/>
      <c r="HI102" s="387"/>
      <c r="HJ102" s="387"/>
      <c r="HK102" s="387"/>
      <c r="HL102" s="387"/>
      <c r="HM102" s="387"/>
      <c r="HN102" s="387"/>
      <c r="HO102" s="387"/>
      <c r="HP102" s="387"/>
      <c r="HQ102" s="387"/>
      <c r="HR102" s="387"/>
      <c r="HS102" s="387"/>
      <c r="HT102" s="387"/>
      <c r="HU102" s="387"/>
      <c r="HV102" s="387"/>
      <c r="HW102" s="387"/>
      <c r="HX102" s="387"/>
      <c r="HY102" s="387"/>
      <c r="HZ102" s="387"/>
      <c r="IA102" s="387"/>
      <c r="IB102" s="387"/>
      <c r="IC102" s="392"/>
    </row>
    <row r="103" spans="190:237">
      <c r="GH103" s="390"/>
      <c r="GI103" s="387"/>
      <c r="GJ103" s="387"/>
      <c r="GK103" s="387"/>
      <c r="GL103" s="387"/>
      <c r="GM103" s="387"/>
      <c r="GN103" s="387"/>
      <c r="GO103" s="387"/>
      <c r="GP103" s="387"/>
      <c r="GQ103" s="387"/>
      <c r="GR103" s="387"/>
      <c r="GS103" s="387"/>
      <c r="GT103" s="387"/>
      <c r="GU103" s="387"/>
      <c r="GV103" s="387"/>
      <c r="GW103" s="387"/>
      <c r="GX103" s="387"/>
      <c r="GY103" s="387"/>
      <c r="GZ103" s="387"/>
      <c r="HA103" s="387"/>
      <c r="HB103" s="387"/>
      <c r="HC103" s="387"/>
      <c r="HD103" s="387"/>
      <c r="HE103" s="391"/>
      <c r="HF103" s="417"/>
      <c r="HG103" s="387"/>
      <c r="HH103" s="387"/>
      <c r="HI103" s="387"/>
      <c r="HJ103" s="387"/>
      <c r="HK103" s="387"/>
      <c r="HL103" s="387"/>
      <c r="HM103" s="387"/>
      <c r="HN103" s="387"/>
      <c r="HO103" s="387"/>
      <c r="HP103" s="387"/>
      <c r="HQ103" s="387"/>
      <c r="HR103" s="387"/>
      <c r="HS103" s="387"/>
      <c r="HT103" s="387"/>
      <c r="HU103" s="387"/>
      <c r="HV103" s="387"/>
      <c r="HW103" s="387"/>
      <c r="HX103" s="387"/>
      <c r="HY103" s="387"/>
      <c r="HZ103" s="387"/>
      <c r="IA103" s="387"/>
      <c r="IB103" s="387"/>
      <c r="IC103" s="392"/>
    </row>
    <row r="104" spans="190:237">
      <c r="GH104" s="390"/>
      <c r="GI104" s="387"/>
      <c r="GJ104" s="387"/>
      <c r="GK104" s="387"/>
      <c r="GL104" s="387"/>
      <c r="GM104" s="387"/>
      <c r="GN104" s="387"/>
      <c r="GO104" s="387"/>
      <c r="GP104" s="387"/>
      <c r="GQ104" s="387"/>
      <c r="GR104" s="387"/>
      <c r="GS104" s="387"/>
      <c r="GT104" s="387"/>
      <c r="GU104" s="387"/>
      <c r="GV104" s="387"/>
      <c r="GW104" s="387"/>
      <c r="GX104" s="387"/>
      <c r="GY104" s="387"/>
      <c r="GZ104" s="387"/>
      <c r="HA104" s="387"/>
      <c r="HB104" s="387"/>
      <c r="HC104" s="387"/>
      <c r="HD104" s="387"/>
      <c r="HE104" s="391"/>
      <c r="HF104" s="417"/>
      <c r="HG104" s="387"/>
      <c r="HH104" s="387"/>
      <c r="HI104" s="387"/>
      <c r="HJ104" s="387"/>
      <c r="HK104" s="387"/>
      <c r="HL104" s="387"/>
      <c r="HM104" s="387"/>
      <c r="HN104" s="387"/>
      <c r="HO104" s="387"/>
      <c r="HP104" s="387"/>
      <c r="HQ104" s="387"/>
      <c r="HR104" s="387"/>
      <c r="HS104" s="387"/>
      <c r="HT104" s="387"/>
      <c r="HU104" s="387"/>
      <c r="HV104" s="387"/>
      <c r="HW104" s="387"/>
      <c r="HX104" s="387"/>
      <c r="HY104" s="387"/>
      <c r="HZ104" s="387"/>
      <c r="IA104" s="387"/>
      <c r="IB104" s="387"/>
      <c r="IC104" s="392"/>
    </row>
    <row r="105" spans="190:237">
      <c r="GH105" s="390"/>
      <c r="GI105" s="387"/>
      <c r="GJ105" s="387"/>
      <c r="GK105" s="387"/>
      <c r="GL105" s="387"/>
      <c r="GM105" s="387"/>
      <c r="GN105" s="387"/>
      <c r="GO105" s="387"/>
      <c r="GP105" s="387"/>
      <c r="GQ105" s="387"/>
      <c r="GR105" s="387"/>
      <c r="GS105" s="387"/>
      <c r="GT105" s="387"/>
      <c r="GU105" s="387"/>
      <c r="GV105" s="387"/>
      <c r="GW105" s="387"/>
      <c r="GX105" s="387"/>
      <c r="GY105" s="387"/>
      <c r="GZ105" s="387"/>
      <c r="HA105" s="387"/>
      <c r="HB105" s="387"/>
      <c r="HC105" s="387"/>
      <c r="HD105" s="387"/>
      <c r="HE105" s="391"/>
      <c r="HF105" s="417"/>
      <c r="HG105" s="387"/>
      <c r="HH105" s="387"/>
      <c r="HI105" s="387"/>
      <c r="HJ105" s="387"/>
      <c r="HK105" s="387"/>
      <c r="HL105" s="387"/>
      <c r="HM105" s="387"/>
      <c r="HN105" s="387"/>
      <c r="HO105" s="387"/>
      <c r="HP105" s="387"/>
      <c r="HQ105" s="387"/>
      <c r="HR105" s="387"/>
      <c r="HS105" s="387"/>
      <c r="HT105" s="387"/>
      <c r="HU105" s="387"/>
      <c r="HV105" s="387"/>
      <c r="HW105" s="387"/>
      <c r="HX105" s="387"/>
      <c r="HY105" s="387"/>
      <c r="HZ105" s="387"/>
      <c r="IA105" s="387"/>
      <c r="IB105" s="387"/>
      <c r="IC105" s="392"/>
    </row>
    <row r="106" spans="190:237">
      <c r="GH106" s="390"/>
      <c r="GI106" s="387"/>
      <c r="GJ106" s="387"/>
      <c r="GK106" s="387"/>
      <c r="GL106" s="387"/>
      <c r="GM106" s="387"/>
      <c r="GN106" s="387"/>
      <c r="GO106" s="387"/>
      <c r="GP106" s="387"/>
      <c r="GQ106" s="387"/>
      <c r="GR106" s="387"/>
      <c r="GS106" s="387"/>
      <c r="GT106" s="387"/>
      <c r="GU106" s="387"/>
      <c r="GV106" s="387"/>
      <c r="GW106" s="387"/>
      <c r="GX106" s="387"/>
      <c r="GY106" s="387"/>
      <c r="GZ106" s="387"/>
      <c r="HA106" s="387"/>
      <c r="HB106" s="387"/>
      <c r="HC106" s="387"/>
      <c r="HD106" s="387"/>
      <c r="HE106" s="391"/>
      <c r="HF106" s="417"/>
      <c r="HG106" s="387"/>
      <c r="HH106" s="387"/>
      <c r="HI106" s="387"/>
      <c r="HJ106" s="387"/>
      <c r="HK106" s="387"/>
      <c r="HL106" s="387"/>
      <c r="HM106" s="387"/>
      <c r="HN106" s="387"/>
      <c r="HO106" s="387"/>
      <c r="HP106" s="387"/>
      <c r="HQ106" s="387"/>
      <c r="HR106" s="387"/>
      <c r="HS106" s="387"/>
      <c r="HT106" s="387"/>
      <c r="HU106" s="387"/>
      <c r="HV106" s="387"/>
      <c r="HW106" s="387"/>
      <c r="HX106" s="387"/>
      <c r="HY106" s="387"/>
      <c r="HZ106" s="387"/>
      <c r="IA106" s="387"/>
      <c r="IB106" s="387"/>
      <c r="IC106" s="392"/>
    </row>
    <row r="107" spans="190:237">
      <c r="GH107" s="390"/>
      <c r="GI107" s="387"/>
      <c r="GJ107" s="387"/>
      <c r="GK107" s="387"/>
      <c r="GL107" s="387"/>
      <c r="GM107" s="387"/>
      <c r="GN107" s="387"/>
      <c r="GO107" s="387"/>
      <c r="GP107" s="387"/>
      <c r="GQ107" s="387"/>
      <c r="GR107" s="387"/>
      <c r="GS107" s="387"/>
      <c r="GT107" s="387"/>
      <c r="GU107" s="387"/>
      <c r="GV107" s="387"/>
      <c r="GW107" s="387"/>
      <c r="GX107" s="387"/>
      <c r="GY107" s="387"/>
      <c r="GZ107" s="387"/>
      <c r="HA107" s="387"/>
      <c r="HB107" s="387"/>
      <c r="HC107" s="387"/>
      <c r="HD107" s="387"/>
      <c r="HE107" s="391"/>
      <c r="HF107" s="417"/>
      <c r="HG107" s="387"/>
      <c r="HH107" s="387"/>
      <c r="HI107" s="387"/>
      <c r="HJ107" s="387"/>
      <c r="HK107" s="387"/>
      <c r="HL107" s="387"/>
      <c r="HM107" s="387"/>
      <c r="HN107" s="387"/>
      <c r="HO107" s="387"/>
      <c r="HP107" s="387"/>
      <c r="HQ107" s="387"/>
      <c r="HR107" s="387"/>
      <c r="HS107" s="387"/>
      <c r="HT107" s="387"/>
      <c r="HU107" s="387"/>
      <c r="HV107" s="387"/>
      <c r="HW107" s="387"/>
      <c r="HX107" s="387"/>
      <c r="HY107" s="387"/>
      <c r="HZ107" s="387"/>
      <c r="IA107" s="387"/>
      <c r="IB107" s="387"/>
      <c r="IC107" s="392"/>
    </row>
    <row r="108" spans="190:237">
      <c r="GH108" s="390"/>
      <c r="GI108" s="387"/>
      <c r="GJ108" s="387"/>
      <c r="GK108" s="387"/>
      <c r="GL108" s="387"/>
      <c r="GM108" s="387"/>
      <c r="GN108" s="387"/>
      <c r="GO108" s="387"/>
      <c r="GP108" s="387"/>
      <c r="GQ108" s="387"/>
      <c r="GR108" s="387"/>
      <c r="GS108" s="387"/>
      <c r="GT108" s="387"/>
      <c r="GU108" s="387"/>
      <c r="GV108" s="387"/>
      <c r="GW108" s="387"/>
      <c r="GX108" s="387"/>
      <c r="GY108" s="387"/>
      <c r="GZ108" s="387"/>
      <c r="HA108" s="387"/>
      <c r="HB108" s="387"/>
      <c r="HC108" s="387"/>
      <c r="HD108" s="387"/>
      <c r="HE108" s="391"/>
      <c r="HF108" s="417"/>
      <c r="HG108" s="387"/>
      <c r="HH108" s="387"/>
      <c r="HI108" s="387"/>
      <c r="HJ108" s="387"/>
      <c r="HK108" s="387"/>
      <c r="HL108" s="387"/>
      <c r="HM108" s="387"/>
      <c r="HN108" s="387"/>
      <c r="HO108" s="387"/>
      <c r="HP108" s="387"/>
      <c r="HQ108" s="387"/>
      <c r="HR108" s="387"/>
      <c r="HS108" s="387"/>
      <c r="HT108" s="387"/>
      <c r="HU108" s="387"/>
      <c r="HV108" s="387"/>
      <c r="HW108" s="387"/>
      <c r="HX108" s="387"/>
      <c r="HY108" s="387"/>
      <c r="HZ108" s="387"/>
      <c r="IA108" s="387"/>
      <c r="IB108" s="387"/>
      <c r="IC108" s="392"/>
    </row>
    <row r="109" spans="190:237">
      <c r="GH109" s="390"/>
      <c r="GI109" s="387"/>
      <c r="GJ109" s="387"/>
      <c r="GK109" s="387"/>
      <c r="GL109" s="387"/>
      <c r="GM109" s="387"/>
      <c r="GN109" s="387"/>
      <c r="GO109" s="387"/>
      <c r="GP109" s="387"/>
      <c r="GQ109" s="387"/>
      <c r="GR109" s="387"/>
      <c r="GS109" s="387"/>
      <c r="GT109" s="387"/>
      <c r="GU109" s="387"/>
      <c r="GV109" s="387"/>
      <c r="GW109" s="387"/>
      <c r="GX109" s="387"/>
      <c r="GY109" s="387"/>
      <c r="GZ109" s="387"/>
      <c r="HA109" s="387"/>
      <c r="HB109" s="387"/>
      <c r="HC109" s="387"/>
      <c r="HD109" s="387"/>
      <c r="HE109" s="391"/>
      <c r="HF109" s="417"/>
      <c r="HG109" s="387"/>
      <c r="HH109" s="387"/>
      <c r="HI109" s="387"/>
      <c r="HJ109" s="387"/>
      <c r="HK109" s="387"/>
      <c r="HL109" s="387"/>
      <c r="HM109" s="387"/>
      <c r="HN109" s="387"/>
      <c r="HO109" s="387"/>
      <c r="HP109" s="387"/>
      <c r="HQ109" s="387"/>
      <c r="HR109" s="387"/>
      <c r="HS109" s="387"/>
      <c r="HT109" s="387"/>
      <c r="HU109" s="387"/>
      <c r="HV109" s="387"/>
      <c r="HW109" s="387"/>
      <c r="HX109" s="387"/>
      <c r="HY109" s="387"/>
      <c r="HZ109" s="387"/>
      <c r="IA109" s="387"/>
      <c r="IB109" s="387"/>
      <c r="IC109" s="392"/>
    </row>
    <row r="110" spans="190:237">
      <c r="GH110" s="390"/>
      <c r="GI110" s="387"/>
      <c r="GJ110" s="387"/>
      <c r="GK110" s="387"/>
      <c r="GL110" s="387"/>
      <c r="GM110" s="387"/>
      <c r="GN110" s="387"/>
      <c r="GO110" s="387"/>
      <c r="GP110" s="387"/>
      <c r="GQ110" s="387"/>
      <c r="GR110" s="387"/>
      <c r="GS110" s="387"/>
      <c r="GT110" s="387"/>
      <c r="GU110" s="387"/>
      <c r="GV110" s="387"/>
      <c r="GW110" s="387"/>
      <c r="GX110" s="387"/>
      <c r="GY110" s="387"/>
      <c r="GZ110" s="387"/>
      <c r="HA110" s="387"/>
      <c r="HB110" s="387"/>
      <c r="HC110" s="387"/>
      <c r="HD110" s="387"/>
      <c r="HE110" s="391"/>
      <c r="HF110" s="417"/>
      <c r="HG110" s="387"/>
      <c r="HH110" s="387"/>
      <c r="HI110" s="387"/>
      <c r="HJ110" s="387"/>
      <c r="HK110" s="387"/>
      <c r="HL110" s="387"/>
      <c r="HM110" s="387"/>
      <c r="HN110" s="387"/>
      <c r="HO110" s="387"/>
      <c r="HP110" s="387"/>
      <c r="HQ110" s="387"/>
      <c r="HR110" s="387"/>
      <c r="HS110" s="387"/>
      <c r="HT110" s="387"/>
      <c r="HU110" s="387"/>
      <c r="HV110" s="387"/>
      <c r="HW110" s="387"/>
      <c r="HX110" s="387"/>
      <c r="HY110" s="387"/>
      <c r="HZ110" s="387"/>
      <c r="IA110" s="387"/>
      <c r="IB110" s="387"/>
      <c r="IC110" s="392"/>
    </row>
    <row r="111" spans="190:237">
      <c r="GH111" s="390"/>
      <c r="GI111" s="387"/>
      <c r="GJ111" s="387"/>
      <c r="GK111" s="387"/>
      <c r="GL111" s="387"/>
      <c r="GM111" s="387"/>
      <c r="GN111" s="387"/>
      <c r="GO111" s="387"/>
      <c r="GP111" s="387"/>
      <c r="GQ111" s="387"/>
      <c r="GR111" s="387"/>
      <c r="GS111" s="387"/>
      <c r="GT111" s="387"/>
      <c r="GU111" s="387"/>
      <c r="GV111" s="387"/>
      <c r="GW111" s="387"/>
      <c r="GX111" s="387"/>
      <c r="GY111" s="387"/>
      <c r="GZ111" s="387"/>
      <c r="HA111" s="387"/>
      <c r="HB111" s="387"/>
      <c r="HC111" s="387"/>
      <c r="HD111" s="387"/>
      <c r="HE111" s="391"/>
      <c r="HF111" s="417"/>
      <c r="HG111" s="387"/>
      <c r="HH111" s="387"/>
      <c r="HI111" s="387"/>
      <c r="HJ111" s="387"/>
      <c r="HK111" s="387"/>
      <c r="HL111" s="387"/>
      <c r="HM111" s="387"/>
      <c r="HN111" s="387"/>
      <c r="HO111" s="387"/>
      <c r="HP111" s="387"/>
      <c r="HQ111" s="387"/>
      <c r="HR111" s="387"/>
      <c r="HS111" s="387"/>
      <c r="HT111" s="387"/>
      <c r="HU111" s="387"/>
      <c r="HV111" s="387"/>
      <c r="HW111" s="387"/>
      <c r="HX111" s="387"/>
      <c r="HY111" s="387"/>
      <c r="HZ111" s="387"/>
      <c r="IA111" s="387"/>
      <c r="IB111" s="387"/>
      <c r="IC111" s="392"/>
    </row>
    <row r="112" spans="190:237">
      <c r="GH112" s="390"/>
      <c r="GI112" s="387"/>
      <c r="GJ112" s="387"/>
      <c r="GK112" s="387"/>
      <c r="GL112" s="387"/>
      <c r="GM112" s="387"/>
      <c r="GN112" s="387"/>
      <c r="GO112" s="387"/>
      <c r="GP112" s="387"/>
      <c r="GQ112" s="387"/>
      <c r="GR112" s="387"/>
      <c r="GS112" s="387"/>
      <c r="GT112" s="387"/>
      <c r="GU112" s="387"/>
      <c r="GV112" s="387"/>
      <c r="GW112" s="387"/>
      <c r="GX112" s="387"/>
      <c r="GY112" s="387"/>
      <c r="GZ112" s="387"/>
      <c r="HA112" s="387"/>
      <c r="HB112" s="387"/>
      <c r="HC112" s="387"/>
      <c r="HD112" s="387"/>
      <c r="HE112" s="391"/>
      <c r="HF112" s="417"/>
      <c r="HG112" s="387"/>
      <c r="HH112" s="387"/>
      <c r="HI112" s="387"/>
      <c r="HJ112" s="387"/>
      <c r="HK112" s="387"/>
      <c r="HL112" s="387"/>
      <c r="HM112" s="387"/>
      <c r="HN112" s="387"/>
      <c r="HO112" s="387"/>
      <c r="HP112" s="387"/>
      <c r="HQ112" s="387"/>
      <c r="HR112" s="387"/>
      <c r="HS112" s="387"/>
      <c r="HT112" s="387"/>
      <c r="HU112" s="387"/>
      <c r="HV112" s="387"/>
      <c r="HW112" s="387"/>
      <c r="HX112" s="387"/>
      <c r="HY112" s="387"/>
      <c r="HZ112" s="387"/>
      <c r="IA112" s="387"/>
      <c r="IB112" s="387"/>
      <c r="IC112" s="392"/>
    </row>
    <row r="113" spans="190:237">
      <c r="GH113" s="390"/>
      <c r="GI113" s="387"/>
      <c r="GJ113" s="387"/>
      <c r="GK113" s="387"/>
      <c r="GL113" s="387"/>
      <c r="GM113" s="387"/>
      <c r="GN113" s="387"/>
      <c r="GO113" s="387"/>
      <c r="GP113" s="387"/>
      <c r="GQ113" s="387"/>
      <c r="GR113" s="387"/>
      <c r="GS113" s="387"/>
      <c r="GT113" s="387"/>
      <c r="GU113" s="387"/>
      <c r="GV113" s="387"/>
      <c r="GW113" s="387"/>
      <c r="GX113" s="387"/>
      <c r="GY113" s="387"/>
      <c r="GZ113" s="387"/>
      <c r="HA113" s="387"/>
      <c r="HB113" s="387"/>
      <c r="HC113" s="387"/>
      <c r="HD113" s="387"/>
      <c r="HE113" s="391"/>
      <c r="HF113" s="417"/>
      <c r="HG113" s="387"/>
      <c r="HH113" s="387"/>
      <c r="HI113" s="387"/>
      <c r="HJ113" s="387"/>
      <c r="HK113" s="387"/>
      <c r="HL113" s="387"/>
      <c r="HM113" s="387"/>
      <c r="HN113" s="387"/>
      <c r="HO113" s="387"/>
      <c r="HP113" s="387"/>
      <c r="HQ113" s="387"/>
      <c r="HR113" s="387"/>
      <c r="HS113" s="387"/>
      <c r="HT113" s="387"/>
      <c r="HU113" s="387"/>
      <c r="HV113" s="387"/>
      <c r="HW113" s="387"/>
      <c r="HX113" s="387"/>
      <c r="HY113" s="387"/>
      <c r="HZ113" s="387"/>
      <c r="IA113" s="387"/>
      <c r="IB113" s="387"/>
      <c r="IC113" s="392"/>
    </row>
    <row r="114" spans="190:237">
      <c r="GH114" s="390"/>
      <c r="GI114" s="387"/>
      <c r="GJ114" s="387"/>
      <c r="GK114" s="387"/>
      <c r="GL114" s="387"/>
      <c r="GM114" s="387"/>
      <c r="GN114" s="387"/>
      <c r="GO114" s="387"/>
      <c r="GP114" s="387"/>
      <c r="GQ114" s="387"/>
      <c r="GR114" s="387"/>
      <c r="GS114" s="387"/>
      <c r="GT114" s="387"/>
      <c r="GU114" s="387"/>
      <c r="GV114" s="387"/>
      <c r="GW114" s="387"/>
      <c r="GX114" s="387"/>
      <c r="GY114" s="387"/>
      <c r="GZ114" s="387"/>
      <c r="HA114" s="387"/>
      <c r="HB114" s="387"/>
      <c r="HC114" s="387"/>
      <c r="HD114" s="387"/>
      <c r="HE114" s="391"/>
      <c r="HF114" s="417"/>
      <c r="HG114" s="387"/>
      <c r="HH114" s="387"/>
      <c r="HI114" s="387"/>
      <c r="HJ114" s="387"/>
      <c r="HK114" s="387"/>
      <c r="HL114" s="387"/>
      <c r="HM114" s="387"/>
      <c r="HN114" s="387"/>
      <c r="HO114" s="387"/>
      <c r="HP114" s="387"/>
      <c r="HQ114" s="387"/>
      <c r="HR114" s="387"/>
      <c r="HS114" s="387"/>
      <c r="HT114" s="387"/>
      <c r="HU114" s="387"/>
      <c r="HV114" s="387"/>
      <c r="HW114" s="387"/>
      <c r="HX114" s="387"/>
      <c r="HY114" s="387"/>
      <c r="HZ114" s="387"/>
      <c r="IA114" s="387"/>
      <c r="IB114" s="387"/>
      <c r="IC114" s="392"/>
    </row>
    <row r="115" spans="190:237">
      <c r="GH115" s="390"/>
      <c r="GI115" s="387"/>
      <c r="GJ115" s="387"/>
      <c r="GK115" s="387"/>
      <c r="GL115" s="387"/>
      <c r="GM115" s="387"/>
      <c r="GN115" s="387"/>
      <c r="GO115" s="387"/>
      <c r="GP115" s="387"/>
      <c r="GQ115" s="387"/>
      <c r="GR115" s="387"/>
      <c r="GS115" s="387"/>
      <c r="GT115" s="387"/>
      <c r="GU115" s="387"/>
      <c r="GV115" s="387"/>
      <c r="GW115" s="387"/>
      <c r="GX115" s="387"/>
      <c r="GY115" s="387"/>
      <c r="GZ115" s="387"/>
      <c r="HA115" s="387"/>
      <c r="HB115" s="387"/>
      <c r="HC115" s="387"/>
      <c r="HD115" s="387"/>
      <c r="HE115" s="391"/>
      <c r="HF115" s="417"/>
      <c r="HG115" s="387"/>
      <c r="HH115" s="387"/>
      <c r="HI115" s="387"/>
      <c r="HJ115" s="387"/>
      <c r="HK115" s="387"/>
      <c r="HL115" s="387"/>
      <c r="HM115" s="387"/>
      <c r="HN115" s="387"/>
      <c r="HO115" s="387"/>
      <c r="HP115" s="387"/>
      <c r="HQ115" s="387"/>
      <c r="HR115" s="387"/>
      <c r="HS115" s="387"/>
      <c r="HT115" s="387"/>
      <c r="HU115" s="387"/>
      <c r="HV115" s="387"/>
      <c r="HW115" s="387"/>
      <c r="HX115" s="387"/>
      <c r="HY115" s="387"/>
      <c r="HZ115" s="387"/>
      <c r="IA115" s="387"/>
      <c r="IB115" s="387"/>
      <c r="IC115" s="392"/>
    </row>
    <row r="116" spans="190:237">
      <c r="GH116" s="390"/>
      <c r="GI116" s="387"/>
      <c r="GJ116" s="387"/>
      <c r="GK116" s="387"/>
      <c r="GL116" s="387"/>
      <c r="GM116" s="387"/>
      <c r="GN116" s="387"/>
      <c r="GO116" s="387"/>
      <c r="GP116" s="387"/>
      <c r="GQ116" s="387"/>
      <c r="GR116" s="387"/>
      <c r="GS116" s="387"/>
      <c r="GT116" s="387"/>
      <c r="GU116" s="387"/>
      <c r="GV116" s="387"/>
      <c r="GW116" s="387"/>
      <c r="GX116" s="387"/>
      <c r="GY116" s="387"/>
      <c r="GZ116" s="387"/>
      <c r="HA116" s="387"/>
      <c r="HB116" s="387"/>
      <c r="HC116" s="387"/>
      <c r="HD116" s="387"/>
      <c r="HE116" s="391"/>
      <c r="HF116" s="417"/>
      <c r="HG116" s="387"/>
      <c r="HH116" s="387"/>
      <c r="HI116" s="387"/>
      <c r="HJ116" s="387"/>
      <c r="HK116" s="387"/>
      <c r="HL116" s="387"/>
      <c r="HM116" s="387"/>
      <c r="HN116" s="387"/>
      <c r="HO116" s="387"/>
      <c r="HP116" s="387"/>
      <c r="HQ116" s="387"/>
      <c r="HR116" s="387"/>
      <c r="HS116" s="387"/>
      <c r="HT116" s="387"/>
      <c r="HU116" s="387"/>
      <c r="HV116" s="387"/>
      <c r="HW116" s="387"/>
      <c r="HX116" s="387"/>
      <c r="HY116" s="387"/>
      <c r="HZ116" s="387"/>
      <c r="IA116" s="387"/>
      <c r="IB116" s="387"/>
      <c r="IC116" s="392"/>
    </row>
    <row r="117" spans="190:237">
      <c r="GH117" s="390"/>
      <c r="GI117" s="387"/>
      <c r="GJ117" s="387"/>
      <c r="GK117" s="387"/>
      <c r="GL117" s="387"/>
      <c r="GM117" s="387"/>
      <c r="GN117" s="387"/>
      <c r="GO117" s="387"/>
      <c r="GP117" s="387"/>
      <c r="GQ117" s="387"/>
      <c r="GR117" s="387"/>
      <c r="GS117" s="387"/>
      <c r="GT117" s="387"/>
      <c r="GU117" s="387"/>
      <c r="GV117" s="387"/>
      <c r="GW117" s="387"/>
      <c r="GX117" s="387"/>
      <c r="GY117" s="387"/>
      <c r="GZ117" s="387"/>
      <c r="HA117" s="387"/>
      <c r="HB117" s="387"/>
      <c r="HC117" s="387"/>
      <c r="HD117" s="387"/>
      <c r="HE117" s="391"/>
      <c r="HF117" s="417"/>
      <c r="HG117" s="387"/>
      <c r="HH117" s="387"/>
      <c r="HI117" s="387"/>
      <c r="HJ117" s="387"/>
      <c r="HK117" s="387"/>
      <c r="HL117" s="387"/>
      <c r="HM117" s="387"/>
      <c r="HN117" s="387"/>
      <c r="HO117" s="387"/>
      <c r="HP117" s="387"/>
      <c r="HQ117" s="387"/>
      <c r="HR117" s="387"/>
      <c r="HS117" s="387"/>
      <c r="HT117" s="387"/>
      <c r="HU117" s="387"/>
      <c r="HV117" s="387"/>
      <c r="HW117" s="387"/>
      <c r="HX117" s="387"/>
      <c r="HY117" s="387"/>
      <c r="HZ117" s="387"/>
      <c r="IA117" s="387"/>
      <c r="IB117" s="387"/>
      <c r="IC117" s="392"/>
    </row>
    <row r="118" spans="190:237">
      <c r="GH118" s="390"/>
      <c r="GI118" s="387"/>
      <c r="GJ118" s="387"/>
      <c r="GK118" s="387"/>
      <c r="GL118" s="387"/>
      <c r="GM118" s="387"/>
      <c r="GN118" s="387"/>
      <c r="GO118" s="387"/>
      <c r="GP118" s="387"/>
      <c r="GQ118" s="387"/>
      <c r="GR118" s="387"/>
      <c r="GS118" s="387"/>
      <c r="GT118" s="387"/>
      <c r="GU118" s="387"/>
      <c r="GV118" s="387"/>
      <c r="GW118" s="387"/>
      <c r="GX118" s="387"/>
      <c r="GY118" s="387"/>
      <c r="GZ118" s="387"/>
      <c r="HA118" s="387"/>
      <c r="HB118" s="387"/>
      <c r="HC118" s="387"/>
      <c r="HD118" s="387"/>
      <c r="HE118" s="391"/>
      <c r="HF118" s="417"/>
      <c r="HG118" s="387"/>
      <c r="HH118" s="387"/>
      <c r="HI118" s="387"/>
      <c r="HJ118" s="387"/>
      <c r="HK118" s="387"/>
      <c r="HL118" s="387"/>
      <c r="HM118" s="387"/>
      <c r="HN118" s="387"/>
      <c r="HO118" s="387"/>
      <c r="HP118" s="387"/>
      <c r="HQ118" s="387"/>
      <c r="HR118" s="387"/>
      <c r="HS118" s="387"/>
      <c r="HT118" s="387"/>
      <c r="HU118" s="387"/>
      <c r="HV118" s="387"/>
      <c r="HW118" s="387"/>
      <c r="HX118" s="387"/>
      <c r="HY118" s="387"/>
      <c r="HZ118" s="387"/>
      <c r="IA118" s="387"/>
      <c r="IB118" s="387"/>
      <c r="IC118" s="392"/>
    </row>
    <row r="119" spans="190:237">
      <c r="GH119" s="390"/>
      <c r="GI119" s="387"/>
      <c r="GJ119" s="387"/>
      <c r="GK119" s="387"/>
      <c r="GL119" s="387"/>
      <c r="GM119" s="387"/>
      <c r="GN119" s="387"/>
      <c r="GO119" s="387"/>
      <c r="GP119" s="387"/>
      <c r="GQ119" s="387"/>
      <c r="GR119" s="387"/>
      <c r="GS119" s="387"/>
      <c r="GT119" s="387"/>
      <c r="GU119" s="387"/>
      <c r="GV119" s="387"/>
      <c r="GW119" s="387"/>
      <c r="GX119" s="387"/>
      <c r="GY119" s="387"/>
      <c r="GZ119" s="387"/>
      <c r="HA119" s="387"/>
      <c r="HB119" s="387"/>
      <c r="HC119" s="387"/>
      <c r="HD119" s="387"/>
      <c r="HE119" s="391"/>
      <c r="HF119" s="417"/>
      <c r="HG119" s="387"/>
      <c r="HH119" s="387"/>
      <c r="HI119" s="387"/>
      <c r="HJ119" s="387"/>
      <c r="HK119" s="387"/>
      <c r="HL119" s="387"/>
      <c r="HM119" s="387"/>
      <c r="HN119" s="387"/>
      <c r="HO119" s="387"/>
      <c r="HP119" s="387"/>
      <c r="HQ119" s="387"/>
      <c r="HR119" s="387"/>
      <c r="HS119" s="387"/>
      <c r="HT119" s="387"/>
      <c r="HU119" s="387"/>
      <c r="HV119" s="387"/>
      <c r="HW119" s="387"/>
      <c r="HX119" s="387"/>
      <c r="HY119" s="387"/>
      <c r="HZ119" s="387"/>
      <c r="IA119" s="387"/>
      <c r="IB119" s="387"/>
      <c r="IC119" s="392"/>
    </row>
    <row r="120" spans="190:237">
      <c r="GH120" s="390"/>
      <c r="GI120" s="387"/>
      <c r="GJ120" s="387"/>
      <c r="GK120" s="387"/>
      <c r="GL120" s="387"/>
      <c r="GM120" s="387"/>
      <c r="GN120" s="387"/>
      <c r="GO120" s="387"/>
      <c r="GP120" s="387"/>
      <c r="GQ120" s="387"/>
      <c r="GR120" s="387"/>
      <c r="GS120" s="387"/>
      <c r="GT120" s="387"/>
      <c r="GU120" s="387"/>
      <c r="GV120" s="387"/>
      <c r="GW120" s="387"/>
      <c r="GX120" s="387"/>
      <c r="GY120" s="387"/>
      <c r="GZ120" s="387"/>
      <c r="HA120" s="387"/>
      <c r="HB120" s="387"/>
      <c r="HC120" s="387"/>
      <c r="HD120" s="387"/>
      <c r="HE120" s="391"/>
      <c r="HF120" s="417"/>
      <c r="HG120" s="387"/>
      <c r="HH120" s="387"/>
      <c r="HI120" s="387"/>
      <c r="HJ120" s="387"/>
      <c r="HK120" s="387"/>
      <c r="HL120" s="387"/>
      <c r="HM120" s="387"/>
      <c r="HN120" s="387"/>
      <c r="HO120" s="387"/>
      <c r="HP120" s="387"/>
      <c r="HQ120" s="387"/>
      <c r="HR120" s="387"/>
      <c r="HS120" s="387"/>
      <c r="HT120" s="387"/>
      <c r="HU120" s="387"/>
      <c r="HV120" s="387"/>
      <c r="HW120" s="387"/>
      <c r="HX120" s="387"/>
      <c r="HY120" s="387"/>
      <c r="HZ120" s="387"/>
      <c r="IA120" s="387"/>
      <c r="IB120" s="387"/>
      <c r="IC120" s="392"/>
    </row>
    <row r="121" spans="190:237">
      <c r="GH121" s="390"/>
      <c r="GI121" s="387"/>
      <c r="GJ121" s="387"/>
      <c r="GK121" s="387"/>
      <c r="GL121" s="387"/>
      <c r="GM121" s="387"/>
      <c r="GN121" s="387"/>
      <c r="GO121" s="387"/>
      <c r="GP121" s="387"/>
      <c r="GQ121" s="387"/>
      <c r="GR121" s="387"/>
      <c r="GS121" s="387"/>
      <c r="GT121" s="387"/>
      <c r="GU121" s="387"/>
      <c r="GV121" s="387"/>
      <c r="GW121" s="387"/>
      <c r="GX121" s="387"/>
      <c r="GY121" s="387"/>
      <c r="GZ121" s="387"/>
      <c r="HA121" s="387"/>
      <c r="HB121" s="387"/>
      <c r="HC121" s="387"/>
      <c r="HD121" s="387"/>
      <c r="HE121" s="391"/>
      <c r="HF121" s="417"/>
      <c r="HG121" s="387"/>
      <c r="HH121" s="387"/>
      <c r="HI121" s="387"/>
      <c r="HJ121" s="387"/>
      <c r="HK121" s="387"/>
      <c r="HL121" s="387"/>
      <c r="HM121" s="387"/>
      <c r="HN121" s="387"/>
      <c r="HO121" s="387"/>
      <c r="HP121" s="387"/>
      <c r="HQ121" s="387"/>
      <c r="HR121" s="387"/>
      <c r="HS121" s="387"/>
      <c r="HT121" s="387"/>
      <c r="HU121" s="387"/>
      <c r="HV121" s="387"/>
      <c r="HW121" s="387"/>
      <c r="HX121" s="387"/>
      <c r="HY121" s="387"/>
      <c r="HZ121" s="387"/>
      <c r="IA121" s="387"/>
      <c r="IB121" s="387"/>
      <c r="IC121" s="392"/>
    </row>
    <row r="122" spans="190:237">
      <c r="GH122" s="390"/>
      <c r="GI122" s="387"/>
      <c r="GJ122" s="387"/>
      <c r="GK122" s="387"/>
      <c r="GL122" s="387"/>
      <c r="GM122" s="387"/>
      <c r="GN122" s="387"/>
      <c r="GO122" s="387"/>
      <c r="GP122" s="387"/>
      <c r="GQ122" s="387"/>
      <c r="GR122" s="387"/>
      <c r="GS122" s="387"/>
      <c r="GT122" s="387"/>
      <c r="GU122" s="387"/>
      <c r="GV122" s="387"/>
      <c r="GW122" s="387"/>
      <c r="GX122" s="387"/>
      <c r="GY122" s="387"/>
      <c r="GZ122" s="387"/>
      <c r="HA122" s="387"/>
      <c r="HB122" s="387"/>
      <c r="HC122" s="387"/>
      <c r="HD122" s="387"/>
      <c r="HE122" s="391"/>
      <c r="HF122" s="417"/>
      <c r="HG122" s="387"/>
      <c r="HH122" s="387"/>
      <c r="HI122" s="387"/>
      <c r="HJ122" s="387"/>
      <c r="HK122" s="387"/>
      <c r="HL122" s="387"/>
      <c r="HM122" s="387"/>
      <c r="HN122" s="387"/>
      <c r="HO122" s="387"/>
      <c r="HP122" s="387"/>
      <c r="HQ122" s="387"/>
      <c r="HR122" s="387"/>
      <c r="HS122" s="387"/>
      <c r="HT122" s="387"/>
      <c r="HU122" s="387"/>
      <c r="HV122" s="387"/>
      <c r="HW122" s="387"/>
      <c r="HX122" s="387"/>
      <c r="HY122" s="387"/>
      <c r="HZ122" s="387"/>
      <c r="IA122" s="387"/>
      <c r="IB122" s="387"/>
      <c r="IC122" s="392"/>
    </row>
    <row r="123" spans="190:237">
      <c r="GH123" s="390"/>
      <c r="GI123" s="387"/>
      <c r="GJ123" s="387"/>
      <c r="GK123" s="387"/>
      <c r="GL123" s="387"/>
      <c r="GM123" s="387"/>
      <c r="GN123" s="387"/>
      <c r="GO123" s="387"/>
      <c r="GP123" s="387"/>
      <c r="GQ123" s="387"/>
      <c r="GR123" s="387"/>
      <c r="GS123" s="387"/>
      <c r="GT123" s="387"/>
      <c r="GU123" s="387"/>
      <c r="GV123" s="387"/>
      <c r="GW123" s="387"/>
      <c r="GX123" s="387"/>
      <c r="GY123" s="387"/>
      <c r="GZ123" s="387"/>
      <c r="HA123" s="387"/>
      <c r="HB123" s="387"/>
      <c r="HC123" s="387"/>
      <c r="HD123" s="387"/>
      <c r="HE123" s="391"/>
      <c r="HF123" s="417"/>
      <c r="HG123" s="387"/>
      <c r="HH123" s="387"/>
      <c r="HI123" s="387"/>
      <c r="HJ123" s="387"/>
      <c r="HK123" s="387"/>
      <c r="HL123" s="387"/>
      <c r="HM123" s="387"/>
      <c r="HN123" s="387"/>
      <c r="HO123" s="387"/>
      <c r="HP123" s="387"/>
      <c r="HQ123" s="387"/>
      <c r="HR123" s="387"/>
      <c r="HS123" s="387"/>
      <c r="HT123" s="387"/>
      <c r="HU123" s="387"/>
      <c r="HV123" s="387"/>
      <c r="HW123" s="387"/>
      <c r="HX123" s="387"/>
      <c r="HY123" s="387"/>
      <c r="HZ123" s="387"/>
      <c r="IA123" s="387"/>
      <c r="IB123" s="387"/>
      <c r="IC123" s="392"/>
    </row>
    <row r="124" spans="190:237">
      <c r="GH124" s="390"/>
      <c r="GI124" s="387"/>
      <c r="GJ124" s="387"/>
      <c r="GK124" s="387"/>
      <c r="GL124" s="387"/>
      <c r="GM124" s="387"/>
      <c r="GN124" s="387"/>
      <c r="GO124" s="387"/>
      <c r="GP124" s="387"/>
      <c r="GQ124" s="387"/>
      <c r="GR124" s="387"/>
      <c r="GS124" s="387"/>
      <c r="GT124" s="387"/>
      <c r="GU124" s="387"/>
      <c r="GV124" s="387"/>
      <c r="GW124" s="387"/>
      <c r="GX124" s="387"/>
      <c r="GY124" s="387"/>
      <c r="GZ124" s="387"/>
      <c r="HA124" s="387"/>
      <c r="HB124" s="387"/>
      <c r="HC124" s="387"/>
      <c r="HD124" s="387"/>
      <c r="HE124" s="391"/>
      <c r="HF124" s="417"/>
      <c r="HG124" s="387"/>
      <c r="HH124" s="387"/>
      <c r="HI124" s="387"/>
      <c r="HJ124" s="387"/>
      <c r="HK124" s="387"/>
      <c r="HL124" s="387"/>
      <c r="HM124" s="387"/>
      <c r="HN124" s="387"/>
      <c r="HO124" s="387"/>
      <c r="HP124" s="387"/>
      <c r="HQ124" s="387"/>
      <c r="HR124" s="387"/>
      <c r="HS124" s="387"/>
      <c r="HT124" s="387"/>
      <c r="HU124" s="387"/>
      <c r="HV124" s="387"/>
      <c r="HW124" s="387"/>
      <c r="HX124" s="387"/>
      <c r="HY124" s="387"/>
      <c r="HZ124" s="387"/>
      <c r="IA124" s="387"/>
      <c r="IB124" s="387"/>
      <c r="IC124" s="392"/>
    </row>
    <row r="125" spans="190:237">
      <c r="GH125" s="390"/>
      <c r="GI125" s="387"/>
      <c r="GJ125" s="387"/>
      <c r="GK125" s="387"/>
      <c r="GL125" s="387"/>
      <c r="GM125" s="387"/>
      <c r="GN125" s="387"/>
      <c r="GO125" s="387"/>
      <c r="GP125" s="387"/>
      <c r="GQ125" s="387"/>
      <c r="GR125" s="387"/>
      <c r="GS125" s="387"/>
      <c r="GT125" s="387"/>
      <c r="GU125" s="387"/>
      <c r="GV125" s="387"/>
      <c r="GW125" s="387"/>
      <c r="GX125" s="387"/>
      <c r="GY125" s="387"/>
      <c r="GZ125" s="387"/>
      <c r="HA125" s="387"/>
      <c r="HB125" s="387"/>
      <c r="HC125" s="387"/>
      <c r="HD125" s="387"/>
      <c r="HE125" s="391"/>
      <c r="HF125" s="417"/>
      <c r="HG125" s="387"/>
      <c r="HH125" s="387"/>
      <c r="HI125" s="387"/>
      <c r="HJ125" s="387"/>
      <c r="HK125" s="387"/>
      <c r="HL125" s="387"/>
      <c r="HM125" s="387"/>
      <c r="HN125" s="387"/>
      <c r="HO125" s="387"/>
      <c r="HP125" s="387"/>
      <c r="HQ125" s="387"/>
      <c r="HR125" s="387"/>
      <c r="HS125" s="387"/>
      <c r="HT125" s="387"/>
      <c r="HU125" s="387"/>
      <c r="HV125" s="387"/>
      <c r="HW125" s="387"/>
      <c r="HX125" s="387"/>
      <c r="HY125" s="387"/>
      <c r="HZ125" s="387"/>
      <c r="IA125" s="387"/>
      <c r="IB125" s="387"/>
      <c r="IC125" s="392"/>
    </row>
    <row r="126" spans="190:237">
      <c r="GH126" s="390"/>
      <c r="GI126" s="387"/>
      <c r="GJ126" s="387"/>
      <c r="GK126" s="387"/>
      <c r="GL126" s="387"/>
      <c r="GM126" s="387"/>
      <c r="GN126" s="387"/>
      <c r="GO126" s="387"/>
      <c r="GP126" s="387"/>
      <c r="GQ126" s="387"/>
      <c r="GR126" s="387"/>
      <c r="GS126" s="387"/>
      <c r="GT126" s="387"/>
      <c r="GU126" s="387"/>
      <c r="GV126" s="387"/>
      <c r="GW126" s="387"/>
      <c r="GX126" s="387"/>
      <c r="GY126" s="387"/>
      <c r="GZ126" s="387"/>
      <c r="HA126" s="387"/>
      <c r="HB126" s="387"/>
      <c r="HC126" s="387"/>
      <c r="HD126" s="387"/>
      <c r="HE126" s="391"/>
      <c r="HF126" s="417"/>
      <c r="HG126" s="387"/>
      <c r="HH126" s="387"/>
      <c r="HI126" s="387"/>
      <c r="HJ126" s="387"/>
      <c r="HK126" s="387"/>
      <c r="HL126" s="387"/>
      <c r="HM126" s="387"/>
      <c r="HN126" s="387"/>
      <c r="HO126" s="387"/>
      <c r="HP126" s="387"/>
      <c r="HQ126" s="387"/>
      <c r="HR126" s="387"/>
      <c r="HS126" s="387"/>
      <c r="HT126" s="387"/>
      <c r="HU126" s="387"/>
      <c r="HV126" s="387"/>
      <c r="HW126" s="387"/>
      <c r="HX126" s="387"/>
      <c r="HY126" s="387"/>
      <c r="HZ126" s="387"/>
      <c r="IA126" s="387"/>
      <c r="IB126" s="387"/>
      <c r="IC126" s="392"/>
    </row>
    <row r="127" spans="190:237">
      <c r="GH127" s="390"/>
      <c r="GI127" s="387"/>
      <c r="GJ127" s="387"/>
      <c r="GK127" s="387"/>
      <c r="GL127" s="387"/>
      <c r="GM127" s="387"/>
      <c r="GN127" s="387"/>
      <c r="GO127" s="387"/>
      <c r="GP127" s="387"/>
      <c r="GQ127" s="387"/>
      <c r="GR127" s="387"/>
      <c r="GS127" s="387"/>
      <c r="GT127" s="387"/>
      <c r="GU127" s="387"/>
      <c r="GV127" s="387"/>
      <c r="GW127" s="387"/>
      <c r="GX127" s="387"/>
      <c r="GY127" s="387"/>
      <c r="GZ127" s="387"/>
      <c r="HA127" s="387"/>
      <c r="HB127" s="387"/>
      <c r="HC127" s="387"/>
      <c r="HD127" s="387"/>
      <c r="HE127" s="391"/>
      <c r="HF127" s="417"/>
      <c r="HG127" s="387"/>
      <c r="HH127" s="387"/>
      <c r="HI127" s="387"/>
      <c r="HJ127" s="387"/>
      <c r="HK127" s="387"/>
      <c r="HL127" s="387"/>
      <c r="HM127" s="387"/>
      <c r="HN127" s="387"/>
      <c r="HO127" s="387"/>
      <c r="HP127" s="387"/>
      <c r="HQ127" s="387"/>
      <c r="HR127" s="387"/>
      <c r="HS127" s="387"/>
      <c r="HT127" s="387"/>
      <c r="HU127" s="387"/>
      <c r="HV127" s="387"/>
      <c r="HW127" s="387"/>
      <c r="HX127" s="387"/>
      <c r="HY127" s="387"/>
      <c r="HZ127" s="387"/>
      <c r="IA127" s="387"/>
      <c r="IB127" s="387"/>
      <c r="IC127" s="392"/>
    </row>
    <row r="128" spans="190:237">
      <c r="GH128" s="390"/>
      <c r="GI128" s="387"/>
      <c r="GJ128" s="387"/>
      <c r="GK128" s="387"/>
      <c r="GL128" s="387"/>
      <c r="GM128" s="387"/>
      <c r="GN128" s="387"/>
      <c r="GO128" s="387"/>
      <c r="GP128" s="387"/>
      <c r="GQ128" s="387"/>
      <c r="GR128" s="387"/>
      <c r="GS128" s="387"/>
      <c r="GT128" s="387"/>
      <c r="GU128" s="387"/>
      <c r="GV128" s="387"/>
      <c r="GW128" s="387"/>
      <c r="GX128" s="387"/>
      <c r="GY128" s="387"/>
      <c r="GZ128" s="387"/>
      <c r="HA128" s="387"/>
      <c r="HB128" s="387"/>
      <c r="HC128" s="387"/>
      <c r="HD128" s="387"/>
      <c r="HE128" s="391"/>
      <c r="HF128" s="417"/>
      <c r="HG128" s="387"/>
      <c r="HH128" s="387"/>
      <c r="HI128" s="387"/>
      <c r="HJ128" s="387"/>
      <c r="HK128" s="387"/>
      <c r="HL128" s="387"/>
      <c r="HM128" s="387"/>
      <c r="HN128" s="387"/>
      <c r="HO128" s="387"/>
      <c r="HP128" s="387"/>
      <c r="HQ128" s="387"/>
      <c r="HR128" s="387"/>
      <c r="HS128" s="387"/>
      <c r="HT128" s="387"/>
      <c r="HU128" s="387"/>
      <c r="HV128" s="387"/>
      <c r="HW128" s="387"/>
      <c r="HX128" s="387"/>
      <c r="HY128" s="387"/>
      <c r="HZ128" s="387"/>
      <c r="IA128" s="387"/>
      <c r="IB128" s="387"/>
      <c r="IC128" s="392"/>
    </row>
    <row r="129" spans="190:237">
      <c r="GH129" s="390"/>
      <c r="GI129" s="387"/>
      <c r="GJ129" s="387"/>
      <c r="GK129" s="387"/>
      <c r="GL129" s="387"/>
      <c r="GM129" s="387"/>
      <c r="GN129" s="387"/>
      <c r="GO129" s="387"/>
      <c r="GP129" s="387"/>
      <c r="GQ129" s="387"/>
      <c r="GR129" s="387"/>
      <c r="GS129" s="387"/>
      <c r="GT129" s="387"/>
      <c r="GU129" s="387"/>
      <c r="GV129" s="387"/>
      <c r="GW129" s="387"/>
      <c r="GX129" s="387"/>
      <c r="GY129" s="387"/>
      <c r="GZ129" s="387"/>
      <c r="HA129" s="387"/>
      <c r="HB129" s="387"/>
      <c r="HC129" s="387"/>
      <c r="HD129" s="387"/>
      <c r="HE129" s="391"/>
      <c r="HF129" s="417"/>
      <c r="HG129" s="387"/>
      <c r="HH129" s="387"/>
      <c r="HI129" s="387"/>
      <c r="HJ129" s="387"/>
      <c r="HK129" s="387"/>
      <c r="HL129" s="387"/>
      <c r="HM129" s="387"/>
      <c r="HN129" s="387"/>
      <c r="HO129" s="387"/>
      <c r="HP129" s="387"/>
      <c r="HQ129" s="387"/>
      <c r="HR129" s="387"/>
      <c r="HS129" s="387"/>
      <c r="HT129" s="387"/>
      <c r="HU129" s="387"/>
      <c r="HV129" s="387"/>
      <c r="HW129" s="387"/>
      <c r="HX129" s="387"/>
      <c r="HY129" s="387"/>
      <c r="HZ129" s="387"/>
      <c r="IA129" s="387"/>
      <c r="IB129" s="387"/>
      <c r="IC129" s="392"/>
    </row>
    <row r="130" spans="190:237">
      <c r="GH130" s="390"/>
      <c r="GI130" s="387"/>
      <c r="GJ130" s="387"/>
      <c r="GK130" s="387"/>
      <c r="GL130" s="387"/>
      <c r="GM130" s="387"/>
      <c r="GN130" s="387"/>
      <c r="GO130" s="387"/>
      <c r="GP130" s="387"/>
      <c r="GQ130" s="387"/>
      <c r="GR130" s="387"/>
      <c r="GS130" s="387"/>
      <c r="GT130" s="387"/>
      <c r="GU130" s="387"/>
      <c r="GV130" s="387"/>
      <c r="GW130" s="387"/>
      <c r="GX130" s="387"/>
      <c r="GY130" s="387"/>
      <c r="GZ130" s="387"/>
      <c r="HA130" s="387"/>
      <c r="HB130" s="387"/>
      <c r="HC130" s="387"/>
      <c r="HD130" s="387"/>
      <c r="HE130" s="391"/>
      <c r="HF130" s="417"/>
      <c r="HG130" s="387"/>
      <c r="HH130" s="387"/>
      <c r="HI130" s="387"/>
      <c r="HJ130" s="387"/>
      <c r="HK130" s="387"/>
      <c r="HL130" s="387"/>
      <c r="HM130" s="387"/>
      <c r="HN130" s="387"/>
      <c r="HO130" s="387"/>
      <c r="HP130" s="387"/>
      <c r="HQ130" s="387"/>
      <c r="HR130" s="387"/>
      <c r="HS130" s="387"/>
      <c r="HT130" s="387"/>
      <c r="HU130" s="387"/>
      <c r="HV130" s="387"/>
      <c r="HW130" s="387"/>
      <c r="HX130" s="387"/>
      <c r="HY130" s="387"/>
      <c r="HZ130" s="387"/>
      <c r="IA130" s="387"/>
      <c r="IB130" s="387"/>
      <c r="IC130" s="392"/>
    </row>
    <row r="131" spans="190:237">
      <c r="GH131" s="390"/>
      <c r="GI131" s="387"/>
      <c r="GJ131" s="387"/>
      <c r="GK131" s="387"/>
      <c r="GL131" s="387"/>
      <c r="GM131" s="387"/>
      <c r="GN131" s="387"/>
      <c r="GO131" s="387"/>
      <c r="GP131" s="387"/>
      <c r="GQ131" s="387"/>
      <c r="GR131" s="387"/>
      <c r="GS131" s="387"/>
      <c r="GT131" s="387"/>
      <c r="GU131" s="387"/>
      <c r="GV131" s="387"/>
      <c r="GW131" s="387"/>
      <c r="GX131" s="387"/>
      <c r="GY131" s="387"/>
      <c r="GZ131" s="387"/>
      <c r="HA131" s="387"/>
      <c r="HB131" s="387"/>
      <c r="HC131" s="387"/>
      <c r="HD131" s="387"/>
      <c r="HE131" s="391"/>
      <c r="HF131" s="417"/>
      <c r="HG131" s="387"/>
      <c r="HH131" s="387"/>
      <c r="HI131" s="387"/>
      <c r="HJ131" s="387"/>
      <c r="HK131" s="387"/>
      <c r="HL131" s="387"/>
      <c r="HM131" s="387"/>
      <c r="HN131" s="387"/>
      <c r="HO131" s="387"/>
      <c r="HP131" s="387"/>
      <c r="HQ131" s="387"/>
      <c r="HR131" s="387"/>
      <c r="HS131" s="387"/>
      <c r="HT131" s="387"/>
      <c r="HU131" s="387"/>
      <c r="HV131" s="387"/>
      <c r="HW131" s="387"/>
      <c r="HX131" s="387"/>
      <c r="HY131" s="387"/>
      <c r="HZ131" s="387"/>
      <c r="IA131" s="387"/>
      <c r="IB131" s="387"/>
      <c r="IC131" s="392"/>
    </row>
    <row r="132" spans="190:237">
      <c r="GH132" s="390"/>
      <c r="GI132" s="387"/>
      <c r="GJ132" s="387"/>
      <c r="GK132" s="387"/>
      <c r="GL132" s="387"/>
      <c r="GM132" s="387"/>
      <c r="GN132" s="387"/>
      <c r="GO132" s="387"/>
      <c r="GP132" s="387"/>
      <c r="GQ132" s="387"/>
      <c r="GR132" s="387"/>
      <c r="GS132" s="387"/>
      <c r="GT132" s="387"/>
      <c r="GU132" s="387"/>
      <c r="GV132" s="387"/>
      <c r="GW132" s="387"/>
      <c r="GX132" s="387"/>
      <c r="GY132" s="387"/>
      <c r="GZ132" s="387"/>
      <c r="HA132" s="387"/>
      <c r="HB132" s="387"/>
      <c r="HC132" s="387"/>
      <c r="HD132" s="387"/>
      <c r="HE132" s="391"/>
      <c r="HF132" s="417"/>
      <c r="HG132" s="387"/>
      <c r="HH132" s="387"/>
      <c r="HI132" s="387"/>
      <c r="HJ132" s="387"/>
      <c r="HK132" s="387"/>
      <c r="HL132" s="387"/>
      <c r="HM132" s="387"/>
      <c r="HN132" s="387"/>
      <c r="HO132" s="387"/>
      <c r="HP132" s="387"/>
      <c r="HQ132" s="387"/>
      <c r="HR132" s="387"/>
      <c r="HS132" s="387"/>
      <c r="HT132" s="387"/>
      <c r="HU132" s="387"/>
      <c r="HV132" s="387"/>
      <c r="HW132" s="387"/>
      <c r="HX132" s="387"/>
      <c r="HY132" s="387"/>
      <c r="HZ132" s="387"/>
      <c r="IA132" s="387"/>
      <c r="IB132" s="387"/>
      <c r="IC132" s="392"/>
    </row>
    <row r="133" spans="190:237">
      <c r="GH133" s="390"/>
      <c r="GI133" s="387"/>
      <c r="GJ133" s="387"/>
      <c r="GK133" s="387"/>
      <c r="GL133" s="387"/>
      <c r="GM133" s="387"/>
      <c r="GN133" s="387"/>
      <c r="GO133" s="387"/>
      <c r="GP133" s="387"/>
      <c r="GQ133" s="387"/>
      <c r="GR133" s="387"/>
      <c r="GS133" s="387"/>
      <c r="GT133" s="387"/>
      <c r="GU133" s="387"/>
      <c r="GV133" s="387"/>
      <c r="GW133" s="387"/>
      <c r="GX133" s="387"/>
      <c r="GY133" s="387"/>
      <c r="GZ133" s="387"/>
      <c r="HA133" s="387"/>
      <c r="HB133" s="387"/>
      <c r="HC133" s="387"/>
      <c r="HD133" s="387"/>
      <c r="HE133" s="391"/>
      <c r="HF133" s="417"/>
      <c r="HG133" s="387"/>
      <c r="HH133" s="387"/>
      <c r="HI133" s="387"/>
      <c r="HJ133" s="387"/>
      <c r="HK133" s="387"/>
      <c r="HL133" s="387"/>
      <c r="HM133" s="387"/>
      <c r="HN133" s="387"/>
      <c r="HO133" s="387"/>
      <c r="HP133" s="387"/>
      <c r="HQ133" s="387"/>
      <c r="HR133" s="387"/>
      <c r="HS133" s="387"/>
      <c r="HT133" s="387"/>
      <c r="HU133" s="387"/>
      <c r="HV133" s="387"/>
      <c r="HW133" s="387"/>
      <c r="HX133" s="387"/>
      <c r="HY133" s="387"/>
      <c r="HZ133" s="387"/>
      <c r="IA133" s="387"/>
      <c r="IB133" s="387"/>
      <c r="IC133" s="392"/>
    </row>
    <row r="134" spans="190:237">
      <c r="GH134" s="390"/>
      <c r="GI134" s="387"/>
      <c r="GJ134" s="387"/>
      <c r="GK134" s="387"/>
      <c r="GL134" s="387"/>
      <c r="GM134" s="387"/>
      <c r="GN134" s="387"/>
      <c r="GO134" s="387"/>
      <c r="GP134" s="387"/>
      <c r="GQ134" s="387"/>
      <c r="GR134" s="387"/>
      <c r="GS134" s="387"/>
      <c r="GT134" s="387"/>
      <c r="GU134" s="387"/>
      <c r="GV134" s="387"/>
      <c r="GW134" s="387"/>
      <c r="GX134" s="387"/>
      <c r="GY134" s="387"/>
      <c r="GZ134" s="387"/>
      <c r="HA134" s="387"/>
      <c r="HB134" s="387"/>
      <c r="HC134" s="387"/>
      <c r="HD134" s="387"/>
      <c r="HE134" s="391"/>
      <c r="HF134" s="417"/>
      <c r="HG134" s="387"/>
      <c r="HH134" s="387"/>
      <c r="HI134" s="387"/>
      <c r="HJ134" s="387"/>
      <c r="HK134" s="387"/>
      <c r="HL134" s="387"/>
      <c r="HM134" s="387"/>
      <c r="HN134" s="387"/>
      <c r="HO134" s="387"/>
      <c r="HP134" s="387"/>
      <c r="HQ134" s="387"/>
      <c r="HR134" s="387"/>
      <c r="HS134" s="387"/>
      <c r="HT134" s="387"/>
      <c r="HU134" s="387"/>
      <c r="HV134" s="387"/>
      <c r="HW134" s="387"/>
      <c r="HX134" s="387"/>
      <c r="HY134" s="387"/>
      <c r="HZ134" s="387"/>
      <c r="IA134" s="387"/>
      <c r="IB134" s="387"/>
      <c r="IC134" s="392"/>
    </row>
    <row r="135" spans="190:237">
      <c r="GH135" s="390"/>
      <c r="GI135" s="387"/>
      <c r="GJ135" s="387"/>
      <c r="GK135" s="387"/>
      <c r="GL135" s="387"/>
      <c r="GM135" s="387"/>
      <c r="GN135" s="387"/>
      <c r="GO135" s="387"/>
      <c r="GP135" s="387"/>
      <c r="GQ135" s="387"/>
      <c r="GR135" s="387"/>
      <c r="GS135" s="387"/>
      <c r="GT135" s="387"/>
      <c r="GU135" s="387"/>
      <c r="GV135" s="387"/>
      <c r="GW135" s="387"/>
      <c r="GX135" s="387"/>
      <c r="GY135" s="387"/>
      <c r="GZ135" s="387"/>
      <c r="HA135" s="387"/>
      <c r="HB135" s="387"/>
      <c r="HC135" s="387"/>
      <c r="HD135" s="387"/>
      <c r="HE135" s="391"/>
      <c r="HF135" s="417"/>
      <c r="HG135" s="387"/>
      <c r="HH135" s="387"/>
      <c r="HI135" s="387"/>
      <c r="HJ135" s="387"/>
      <c r="HK135" s="387"/>
      <c r="HL135" s="387"/>
      <c r="HM135" s="387"/>
      <c r="HN135" s="387"/>
      <c r="HO135" s="387"/>
      <c r="HP135" s="387"/>
      <c r="HQ135" s="387"/>
      <c r="HR135" s="387"/>
      <c r="HS135" s="387"/>
      <c r="HT135" s="387"/>
      <c r="HU135" s="387"/>
      <c r="HV135" s="387"/>
      <c r="HW135" s="387"/>
      <c r="HX135" s="387"/>
      <c r="HY135" s="387"/>
      <c r="HZ135" s="387"/>
      <c r="IA135" s="387"/>
      <c r="IB135" s="387"/>
      <c r="IC135" s="392"/>
    </row>
    <row r="136" spans="190:237">
      <c r="GH136" s="390"/>
      <c r="GI136" s="387"/>
      <c r="GJ136" s="387"/>
      <c r="GK136" s="387"/>
      <c r="GL136" s="387"/>
      <c r="GM136" s="387"/>
      <c r="GN136" s="387"/>
      <c r="GO136" s="387"/>
      <c r="GP136" s="387"/>
      <c r="GQ136" s="387"/>
      <c r="GR136" s="387"/>
      <c r="GS136" s="387"/>
      <c r="GT136" s="387"/>
      <c r="GU136" s="387"/>
      <c r="GV136" s="387"/>
      <c r="GW136" s="387"/>
      <c r="GX136" s="387"/>
      <c r="GY136" s="387"/>
      <c r="GZ136" s="387"/>
      <c r="HA136" s="387"/>
      <c r="HB136" s="387"/>
      <c r="HC136" s="387"/>
      <c r="HD136" s="387"/>
      <c r="HE136" s="391"/>
      <c r="HF136" s="417"/>
      <c r="HG136" s="387"/>
      <c r="HH136" s="387"/>
      <c r="HI136" s="387"/>
      <c r="HJ136" s="387"/>
      <c r="HK136" s="387"/>
      <c r="HL136" s="387"/>
      <c r="HM136" s="387"/>
      <c r="HN136" s="387"/>
      <c r="HO136" s="387"/>
      <c r="HP136" s="387"/>
      <c r="HQ136" s="387"/>
      <c r="HR136" s="387"/>
      <c r="HS136" s="387"/>
      <c r="HT136" s="387"/>
      <c r="HU136" s="387"/>
      <c r="HV136" s="387"/>
      <c r="HW136" s="387"/>
      <c r="HX136" s="387"/>
      <c r="HY136" s="387"/>
      <c r="HZ136" s="387"/>
      <c r="IA136" s="387"/>
      <c r="IB136" s="387"/>
      <c r="IC136" s="392"/>
    </row>
    <row r="137" spans="190:237">
      <c r="GH137" s="390"/>
      <c r="GI137" s="387"/>
      <c r="GJ137" s="387"/>
      <c r="GK137" s="387"/>
      <c r="GL137" s="387"/>
      <c r="GM137" s="387"/>
      <c r="GN137" s="387"/>
      <c r="GO137" s="387"/>
      <c r="GP137" s="387"/>
      <c r="GQ137" s="387"/>
      <c r="GR137" s="387"/>
      <c r="GS137" s="387"/>
      <c r="GT137" s="387"/>
      <c r="GU137" s="387"/>
      <c r="GV137" s="387"/>
      <c r="GW137" s="387"/>
      <c r="GX137" s="387"/>
      <c r="GY137" s="387"/>
      <c r="GZ137" s="387"/>
      <c r="HA137" s="387"/>
      <c r="HB137" s="387"/>
      <c r="HC137" s="387"/>
      <c r="HD137" s="387"/>
      <c r="HE137" s="391"/>
      <c r="HF137" s="417"/>
      <c r="HG137" s="387"/>
      <c r="HH137" s="387"/>
      <c r="HI137" s="387"/>
      <c r="HJ137" s="387"/>
      <c r="HK137" s="387"/>
      <c r="HL137" s="387"/>
      <c r="HM137" s="387"/>
      <c r="HN137" s="387"/>
      <c r="HO137" s="387"/>
      <c r="HP137" s="387"/>
      <c r="HQ137" s="387"/>
      <c r="HR137" s="387"/>
      <c r="HS137" s="387"/>
      <c r="HT137" s="387"/>
      <c r="HU137" s="387"/>
      <c r="HV137" s="387"/>
      <c r="HW137" s="387"/>
      <c r="HX137" s="387"/>
      <c r="HY137" s="387"/>
      <c r="HZ137" s="387"/>
      <c r="IA137" s="387"/>
      <c r="IB137" s="387"/>
      <c r="IC137" s="392"/>
    </row>
    <row r="138" spans="190:237">
      <c r="GH138" s="390"/>
      <c r="GI138" s="387"/>
      <c r="GJ138" s="387"/>
      <c r="GK138" s="387"/>
      <c r="GL138" s="387"/>
      <c r="GM138" s="387"/>
      <c r="GN138" s="387"/>
      <c r="GO138" s="387"/>
      <c r="GP138" s="387"/>
      <c r="GQ138" s="387"/>
      <c r="GR138" s="387"/>
      <c r="GS138" s="387"/>
      <c r="GT138" s="387"/>
      <c r="GU138" s="387"/>
      <c r="GV138" s="387"/>
      <c r="GW138" s="387"/>
      <c r="GX138" s="387"/>
      <c r="GY138" s="387"/>
      <c r="GZ138" s="387"/>
      <c r="HA138" s="387"/>
      <c r="HB138" s="387"/>
      <c r="HC138" s="387"/>
      <c r="HD138" s="387"/>
      <c r="HE138" s="391"/>
      <c r="HF138" s="417"/>
      <c r="HG138" s="387"/>
      <c r="HH138" s="387"/>
      <c r="HI138" s="387"/>
      <c r="HJ138" s="387"/>
      <c r="HK138" s="387"/>
      <c r="HL138" s="387"/>
      <c r="HM138" s="387"/>
      <c r="HN138" s="387"/>
      <c r="HO138" s="387"/>
      <c r="HP138" s="387"/>
      <c r="HQ138" s="387"/>
      <c r="HR138" s="387"/>
      <c r="HS138" s="387"/>
      <c r="HT138" s="387"/>
      <c r="HU138" s="387"/>
      <c r="HV138" s="387"/>
      <c r="HW138" s="387"/>
      <c r="HX138" s="387"/>
      <c r="HY138" s="387"/>
      <c r="HZ138" s="387"/>
      <c r="IA138" s="387"/>
      <c r="IB138" s="387"/>
      <c r="IC138" s="392"/>
    </row>
    <row r="139" spans="190:237">
      <c r="GH139" s="390"/>
      <c r="GI139" s="387"/>
      <c r="GJ139" s="387"/>
      <c r="GK139" s="387"/>
      <c r="GL139" s="387"/>
      <c r="GM139" s="387"/>
      <c r="GN139" s="387"/>
      <c r="GO139" s="387"/>
      <c r="GP139" s="387"/>
      <c r="GQ139" s="387"/>
      <c r="GR139" s="387"/>
      <c r="GS139" s="387"/>
      <c r="GT139" s="387"/>
      <c r="GU139" s="387"/>
      <c r="GV139" s="387"/>
      <c r="GW139" s="387"/>
      <c r="GX139" s="387"/>
      <c r="GY139" s="387"/>
      <c r="GZ139" s="387"/>
      <c r="HA139" s="387"/>
      <c r="HB139" s="387"/>
      <c r="HC139" s="387"/>
      <c r="HD139" s="387"/>
      <c r="HE139" s="391"/>
      <c r="HF139" s="417"/>
      <c r="HG139" s="387"/>
      <c r="HH139" s="387"/>
      <c r="HI139" s="387"/>
      <c r="HJ139" s="387"/>
      <c r="HK139" s="387"/>
      <c r="HL139" s="387"/>
      <c r="HM139" s="387"/>
      <c r="HN139" s="387"/>
      <c r="HO139" s="387"/>
      <c r="HP139" s="387"/>
      <c r="HQ139" s="387"/>
      <c r="HR139" s="387"/>
      <c r="HS139" s="387"/>
      <c r="HT139" s="387"/>
      <c r="HU139" s="387"/>
      <c r="HV139" s="387"/>
      <c r="HW139" s="387"/>
      <c r="HX139" s="387"/>
      <c r="HY139" s="387"/>
      <c r="HZ139" s="387"/>
      <c r="IA139" s="387"/>
      <c r="IB139" s="387"/>
      <c r="IC139" s="392"/>
    </row>
    <row r="140" spans="190:237">
      <c r="GH140" s="390"/>
      <c r="GI140" s="387"/>
      <c r="GJ140" s="387"/>
      <c r="GK140" s="387"/>
      <c r="GL140" s="387"/>
      <c r="GM140" s="387"/>
      <c r="GN140" s="387"/>
      <c r="GO140" s="387"/>
      <c r="GP140" s="387"/>
      <c r="GQ140" s="387"/>
      <c r="GR140" s="387"/>
      <c r="GS140" s="387"/>
      <c r="GT140" s="387"/>
      <c r="GU140" s="387"/>
      <c r="GV140" s="387"/>
      <c r="GW140" s="387"/>
      <c r="GX140" s="387"/>
      <c r="GY140" s="387"/>
      <c r="GZ140" s="387"/>
      <c r="HA140" s="387"/>
      <c r="HB140" s="387"/>
      <c r="HC140" s="387"/>
      <c r="HD140" s="387"/>
      <c r="HE140" s="391"/>
      <c r="HF140" s="417"/>
      <c r="HG140" s="387"/>
      <c r="HH140" s="387"/>
      <c r="HI140" s="387"/>
      <c r="HJ140" s="387"/>
      <c r="HK140" s="387"/>
      <c r="HL140" s="387"/>
      <c r="HM140" s="387"/>
      <c r="HN140" s="387"/>
      <c r="HO140" s="387"/>
      <c r="HP140" s="387"/>
      <c r="HQ140" s="387"/>
      <c r="HR140" s="387"/>
      <c r="HS140" s="387"/>
      <c r="HT140" s="387"/>
      <c r="HU140" s="387"/>
      <c r="HV140" s="387"/>
      <c r="HW140" s="387"/>
      <c r="HX140" s="387"/>
      <c r="HY140" s="387"/>
      <c r="HZ140" s="387"/>
      <c r="IA140" s="387"/>
      <c r="IB140" s="387"/>
      <c r="IC140" s="392"/>
    </row>
    <row r="141" spans="190:237">
      <c r="GH141" s="390"/>
      <c r="GI141" s="387"/>
      <c r="GJ141" s="387"/>
      <c r="GK141" s="387"/>
      <c r="GL141" s="387"/>
      <c r="GM141" s="387"/>
      <c r="GN141" s="387"/>
      <c r="GO141" s="387"/>
      <c r="GP141" s="387"/>
      <c r="GQ141" s="387"/>
      <c r="GR141" s="387"/>
      <c r="GS141" s="387"/>
      <c r="GT141" s="387"/>
      <c r="GU141" s="387"/>
      <c r="GV141" s="387"/>
      <c r="GW141" s="387"/>
      <c r="GX141" s="387"/>
      <c r="GY141" s="387"/>
      <c r="GZ141" s="387"/>
      <c r="HA141" s="387"/>
      <c r="HB141" s="387"/>
      <c r="HC141" s="387"/>
      <c r="HD141" s="387"/>
      <c r="HE141" s="391"/>
      <c r="HF141" s="417"/>
      <c r="HG141" s="387"/>
      <c r="HH141" s="387"/>
      <c r="HI141" s="387"/>
      <c r="HJ141" s="387"/>
      <c r="HK141" s="387"/>
      <c r="HL141" s="387"/>
      <c r="HM141" s="387"/>
      <c r="HN141" s="387"/>
      <c r="HO141" s="387"/>
      <c r="HP141" s="387"/>
      <c r="HQ141" s="387"/>
      <c r="HR141" s="387"/>
      <c r="HS141" s="387"/>
      <c r="HT141" s="387"/>
      <c r="HU141" s="387"/>
      <c r="HV141" s="387"/>
      <c r="HW141" s="387"/>
      <c r="HX141" s="387"/>
      <c r="HY141" s="387"/>
      <c r="HZ141" s="387"/>
      <c r="IA141" s="387"/>
      <c r="IB141" s="387"/>
      <c r="IC141" s="392"/>
    </row>
    <row r="142" spans="190:237">
      <c r="GH142" s="390"/>
      <c r="GI142" s="387"/>
      <c r="GJ142" s="387"/>
      <c r="GK142" s="387"/>
      <c r="GL142" s="387"/>
      <c r="GM142" s="387"/>
      <c r="GN142" s="387"/>
      <c r="GO142" s="387"/>
      <c r="GP142" s="387"/>
      <c r="GQ142" s="387"/>
      <c r="GR142" s="387"/>
      <c r="GS142" s="387"/>
      <c r="GT142" s="387"/>
      <c r="GU142" s="387"/>
      <c r="GV142" s="387"/>
      <c r="GW142" s="387"/>
      <c r="GX142" s="387"/>
      <c r="GY142" s="387"/>
      <c r="GZ142" s="387"/>
      <c r="HA142" s="387"/>
      <c r="HB142" s="387"/>
      <c r="HC142" s="387"/>
      <c r="HD142" s="387"/>
      <c r="HE142" s="391"/>
      <c r="HF142" s="417"/>
      <c r="HG142" s="387"/>
      <c r="HH142" s="387"/>
      <c r="HI142" s="387"/>
      <c r="HJ142" s="387"/>
      <c r="HK142" s="387"/>
      <c r="HL142" s="387"/>
      <c r="HM142" s="387"/>
      <c r="HN142" s="387"/>
      <c r="HO142" s="387"/>
      <c r="HP142" s="387"/>
      <c r="HQ142" s="387"/>
      <c r="HR142" s="387"/>
      <c r="HS142" s="387"/>
      <c r="HT142" s="387"/>
      <c r="HU142" s="387"/>
      <c r="HV142" s="387"/>
      <c r="HW142" s="387"/>
      <c r="HX142" s="387"/>
      <c r="HY142" s="387"/>
      <c r="HZ142" s="387"/>
      <c r="IA142" s="387"/>
      <c r="IB142" s="387"/>
      <c r="IC142" s="392"/>
    </row>
    <row r="143" spans="190:237">
      <c r="GH143" s="390"/>
      <c r="GI143" s="387"/>
      <c r="GJ143" s="387"/>
      <c r="GK143" s="387"/>
      <c r="GL143" s="387"/>
      <c r="GM143" s="387"/>
      <c r="GN143" s="387"/>
      <c r="GO143" s="387"/>
      <c r="GP143" s="387"/>
      <c r="GQ143" s="387"/>
      <c r="GR143" s="387"/>
      <c r="GS143" s="387"/>
      <c r="GT143" s="387"/>
      <c r="GU143" s="387"/>
      <c r="GV143" s="387"/>
      <c r="GW143" s="387"/>
      <c r="GX143" s="387"/>
      <c r="GY143" s="387"/>
      <c r="GZ143" s="387"/>
      <c r="HA143" s="387"/>
      <c r="HB143" s="387"/>
      <c r="HC143" s="387"/>
      <c r="HD143" s="387"/>
      <c r="HE143" s="391"/>
      <c r="HF143" s="417"/>
      <c r="HG143" s="387"/>
      <c r="HH143" s="387"/>
      <c r="HI143" s="387"/>
      <c r="HJ143" s="387"/>
      <c r="HK143" s="387"/>
      <c r="HL143" s="387"/>
      <c r="HM143" s="387"/>
      <c r="HN143" s="387"/>
      <c r="HO143" s="387"/>
      <c r="HP143" s="387"/>
      <c r="HQ143" s="387"/>
      <c r="HR143" s="387"/>
      <c r="HS143" s="387"/>
      <c r="HT143" s="387"/>
      <c r="HU143" s="387"/>
      <c r="HV143" s="387"/>
      <c r="HW143" s="387"/>
      <c r="HX143" s="387"/>
      <c r="HY143" s="387"/>
      <c r="HZ143" s="387"/>
      <c r="IA143" s="387"/>
      <c r="IB143" s="387"/>
      <c r="IC143" s="392"/>
    </row>
    <row r="144" spans="190:237">
      <c r="GH144" s="390"/>
      <c r="GI144" s="387"/>
      <c r="GJ144" s="387"/>
      <c r="GK144" s="387"/>
      <c r="GL144" s="387"/>
      <c r="GM144" s="387"/>
      <c r="GN144" s="387"/>
      <c r="GO144" s="387"/>
      <c r="GP144" s="387"/>
      <c r="GQ144" s="387"/>
      <c r="GR144" s="387"/>
      <c r="GS144" s="387"/>
      <c r="GT144" s="387"/>
      <c r="GU144" s="387"/>
      <c r="GV144" s="387"/>
      <c r="GW144" s="387"/>
      <c r="GX144" s="387"/>
      <c r="GY144" s="387"/>
      <c r="GZ144" s="387"/>
      <c r="HA144" s="387"/>
      <c r="HB144" s="387"/>
      <c r="HC144" s="387"/>
      <c r="HD144" s="387"/>
      <c r="HE144" s="391"/>
      <c r="HF144" s="417"/>
      <c r="HG144" s="387"/>
      <c r="HH144" s="387"/>
      <c r="HI144" s="387"/>
      <c r="HJ144" s="387"/>
      <c r="HK144" s="387"/>
      <c r="HL144" s="387"/>
      <c r="HM144" s="387"/>
      <c r="HN144" s="387"/>
      <c r="HO144" s="387"/>
      <c r="HP144" s="387"/>
      <c r="HQ144" s="387"/>
      <c r="HR144" s="387"/>
      <c r="HS144" s="387"/>
      <c r="HT144" s="387"/>
      <c r="HU144" s="387"/>
      <c r="HV144" s="387"/>
      <c r="HW144" s="387"/>
      <c r="HX144" s="387"/>
      <c r="HY144" s="387"/>
      <c r="HZ144" s="387"/>
      <c r="IA144" s="387"/>
      <c r="IB144" s="387"/>
      <c r="IC144" s="392"/>
    </row>
    <row r="145" spans="190:237">
      <c r="GH145" s="390"/>
      <c r="GI145" s="387"/>
      <c r="GJ145" s="387"/>
      <c r="GK145" s="387"/>
      <c r="GL145" s="387"/>
      <c r="GM145" s="387"/>
      <c r="GN145" s="387"/>
      <c r="GO145" s="387"/>
      <c r="GP145" s="387"/>
      <c r="GQ145" s="387"/>
      <c r="GR145" s="387"/>
      <c r="GS145" s="387"/>
      <c r="GT145" s="387"/>
      <c r="GU145" s="387"/>
      <c r="GV145" s="387"/>
      <c r="GW145" s="387"/>
      <c r="GX145" s="387"/>
      <c r="GY145" s="387"/>
      <c r="GZ145" s="387"/>
      <c r="HA145" s="387"/>
      <c r="HB145" s="387"/>
      <c r="HC145" s="387"/>
      <c r="HD145" s="387"/>
      <c r="HE145" s="391"/>
      <c r="HF145" s="417"/>
      <c r="HG145" s="387"/>
      <c r="HH145" s="387"/>
      <c r="HI145" s="387"/>
      <c r="HJ145" s="387"/>
      <c r="HK145" s="387"/>
      <c r="HL145" s="387"/>
      <c r="HM145" s="387"/>
      <c r="HN145" s="387"/>
      <c r="HO145" s="387"/>
      <c r="HP145" s="387"/>
      <c r="HQ145" s="387"/>
      <c r="HR145" s="387"/>
      <c r="HS145" s="387"/>
      <c r="HT145" s="387"/>
      <c r="HU145" s="387"/>
      <c r="HV145" s="387"/>
      <c r="HW145" s="387"/>
      <c r="HX145" s="387"/>
      <c r="HY145" s="387"/>
      <c r="HZ145" s="387"/>
      <c r="IA145" s="387"/>
      <c r="IB145" s="387"/>
      <c r="IC145" s="392"/>
    </row>
    <row r="146" spans="190:237">
      <c r="GH146" s="390"/>
      <c r="GI146" s="387"/>
      <c r="GJ146" s="387"/>
      <c r="GK146" s="387"/>
      <c r="GL146" s="387"/>
      <c r="GM146" s="387"/>
      <c r="GN146" s="387"/>
      <c r="GO146" s="387"/>
      <c r="GP146" s="387"/>
      <c r="GQ146" s="387"/>
      <c r="GR146" s="387"/>
      <c r="GS146" s="387"/>
      <c r="GT146" s="387"/>
      <c r="GU146" s="387"/>
      <c r="GV146" s="387"/>
      <c r="GW146" s="387"/>
      <c r="GX146" s="387"/>
      <c r="GY146" s="387"/>
      <c r="GZ146" s="387"/>
      <c r="HA146" s="387"/>
      <c r="HB146" s="387"/>
      <c r="HC146" s="387"/>
      <c r="HD146" s="387"/>
      <c r="HE146" s="391"/>
      <c r="HF146" s="417"/>
      <c r="HG146" s="387"/>
      <c r="HH146" s="387"/>
      <c r="HI146" s="387"/>
      <c r="HJ146" s="387"/>
      <c r="HK146" s="387"/>
      <c r="HL146" s="387"/>
      <c r="HM146" s="387"/>
      <c r="HN146" s="387"/>
      <c r="HO146" s="387"/>
      <c r="HP146" s="387"/>
      <c r="HQ146" s="387"/>
      <c r="HR146" s="387"/>
      <c r="HS146" s="387"/>
      <c r="HT146" s="387"/>
      <c r="HU146" s="387"/>
      <c r="HV146" s="387"/>
      <c r="HW146" s="387"/>
      <c r="HX146" s="387"/>
      <c r="HY146" s="387"/>
      <c r="HZ146" s="387"/>
      <c r="IA146" s="387"/>
      <c r="IB146" s="387"/>
      <c r="IC146" s="392"/>
    </row>
    <row r="147" spans="190:237">
      <c r="GH147" s="390"/>
      <c r="GI147" s="387"/>
      <c r="GJ147" s="387"/>
      <c r="GK147" s="387"/>
      <c r="GL147" s="387"/>
      <c r="GM147" s="387"/>
      <c r="GN147" s="387"/>
      <c r="GO147" s="387"/>
      <c r="GP147" s="387"/>
      <c r="GQ147" s="387"/>
      <c r="GR147" s="387"/>
      <c r="GS147" s="387"/>
      <c r="GT147" s="387"/>
      <c r="GU147" s="387"/>
      <c r="GV147" s="387"/>
      <c r="GW147" s="387"/>
      <c r="GX147" s="387"/>
      <c r="GY147" s="387"/>
      <c r="GZ147" s="387"/>
      <c r="HA147" s="387"/>
      <c r="HB147" s="387"/>
      <c r="HC147" s="387"/>
      <c r="HD147" s="387"/>
      <c r="HE147" s="391"/>
      <c r="HF147" s="417"/>
      <c r="HG147" s="387"/>
      <c r="HH147" s="387"/>
      <c r="HI147" s="387"/>
      <c r="HJ147" s="387"/>
      <c r="HK147" s="387"/>
      <c r="HL147" s="387"/>
      <c r="HM147" s="387"/>
      <c r="HN147" s="387"/>
      <c r="HO147" s="387"/>
      <c r="HP147" s="387"/>
      <c r="HQ147" s="387"/>
      <c r="HR147" s="387"/>
      <c r="HS147" s="387"/>
      <c r="HT147" s="387"/>
      <c r="HU147" s="387"/>
      <c r="HV147" s="387"/>
      <c r="HW147" s="387"/>
      <c r="HX147" s="387"/>
      <c r="HY147" s="387"/>
      <c r="HZ147" s="387"/>
      <c r="IA147" s="387"/>
      <c r="IB147" s="387"/>
      <c r="IC147" s="392"/>
    </row>
    <row r="148" spans="190:237">
      <c r="GH148" s="390"/>
      <c r="GI148" s="387"/>
      <c r="GJ148" s="387"/>
      <c r="GK148" s="387"/>
      <c r="GL148" s="387"/>
      <c r="GM148" s="387"/>
      <c r="GN148" s="387"/>
      <c r="GO148" s="387"/>
      <c r="GP148" s="387"/>
      <c r="GQ148" s="387"/>
      <c r="GR148" s="387"/>
      <c r="GS148" s="387"/>
      <c r="GT148" s="387"/>
      <c r="GU148" s="387"/>
      <c r="GV148" s="387"/>
      <c r="GW148" s="387"/>
      <c r="GX148" s="387"/>
      <c r="GY148" s="387"/>
      <c r="GZ148" s="387"/>
      <c r="HA148" s="387"/>
      <c r="HB148" s="387"/>
      <c r="HC148" s="387"/>
      <c r="HD148" s="387"/>
      <c r="HE148" s="391"/>
      <c r="HF148" s="417"/>
      <c r="HG148" s="387"/>
      <c r="HH148" s="387"/>
      <c r="HI148" s="387"/>
      <c r="HJ148" s="387"/>
      <c r="HK148" s="387"/>
      <c r="HL148" s="387"/>
      <c r="HM148" s="387"/>
      <c r="HN148" s="387"/>
      <c r="HO148" s="387"/>
      <c r="HP148" s="387"/>
      <c r="HQ148" s="387"/>
      <c r="HR148" s="387"/>
      <c r="HS148" s="387"/>
      <c r="HT148" s="387"/>
      <c r="HU148" s="387"/>
      <c r="HV148" s="387"/>
      <c r="HW148" s="387"/>
      <c r="HX148" s="387"/>
      <c r="HY148" s="387"/>
      <c r="HZ148" s="387"/>
      <c r="IA148" s="387"/>
      <c r="IB148" s="387"/>
      <c r="IC148" s="392"/>
    </row>
    <row r="149" spans="190:237">
      <c r="GH149" s="390"/>
      <c r="GI149" s="387"/>
      <c r="GJ149" s="387"/>
      <c r="GK149" s="387"/>
      <c r="GL149" s="387"/>
      <c r="GM149" s="387"/>
      <c r="GN149" s="387"/>
      <c r="GO149" s="387"/>
      <c r="GP149" s="387"/>
      <c r="GQ149" s="387"/>
      <c r="GR149" s="387"/>
      <c r="GS149" s="387"/>
      <c r="GT149" s="387"/>
      <c r="GU149" s="387"/>
      <c r="GV149" s="387"/>
      <c r="GW149" s="387"/>
      <c r="GX149" s="387"/>
      <c r="GY149" s="387"/>
      <c r="GZ149" s="387"/>
      <c r="HA149" s="387"/>
      <c r="HB149" s="387"/>
      <c r="HC149" s="387"/>
      <c r="HD149" s="387"/>
      <c r="HE149" s="391"/>
      <c r="HF149" s="417"/>
      <c r="HG149" s="387"/>
      <c r="HH149" s="387"/>
      <c r="HI149" s="387"/>
      <c r="HJ149" s="387"/>
      <c r="HK149" s="387"/>
      <c r="HL149" s="387"/>
      <c r="HM149" s="387"/>
      <c r="HN149" s="387"/>
      <c r="HO149" s="387"/>
      <c r="HP149" s="387"/>
      <c r="HQ149" s="387"/>
      <c r="HR149" s="387"/>
      <c r="HS149" s="387"/>
      <c r="HT149" s="387"/>
      <c r="HU149" s="387"/>
      <c r="HV149" s="387"/>
      <c r="HW149" s="387"/>
      <c r="HX149" s="387"/>
      <c r="HY149" s="387"/>
      <c r="HZ149" s="387"/>
      <c r="IA149" s="387"/>
      <c r="IB149" s="387"/>
      <c r="IC149" s="392"/>
    </row>
    <row r="150" spans="190:237">
      <c r="GH150" s="390"/>
      <c r="GI150" s="387"/>
      <c r="GJ150" s="387"/>
      <c r="GK150" s="387"/>
      <c r="GL150" s="387"/>
      <c r="GM150" s="387"/>
      <c r="GN150" s="387"/>
      <c r="GO150" s="387"/>
      <c r="GP150" s="387"/>
      <c r="GQ150" s="387"/>
      <c r="GR150" s="387"/>
      <c r="GS150" s="387"/>
      <c r="GT150" s="387"/>
      <c r="GU150" s="387"/>
      <c r="GV150" s="387"/>
      <c r="GW150" s="387"/>
      <c r="GX150" s="387"/>
      <c r="GY150" s="387"/>
      <c r="GZ150" s="387"/>
      <c r="HA150" s="387"/>
      <c r="HB150" s="387"/>
      <c r="HC150" s="387"/>
      <c r="HD150" s="387"/>
      <c r="HE150" s="391"/>
      <c r="HF150" s="417"/>
      <c r="HG150" s="387"/>
      <c r="HH150" s="387"/>
      <c r="HI150" s="387"/>
      <c r="HJ150" s="387"/>
      <c r="HK150" s="387"/>
      <c r="HL150" s="387"/>
      <c r="HM150" s="387"/>
      <c r="HN150" s="387"/>
      <c r="HO150" s="387"/>
      <c r="HP150" s="387"/>
      <c r="HQ150" s="387"/>
      <c r="HR150" s="387"/>
      <c r="HS150" s="387"/>
      <c r="HT150" s="387"/>
      <c r="HU150" s="387"/>
      <c r="HV150" s="387"/>
      <c r="HW150" s="387"/>
      <c r="HX150" s="387"/>
      <c r="HY150" s="387"/>
      <c r="HZ150" s="387"/>
      <c r="IA150" s="387"/>
      <c r="IB150" s="387"/>
      <c r="IC150" s="392"/>
    </row>
    <row r="151" spans="190:237">
      <c r="GH151" s="390"/>
      <c r="GI151" s="387"/>
      <c r="GJ151" s="387"/>
      <c r="GK151" s="387"/>
      <c r="GL151" s="387"/>
      <c r="GM151" s="387"/>
      <c r="GN151" s="387"/>
      <c r="GO151" s="387"/>
      <c r="GP151" s="387"/>
      <c r="GQ151" s="387"/>
      <c r="GR151" s="387"/>
      <c r="GS151" s="387"/>
      <c r="GT151" s="387"/>
      <c r="GU151" s="387"/>
      <c r="GV151" s="387"/>
      <c r="GW151" s="387"/>
      <c r="GX151" s="387"/>
      <c r="GY151" s="387"/>
      <c r="GZ151" s="387"/>
      <c r="HA151" s="387"/>
      <c r="HB151" s="387"/>
      <c r="HC151" s="387"/>
      <c r="HD151" s="387"/>
      <c r="HE151" s="391"/>
      <c r="HF151" s="417"/>
      <c r="HG151" s="387"/>
      <c r="HH151" s="387"/>
      <c r="HI151" s="387"/>
      <c r="HJ151" s="387"/>
      <c r="HK151" s="387"/>
      <c r="HL151" s="387"/>
      <c r="HM151" s="387"/>
      <c r="HN151" s="387"/>
      <c r="HO151" s="387"/>
      <c r="HP151" s="387"/>
      <c r="HQ151" s="387"/>
      <c r="HR151" s="387"/>
      <c r="HS151" s="387"/>
      <c r="HT151" s="387"/>
      <c r="HU151" s="387"/>
      <c r="HV151" s="387"/>
      <c r="HW151" s="387"/>
      <c r="HX151" s="387"/>
      <c r="HY151" s="387"/>
      <c r="HZ151" s="387"/>
      <c r="IA151" s="387"/>
      <c r="IB151" s="387"/>
      <c r="IC151" s="392"/>
    </row>
    <row r="152" spans="190:237">
      <c r="GH152" s="390"/>
      <c r="GI152" s="387"/>
      <c r="GJ152" s="387"/>
      <c r="GK152" s="387"/>
      <c r="GL152" s="387"/>
      <c r="GM152" s="387"/>
      <c r="GN152" s="387"/>
      <c r="GO152" s="387"/>
      <c r="GP152" s="387"/>
      <c r="GQ152" s="387"/>
      <c r="GR152" s="387"/>
      <c r="GS152" s="387"/>
      <c r="GT152" s="387"/>
      <c r="GU152" s="387"/>
      <c r="GV152" s="387"/>
      <c r="GW152" s="387"/>
      <c r="GX152" s="387"/>
      <c r="GY152" s="387"/>
      <c r="GZ152" s="387"/>
      <c r="HA152" s="387"/>
      <c r="HB152" s="387"/>
      <c r="HC152" s="387"/>
      <c r="HD152" s="387"/>
      <c r="HE152" s="391"/>
      <c r="HF152" s="417"/>
      <c r="HG152" s="387"/>
      <c r="HH152" s="387"/>
      <c r="HI152" s="387"/>
      <c r="HJ152" s="387"/>
      <c r="HK152" s="387"/>
      <c r="HL152" s="387"/>
      <c r="HM152" s="387"/>
      <c r="HN152" s="387"/>
      <c r="HO152" s="387"/>
      <c r="HP152" s="387"/>
      <c r="HQ152" s="387"/>
      <c r="HR152" s="387"/>
      <c r="HS152" s="387"/>
      <c r="HT152" s="387"/>
      <c r="HU152" s="387"/>
      <c r="HV152" s="387"/>
      <c r="HW152" s="387"/>
      <c r="HX152" s="387"/>
      <c r="HY152" s="387"/>
      <c r="HZ152" s="387"/>
      <c r="IA152" s="387"/>
      <c r="IB152" s="387"/>
      <c r="IC152" s="392"/>
    </row>
    <row r="153" spans="190:237">
      <c r="GH153" s="390"/>
      <c r="GI153" s="387"/>
      <c r="GJ153" s="387"/>
      <c r="GK153" s="387"/>
      <c r="GL153" s="387"/>
      <c r="GM153" s="387"/>
      <c r="GN153" s="387"/>
      <c r="GO153" s="387"/>
      <c r="GP153" s="387"/>
      <c r="GQ153" s="387"/>
      <c r="GR153" s="387"/>
      <c r="GS153" s="387"/>
      <c r="GT153" s="387"/>
      <c r="GU153" s="387"/>
      <c r="GV153" s="387"/>
      <c r="GW153" s="387"/>
      <c r="GX153" s="387"/>
      <c r="GY153" s="387"/>
      <c r="GZ153" s="387"/>
      <c r="HA153" s="387"/>
      <c r="HB153" s="387"/>
      <c r="HC153" s="387"/>
      <c r="HD153" s="387"/>
      <c r="HE153" s="391"/>
      <c r="HF153" s="417"/>
      <c r="HG153" s="387"/>
      <c r="HH153" s="387"/>
      <c r="HI153" s="387"/>
      <c r="HJ153" s="387"/>
      <c r="HK153" s="387"/>
      <c r="HL153" s="387"/>
      <c r="HM153" s="387"/>
      <c r="HN153" s="387"/>
      <c r="HO153" s="387"/>
      <c r="HP153" s="387"/>
      <c r="HQ153" s="387"/>
      <c r="HR153" s="387"/>
      <c r="HS153" s="387"/>
      <c r="HT153" s="387"/>
      <c r="HU153" s="387"/>
      <c r="HV153" s="387"/>
      <c r="HW153" s="387"/>
      <c r="HX153" s="387"/>
      <c r="HY153" s="387"/>
      <c r="HZ153" s="387"/>
      <c r="IA153" s="387"/>
      <c r="IB153" s="387"/>
      <c r="IC153" s="392"/>
    </row>
    <row r="154" spans="190:237">
      <c r="GH154" s="390"/>
      <c r="GI154" s="387"/>
      <c r="GJ154" s="387"/>
      <c r="GK154" s="387"/>
      <c r="GL154" s="387"/>
      <c r="GM154" s="387"/>
      <c r="GN154" s="387"/>
      <c r="GO154" s="387"/>
      <c r="GP154" s="387"/>
      <c r="GQ154" s="387"/>
      <c r="GR154" s="387"/>
      <c r="GS154" s="387"/>
      <c r="GT154" s="387"/>
      <c r="GU154" s="387"/>
      <c r="GV154" s="387"/>
      <c r="GW154" s="387"/>
      <c r="GX154" s="387"/>
      <c r="GY154" s="387"/>
      <c r="GZ154" s="387"/>
      <c r="HA154" s="387"/>
      <c r="HB154" s="387"/>
      <c r="HC154" s="387"/>
      <c r="HD154" s="387"/>
      <c r="HE154" s="391"/>
      <c r="HF154" s="417"/>
      <c r="HG154" s="387"/>
      <c r="HH154" s="387"/>
      <c r="HI154" s="387"/>
      <c r="HJ154" s="387"/>
      <c r="HK154" s="387"/>
      <c r="HL154" s="387"/>
      <c r="HM154" s="387"/>
      <c r="HN154" s="387"/>
      <c r="HO154" s="387"/>
      <c r="HP154" s="387"/>
      <c r="HQ154" s="387"/>
      <c r="HR154" s="387"/>
      <c r="HS154" s="387"/>
      <c r="HT154" s="387"/>
      <c r="HU154" s="387"/>
      <c r="HV154" s="387"/>
      <c r="HW154" s="387"/>
      <c r="HX154" s="387"/>
      <c r="HY154" s="387"/>
      <c r="HZ154" s="387"/>
      <c r="IA154" s="387"/>
      <c r="IB154" s="387"/>
      <c r="IC154" s="392"/>
    </row>
    <row r="155" spans="190:237">
      <c r="GH155" s="390"/>
      <c r="GI155" s="387"/>
      <c r="GJ155" s="387"/>
      <c r="GK155" s="387"/>
      <c r="GL155" s="387"/>
      <c r="GM155" s="387"/>
      <c r="GN155" s="387"/>
      <c r="GO155" s="387"/>
      <c r="GP155" s="387"/>
      <c r="GQ155" s="387"/>
      <c r="GR155" s="387"/>
      <c r="GS155" s="387"/>
      <c r="GT155" s="387"/>
      <c r="GU155" s="387"/>
      <c r="GV155" s="387"/>
      <c r="GW155" s="387"/>
      <c r="GX155" s="387"/>
      <c r="GY155" s="387"/>
      <c r="GZ155" s="387"/>
      <c r="HA155" s="387"/>
      <c r="HB155" s="387"/>
      <c r="HC155" s="387"/>
      <c r="HD155" s="387"/>
      <c r="HE155" s="391"/>
      <c r="HF155" s="417"/>
      <c r="HG155" s="387"/>
      <c r="HH155" s="387"/>
      <c r="HI155" s="387"/>
      <c r="HJ155" s="387"/>
      <c r="HK155" s="387"/>
      <c r="HL155" s="387"/>
      <c r="HM155" s="387"/>
      <c r="HN155" s="387"/>
      <c r="HO155" s="387"/>
      <c r="HP155" s="387"/>
      <c r="HQ155" s="387"/>
      <c r="HR155" s="387"/>
      <c r="HS155" s="387"/>
      <c r="HT155" s="387"/>
      <c r="HU155" s="387"/>
      <c r="HV155" s="387"/>
      <c r="HW155" s="387"/>
      <c r="HX155" s="387"/>
      <c r="HY155" s="387"/>
      <c r="HZ155" s="387"/>
      <c r="IA155" s="387"/>
      <c r="IB155" s="387"/>
      <c r="IC155" s="392"/>
    </row>
    <row r="156" spans="190:237">
      <c r="GH156" s="390"/>
      <c r="GI156" s="387"/>
      <c r="GJ156" s="387"/>
      <c r="GK156" s="387"/>
      <c r="GL156" s="387"/>
      <c r="GM156" s="387"/>
      <c r="GN156" s="387"/>
      <c r="GO156" s="387"/>
      <c r="GP156" s="387"/>
      <c r="GQ156" s="387"/>
      <c r="GR156" s="387"/>
      <c r="GS156" s="387"/>
      <c r="GT156" s="387"/>
      <c r="GU156" s="387"/>
      <c r="GV156" s="387"/>
      <c r="GW156" s="387"/>
      <c r="GX156" s="387"/>
      <c r="GY156" s="387"/>
      <c r="GZ156" s="387"/>
      <c r="HA156" s="387"/>
      <c r="HB156" s="387"/>
      <c r="HC156" s="387"/>
      <c r="HD156" s="387"/>
      <c r="HE156" s="391"/>
      <c r="HF156" s="417"/>
      <c r="HG156" s="387"/>
      <c r="HH156" s="387"/>
      <c r="HI156" s="387"/>
      <c r="HJ156" s="387"/>
      <c r="HK156" s="387"/>
      <c r="HL156" s="387"/>
      <c r="HM156" s="387"/>
      <c r="HN156" s="387"/>
      <c r="HO156" s="387"/>
      <c r="HP156" s="387"/>
      <c r="HQ156" s="387"/>
      <c r="HR156" s="387"/>
      <c r="HS156" s="387"/>
      <c r="HT156" s="387"/>
      <c r="HU156" s="387"/>
      <c r="HV156" s="387"/>
      <c r="HW156" s="387"/>
      <c r="HX156" s="387"/>
      <c r="HY156" s="387"/>
      <c r="HZ156" s="387"/>
      <c r="IA156" s="387"/>
      <c r="IB156" s="387"/>
      <c r="IC156" s="392"/>
    </row>
    <row r="157" spans="190:237">
      <c r="GH157" s="390"/>
      <c r="GI157" s="387"/>
      <c r="GJ157" s="387"/>
      <c r="GK157" s="387"/>
      <c r="GL157" s="387"/>
      <c r="GM157" s="387"/>
      <c r="GN157" s="387"/>
      <c r="GO157" s="387"/>
      <c r="GP157" s="387"/>
      <c r="GQ157" s="387"/>
      <c r="GR157" s="387"/>
      <c r="GS157" s="387"/>
      <c r="GT157" s="387"/>
      <c r="GU157" s="387"/>
      <c r="GV157" s="387"/>
      <c r="GW157" s="387"/>
      <c r="GX157" s="387"/>
      <c r="GY157" s="387"/>
      <c r="GZ157" s="387"/>
      <c r="HA157" s="387"/>
      <c r="HB157" s="387"/>
      <c r="HC157" s="387"/>
      <c r="HD157" s="387"/>
      <c r="HE157" s="391"/>
      <c r="HF157" s="417"/>
      <c r="HG157" s="387"/>
      <c r="HH157" s="387"/>
      <c r="HI157" s="387"/>
      <c r="HJ157" s="387"/>
      <c r="HK157" s="387"/>
      <c r="HL157" s="387"/>
      <c r="HM157" s="387"/>
      <c r="HN157" s="387"/>
      <c r="HO157" s="387"/>
      <c r="HP157" s="387"/>
      <c r="HQ157" s="387"/>
      <c r="HR157" s="387"/>
      <c r="HS157" s="387"/>
      <c r="HT157" s="387"/>
      <c r="HU157" s="387"/>
      <c r="HV157" s="387"/>
      <c r="HW157" s="387"/>
      <c r="HX157" s="387"/>
      <c r="HY157" s="387"/>
      <c r="HZ157" s="387"/>
      <c r="IA157" s="387"/>
      <c r="IB157" s="387"/>
      <c r="IC157" s="392"/>
    </row>
    <row r="158" spans="190:237">
      <c r="GH158" s="390"/>
      <c r="GI158" s="387"/>
      <c r="GJ158" s="387"/>
      <c r="GK158" s="387"/>
      <c r="GL158" s="387"/>
      <c r="GM158" s="387"/>
      <c r="GN158" s="387"/>
      <c r="GO158" s="387"/>
      <c r="GP158" s="387"/>
      <c r="GQ158" s="387"/>
      <c r="GR158" s="387"/>
      <c r="GS158" s="387"/>
      <c r="GT158" s="387"/>
      <c r="GU158" s="387"/>
      <c r="GV158" s="387"/>
      <c r="GW158" s="387"/>
      <c r="GX158" s="387"/>
      <c r="GY158" s="387"/>
      <c r="GZ158" s="387"/>
      <c r="HA158" s="387"/>
      <c r="HB158" s="387"/>
      <c r="HC158" s="387"/>
      <c r="HD158" s="387"/>
      <c r="HE158" s="391"/>
      <c r="HF158" s="417"/>
      <c r="HG158" s="387"/>
      <c r="HH158" s="387"/>
      <c r="HI158" s="387"/>
      <c r="HJ158" s="387"/>
      <c r="HK158" s="387"/>
      <c r="HL158" s="387"/>
      <c r="HM158" s="387"/>
      <c r="HN158" s="387"/>
      <c r="HO158" s="387"/>
      <c r="HP158" s="387"/>
      <c r="HQ158" s="387"/>
      <c r="HR158" s="387"/>
      <c r="HS158" s="387"/>
      <c r="HT158" s="387"/>
      <c r="HU158" s="387"/>
      <c r="HV158" s="387"/>
      <c r="HW158" s="387"/>
      <c r="HX158" s="387"/>
      <c r="HY158" s="387"/>
      <c r="HZ158" s="387"/>
      <c r="IA158" s="387"/>
      <c r="IB158" s="387"/>
      <c r="IC158" s="392"/>
    </row>
    <row r="159" spans="190:237">
      <c r="GH159" s="390"/>
      <c r="GI159" s="387"/>
      <c r="GJ159" s="387"/>
      <c r="GK159" s="387"/>
      <c r="GL159" s="387"/>
      <c r="GM159" s="387"/>
      <c r="GN159" s="387"/>
      <c r="GO159" s="387"/>
      <c r="GP159" s="387"/>
      <c r="GQ159" s="387"/>
      <c r="GR159" s="387"/>
      <c r="GS159" s="387"/>
      <c r="GT159" s="387"/>
      <c r="GU159" s="387"/>
      <c r="GV159" s="387"/>
      <c r="GW159" s="387"/>
      <c r="GX159" s="387"/>
      <c r="GY159" s="387"/>
      <c r="GZ159" s="387"/>
      <c r="HA159" s="387"/>
      <c r="HB159" s="387"/>
      <c r="HC159" s="387"/>
      <c r="HD159" s="387"/>
      <c r="HE159" s="391"/>
      <c r="HF159" s="417"/>
      <c r="HG159" s="387"/>
      <c r="HH159" s="387"/>
      <c r="HI159" s="387"/>
      <c r="HJ159" s="387"/>
      <c r="HK159" s="387"/>
      <c r="HL159" s="387"/>
      <c r="HM159" s="387"/>
      <c r="HN159" s="387"/>
      <c r="HO159" s="387"/>
      <c r="HP159" s="387"/>
      <c r="HQ159" s="387"/>
      <c r="HR159" s="387"/>
      <c r="HS159" s="387"/>
      <c r="HT159" s="387"/>
      <c r="HU159" s="387"/>
      <c r="HV159" s="387"/>
      <c r="HW159" s="387"/>
      <c r="HX159" s="387"/>
      <c r="HY159" s="387"/>
      <c r="HZ159" s="387"/>
      <c r="IA159" s="387"/>
      <c r="IB159" s="387"/>
      <c r="IC159" s="392"/>
    </row>
    <row r="160" spans="190:237">
      <c r="GH160" s="390"/>
      <c r="GI160" s="387"/>
      <c r="GJ160" s="387"/>
      <c r="GK160" s="387"/>
      <c r="GL160" s="387"/>
      <c r="GM160" s="387"/>
      <c r="GN160" s="387"/>
      <c r="GO160" s="387"/>
      <c r="GP160" s="387"/>
      <c r="GQ160" s="387"/>
      <c r="GR160" s="387"/>
      <c r="GS160" s="387"/>
      <c r="GT160" s="387"/>
      <c r="GU160" s="387"/>
      <c r="GV160" s="387"/>
      <c r="GW160" s="387"/>
      <c r="GX160" s="387"/>
      <c r="GY160" s="387"/>
      <c r="GZ160" s="387"/>
      <c r="HA160" s="387"/>
      <c r="HB160" s="387"/>
      <c r="HC160" s="387"/>
      <c r="HD160" s="387"/>
      <c r="HE160" s="391"/>
      <c r="HF160" s="417"/>
      <c r="HG160" s="387"/>
      <c r="HH160" s="387"/>
      <c r="HI160" s="387"/>
      <c r="HJ160" s="387"/>
      <c r="HK160" s="387"/>
      <c r="HL160" s="387"/>
      <c r="HM160" s="387"/>
      <c r="HN160" s="387"/>
      <c r="HO160" s="387"/>
      <c r="HP160" s="387"/>
      <c r="HQ160" s="387"/>
      <c r="HR160" s="387"/>
      <c r="HS160" s="387"/>
      <c r="HT160" s="387"/>
      <c r="HU160" s="387"/>
      <c r="HV160" s="387"/>
      <c r="HW160" s="387"/>
      <c r="HX160" s="387"/>
      <c r="HY160" s="387"/>
      <c r="HZ160" s="387"/>
      <c r="IA160" s="387"/>
      <c r="IB160" s="387"/>
      <c r="IC160" s="392"/>
    </row>
    <row r="161" spans="190:237">
      <c r="GH161" s="390"/>
      <c r="GI161" s="387"/>
      <c r="GJ161" s="387"/>
      <c r="GK161" s="387"/>
      <c r="GL161" s="387"/>
      <c r="GM161" s="387"/>
      <c r="GN161" s="387"/>
      <c r="GO161" s="387"/>
      <c r="GP161" s="387"/>
      <c r="GQ161" s="387"/>
      <c r="GR161" s="387"/>
      <c r="GS161" s="387"/>
      <c r="GT161" s="387"/>
      <c r="GU161" s="387"/>
      <c r="GV161" s="387"/>
      <c r="GW161" s="387"/>
      <c r="GX161" s="387"/>
      <c r="GY161" s="387"/>
      <c r="GZ161" s="387"/>
      <c r="HA161" s="387"/>
      <c r="HB161" s="387"/>
      <c r="HC161" s="387"/>
      <c r="HD161" s="387"/>
      <c r="HE161" s="391"/>
      <c r="HF161" s="417"/>
      <c r="HG161" s="387"/>
      <c r="HH161" s="387"/>
      <c r="HI161" s="387"/>
      <c r="HJ161" s="387"/>
      <c r="HK161" s="387"/>
      <c r="HL161" s="387"/>
      <c r="HM161" s="387"/>
      <c r="HN161" s="387"/>
      <c r="HO161" s="387"/>
      <c r="HP161" s="387"/>
      <c r="HQ161" s="387"/>
      <c r="HR161" s="387"/>
      <c r="HS161" s="387"/>
      <c r="HT161" s="387"/>
      <c r="HU161" s="387"/>
      <c r="HV161" s="387"/>
      <c r="HW161" s="387"/>
      <c r="HX161" s="387"/>
      <c r="HY161" s="387"/>
      <c r="HZ161" s="387"/>
      <c r="IA161" s="387"/>
      <c r="IB161" s="387"/>
      <c r="IC161" s="392"/>
    </row>
    <row r="162" spans="190:237">
      <c r="GH162" s="390"/>
      <c r="GI162" s="387"/>
      <c r="GJ162" s="387"/>
      <c r="GK162" s="387"/>
      <c r="GL162" s="387"/>
      <c r="GM162" s="387"/>
      <c r="GN162" s="387"/>
      <c r="GO162" s="387"/>
      <c r="GP162" s="387"/>
      <c r="GQ162" s="387"/>
      <c r="GR162" s="387"/>
      <c r="GS162" s="387"/>
      <c r="GT162" s="387"/>
      <c r="GU162" s="387"/>
      <c r="GV162" s="387"/>
      <c r="GW162" s="387"/>
      <c r="GX162" s="387"/>
      <c r="GY162" s="387"/>
      <c r="GZ162" s="387"/>
      <c r="HA162" s="387"/>
      <c r="HB162" s="387"/>
      <c r="HC162" s="387"/>
      <c r="HD162" s="387"/>
      <c r="HE162" s="391"/>
      <c r="HF162" s="417"/>
      <c r="HG162" s="387"/>
      <c r="HH162" s="387"/>
      <c r="HI162" s="387"/>
      <c r="HJ162" s="387"/>
      <c r="HK162" s="387"/>
      <c r="HL162" s="387"/>
      <c r="HM162" s="387"/>
      <c r="HN162" s="387"/>
      <c r="HO162" s="387"/>
      <c r="HP162" s="387"/>
      <c r="HQ162" s="387"/>
      <c r="HR162" s="387"/>
      <c r="HS162" s="387"/>
      <c r="HT162" s="387"/>
      <c r="HU162" s="387"/>
      <c r="HV162" s="387"/>
      <c r="HW162" s="387"/>
      <c r="HX162" s="387"/>
      <c r="HY162" s="387"/>
      <c r="HZ162" s="387"/>
      <c r="IA162" s="387"/>
      <c r="IB162" s="387"/>
      <c r="IC162" s="392"/>
    </row>
    <row r="163" spans="190:237">
      <c r="GH163" s="390"/>
      <c r="GI163" s="387"/>
      <c r="GJ163" s="387"/>
      <c r="GK163" s="387"/>
      <c r="GL163" s="387"/>
      <c r="GM163" s="387"/>
      <c r="GN163" s="387"/>
      <c r="GO163" s="387"/>
      <c r="GP163" s="387"/>
      <c r="GQ163" s="387"/>
      <c r="GR163" s="387"/>
      <c r="GS163" s="387"/>
      <c r="GT163" s="387"/>
      <c r="GU163" s="387"/>
      <c r="GV163" s="387"/>
      <c r="GW163" s="387"/>
      <c r="GX163" s="387"/>
      <c r="GY163" s="387"/>
      <c r="GZ163" s="387"/>
      <c r="HA163" s="387"/>
      <c r="HB163" s="387"/>
      <c r="HC163" s="387"/>
      <c r="HD163" s="387"/>
      <c r="HE163" s="391"/>
      <c r="HF163" s="417"/>
      <c r="HG163" s="387"/>
      <c r="HH163" s="387"/>
      <c r="HI163" s="387"/>
      <c r="HJ163" s="387"/>
      <c r="HK163" s="387"/>
      <c r="HL163" s="387"/>
      <c r="HM163" s="387"/>
      <c r="HN163" s="387"/>
      <c r="HO163" s="387"/>
      <c r="HP163" s="387"/>
      <c r="HQ163" s="387"/>
      <c r="HR163" s="387"/>
      <c r="HS163" s="387"/>
      <c r="HT163" s="387"/>
      <c r="HU163" s="387"/>
      <c r="HV163" s="387"/>
      <c r="HW163" s="387"/>
      <c r="HX163" s="387"/>
      <c r="HY163" s="387"/>
      <c r="HZ163" s="387"/>
      <c r="IA163" s="387"/>
      <c r="IB163" s="387"/>
      <c r="IC163" s="392"/>
    </row>
    <row r="164" spans="190:237">
      <c r="GH164" s="390"/>
      <c r="GI164" s="387"/>
      <c r="GJ164" s="387"/>
      <c r="GK164" s="387"/>
      <c r="GL164" s="387"/>
      <c r="GM164" s="387"/>
      <c r="GN164" s="387"/>
      <c r="GO164" s="387"/>
      <c r="GP164" s="387"/>
      <c r="GQ164" s="387"/>
      <c r="GR164" s="387"/>
      <c r="GS164" s="387"/>
      <c r="GT164" s="387"/>
      <c r="GU164" s="387"/>
      <c r="GV164" s="387"/>
      <c r="GW164" s="387"/>
      <c r="GX164" s="387"/>
      <c r="GY164" s="387"/>
      <c r="GZ164" s="387"/>
      <c r="HA164" s="387"/>
      <c r="HB164" s="387"/>
      <c r="HC164" s="387"/>
      <c r="HD164" s="387"/>
      <c r="HE164" s="391"/>
      <c r="HF164" s="417"/>
      <c r="HG164" s="387"/>
      <c r="HH164" s="387"/>
      <c r="HI164" s="387"/>
      <c r="HJ164" s="387"/>
      <c r="HK164" s="387"/>
      <c r="HL164" s="387"/>
      <c r="HM164" s="387"/>
      <c r="HN164" s="387"/>
      <c r="HO164" s="387"/>
      <c r="HP164" s="387"/>
      <c r="HQ164" s="387"/>
      <c r="HR164" s="387"/>
      <c r="HS164" s="387"/>
      <c r="HT164" s="387"/>
      <c r="HU164" s="387"/>
      <c r="HV164" s="387"/>
      <c r="HW164" s="387"/>
      <c r="HX164" s="387"/>
      <c r="HY164" s="387"/>
      <c r="HZ164" s="387"/>
      <c r="IA164" s="387"/>
      <c r="IB164" s="387"/>
      <c r="IC164" s="392"/>
    </row>
    <row r="165" spans="190:237">
      <c r="GH165" s="390"/>
      <c r="GI165" s="387"/>
      <c r="GJ165" s="387"/>
      <c r="GK165" s="387"/>
      <c r="GL165" s="387"/>
      <c r="GM165" s="387"/>
      <c r="GN165" s="387"/>
      <c r="GO165" s="387"/>
      <c r="GP165" s="387"/>
      <c r="GQ165" s="387"/>
      <c r="GR165" s="387"/>
      <c r="GS165" s="387"/>
      <c r="GT165" s="387"/>
      <c r="GU165" s="387"/>
      <c r="GV165" s="387"/>
      <c r="GW165" s="387"/>
      <c r="GX165" s="387"/>
      <c r="GY165" s="387"/>
      <c r="GZ165" s="387"/>
      <c r="HA165" s="387"/>
      <c r="HB165" s="387"/>
      <c r="HC165" s="387"/>
      <c r="HD165" s="387"/>
      <c r="HE165" s="391"/>
      <c r="HF165" s="417"/>
      <c r="HG165" s="387"/>
      <c r="HH165" s="387"/>
      <c r="HI165" s="387"/>
      <c r="HJ165" s="387"/>
      <c r="HK165" s="387"/>
      <c r="HL165" s="387"/>
      <c r="HM165" s="387"/>
      <c r="HN165" s="387"/>
      <c r="HO165" s="387"/>
      <c r="HP165" s="387"/>
      <c r="HQ165" s="387"/>
      <c r="HR165" s="387"/>
      <c r="HS165" s="387"/>
      <c r="HT165" s="387"/>
      <c r="HU165" s="387"/>
      <c r="HV165" s="387"/>
      <c r="HW165" s="387"/>
      <c r="HX165" s="387"/>
      <c r="HY165" s="387"/>
      <c r="HZ165" s="387"/>
      <c r="IA165" s="387"/>
      <c r="IB165" s="387"/>
      <c r="IC165" s="392"/>
    </row>
    <row r="166" spans="190:237">
      <c r="GH166" s="390"/>
      <c r="GI166" s="387"/>
      <c r="GJ166" s="387"/>
      <c r="GK166" s="387"/>
      <c r="GL166" s="387"/>
      <c r="GM166" s="387"/>
      <c r="GN166" s="387"/>
      <c r="GO166" s="387"/>
      <c r="GP166" s="387"/>
      <c r="GQ166" s="387"/>
      <c r="GR166" s="387"/>
      <c r="GS166" s="387"/>
      <c r="GT166" s="387"/>
      <c r="GU166" s="387"/>
      <c r="GV166" s="387"/>
      <c r="GW166" s="387"/>
      <c r="GX166" s="387"/>
      <c r="GY166" s="387"/>
      <c r="GZ166" s="387"/>
      <c r="HA166" s="387"/>
      <c r="HB166" s="387"/>
      <c r="HC166" s="387"/>
      <c r="HD166" s="387"/>
      <c r="HE166" s="391"/>
      <c r="HF166" s="417"/>
      <c r="HG166" s="387"/>
      <c r="HH166" s="387"/>
      <c r="HI166" s="387"/>
      <c r="HJ166" s="387"/>
      <c r="HK166" s="387"/>
      <c r="HL166" s="387"/>
      <c r="HM166" s="387"/>
      <c r="HN166" s="387"/>
      <c r="HO166" s="387"/>
      <c r="HP166" s="387"/>
      <c r="HQ166" s="387"/>
      <c r="HR166" s="387"/>
      <c r="HS166" s="387"/>
      <c r="HT166" s="387"/>
      <c r="HU166" s="387"/>
      <c r="HV166" s="387"/>
      <c r="HW166" s="387"/>
      <c r="HX166" s="387"/>
      <c r="HY166" s="387"/>
      <c r="HZ166" s="387"/>
      <c r="IA166" s="387"/>
      <c r="IB166" s="387"/>
      <c r="IC166" s="392"/>
    </row>
    <row r="167" spans="190:237">
      <c r="GH167" s="390"/>
      <c r="GI167" s="387"/>
      <c r="GJ167" s="387"/>
      <c r="GK167" s="387"/>
      <c r="GL167" s="387"/>
      <c r="GM167" s="387"/>
      <c r="GN167" s="387"/>
      <c r="GO167" s="387"/>
      <c r="GP167" s="387"/>
      <c r="GQ167" s="387"/>
      <c r="GR167" s="387"/>
      <c r="GS167" s="387"/>
      <c r="GT167" s="387"/>
      <c r="GU167" s="387"/>
      <c r="GV167" s="387"/>
      <c r="GW167" s="387"/>
      <c r="GX167" s="387"/>
      <c r="GY167" s="387"/>
      <c r="GZ167" s="387"/>
      <c r="HA167" s="387"/>
      <c r="HB167" s="387"/>
      <c r="HC167" s="387"/>
      <c r="HD167" s="387"/>
      <c r="HE167" s="391"/>
      <c r="HF167" s="417"/>
      <c r="HG167" s="387"/>
      <c r="HH167" s="387"/>
      <c r="HI167" s="387"/>
      <c r="HJ167" s="387"/>
      <c r="HK167" s="387"/>
      <c r="HL167" s="387"/>
      <c r="HM167" s="387"/>
      <c r="HN167" s="387"/>
      <c r="HO167" s="387"/>
      <c r="HP167" s="387"/>
      <c r="HQ167" s="387"/>
      <c r="HR167" s="387"/>
      <c r="HS167" s="387"/>
      <c r="HT167" s="387"/>
      <c r="HU167" s="387"/>
      <c r="HV167" s="387"/>
      <c r="HW167" s="387"/>
      <c r="HX167" s="387"/>
      <c r="HY167" s="387"/>
      <c r="HZ167" s="387"/>
      <c r="IA167" s="387"/>
      <c r="IB167" s="387"/>
      <c r="IC167" s="392"/>
    </row>
    <row r="168" spans="190:237">
      <c r="GH168" s="390"/>
      <c r="GI168" s="387"/>
      <c r="GJ168" s="387"/>
      <c r="GK168" s="387"/>
      <c r="GL168" s="387"/>
      <c r="GM168" s="387"/>
      <c r="GN168" s="387"/>
      <c r="GO168" s="387"/>
      <c r="GP168" s="387"/>
      <c r="GQ168" s="387"/>
      <c r="GR168" s="387"/>
      <c r="GS168" s="387"/>
      <c r="GT168" s="387"/>
      <c r="GU168" s="387"/>
      <c r="GV168" s="387"/>
      <c r="GW168" s="387"/>
      <c r="GX168" s="387"/>
      <c r="GY168" s="387"/>
      <c r="GZ168" s="387"/>
      <c r="HA168" s="387"/>
      <c r="HB168" s="387"/>
      <c r="HC168" s="387"/>
      <c r="HD168" s="387"/>
      <c r="HE168" s="391"/>
      <c r="HF168" s="417"/>
      <c r="HG168" s="387"/>
      <c r="HH168" s="387"/>
      <c r="HI168" s="387"/>
      <c r="HJ168" s="387"/>
      <c r="HK168" s="387"/>
      <c r="HL168" s="387"/>
      <c r="HM168" s="387"/>
      <c r="HN168" s="387"/>
      <c r="HO168" s="387"/>
      <c r="HP168" s="387"/>
      <c r="HQ168" s="387"/>
      <c r="HR168" s="387"/>
      <c r="HS168" s="387"/>
      <c r="HT168" s="387"/>
      <c r="HU168" s="387"/>
      <c r="HV168" s="387"/>
      <c r="HW168" s="387"/>
      <c r="HX168" s="387"/>
      <c r="HY168" s="387"/>
      <c r="HZ168" s="387"/>
      <c r="IA168" s="387"/>
      <c r="IB168" s="387"/>
      <c r="IC168" s="392"/>
    </row>
    <row r="169" spans="190:237">
      <c r="GH169" s="390"/>
      <c r="GI169" s="387"/>
      <c r="GJ169" s="387"/>
      <c r="GK169" s="387"/>
      <c r="GL169" s="387"/>
      <c r="GM169" s="387"/>
      <c r="GN169" s="387"/>
      <c r="GO169" s="387"/>
      <c r="GP169" s="387"/>
      <c r="GQ169" s="387"/>
      <c r="GR169" s="387"/>
      <c r="GS169" s="387"/>
      <c r="GT169" s="387"/>
      <c r="GU169" s="387"/>
      <c r="GV169" s="387"/>
      <c r="GW169" s="387"/>
      <c r="GX169" s="387"/>
      <c r="GY169" s="387"/>
      <c r="GZ169" s="387"/>
      <c r="HA169" s="387"/>
      <c r="HB169" s="387"/>
      <c r="HC169" s="387"/>
      <c r="HD169" s="387"/>
      <c r="HE169" s="391"/>
      <c r="HF169" s="417"/>
      <c r="HG169" s="387"/>
      <c r="HH169" s="387"/>
      <c r="HI169" s="387"/>
      <c r="HJ169" s="387"/>
      <c r="HK169" s="387"/>
      <c r="HL169" s="387"/>
      <c r="HM169" s="387"/>
      <c r="HN169" s="387"/>
      <c r="HO169" s="387"/>
      <c r="HP169" s="387"/>
      <c r="HQ169" s="387"/>
      <c r="HR169" s="387"/>
      <c r="HS169" s="387"/>
      <c r="HT169" s="387"/>
      <c r="HU169" s="387"/>
      <c r="HV169" s="387"/>
      <c r="HW169" s="387"/>
      <c r="HX169" s="387"/>
      <c r="HY169" s="387"/>
      <c r="HZ169" s="387"/>
      <c r="IA169" s="387"/>
      <c r="IB169" s="387"/>
      <c r="IC169" s="392"/>
    </row>
    <row r="170" spans="190:237">
      <c r="GH170" s="390"/>
      <c r="GI170" s="387"/>
      <c r="GJ170" s="387"/>
      <c r="GK170" s="387"/>
      <c r="GL170" s="387"/>
      <c r="GM170" s="387"/>
      <c r="GN170" s="387"/>
      <c r="GO170" s="387"/>
      <c r="GP170" s="387"/>
      <c r="GQ170" s="387"/>
      <c r="GR170" s="387"/>
      <c r="GS170" s="387"/>
      <c r="GT170" s="387"/>
      <c r="GU170" s="387"/>
      <c r="GV170" s="387"/>
      <c r="GW170" s="387"/>
      <c r="GX170" s="387"/>
      <c r="GY170" s="387"/>
      <c r="GZ170" s="387"/>
      <c r="HA170" s="387"/>
      <c r="HB170" s="387"/>
      <c r="HC170" s="387"/>
      <c r="HD170" s="387"/>
      <c r="HE170" s="391"/>
      <c r="HF170" s="417"/>
      <c r="HG170" s="387"/>
      <c r="HH170" s="387"/>
      <c r="HI170" s="387"/>
      <c r="HJ170" s="387"/>
      <c r="HK170" s="387"/>
      <c r="HL170" s="387"/>
      <c r="HM170" s="387"/>
      <c r="HN170" s="387"/>
      <c r="HO170" s="387"/>
      <c r="HP170" s="387"/>
      <c r="HQ170" s="387"/>
      <c r="HR170" s="387"/>
      <c r="HS170" s="387"/>
      <c r="HT170" s="387"/>
      <c r="HU170" s="387"/>
      <c r="HV170" s="387"/>
      <c r="HW170" s="387"/>
      <c r="HX170" s="387"/>
      <c r="HY170" s="387"/>
      <c r="HZ170" s="387"/>
      <c r="IA170" s="387"/>
      <c r="IB170" s="387"/>
      <c r="IC170" s="392"/>
    </row>
    <row r="171" spans="190:237">
      <c r="GH171" s="390"/>
      <c r="GI171" s="387"/>
      <c r="GJ171" s="387"/>
      <c r="GK171" s="387"/>
      <c r="GL171" s="387"/>
      <c r="GM171" s="387"/>
      <c r="GN171" s="387"/>
      <c r="GO171" s="387"/>
      <c r="GP171" s="387"/>
      <c r="GQ171" s="387"/>
      <c r="GR171" s="387"/>
      <c r="GS171" s="387"/>
      <c r="GT171" s="387"/>
      <c r="GU171" s="387"/>
      <c r="GV171" s="387"/>
      <c r="GW171" s="387"/>
      <c r="GX171" s="387"/>
      <c r="GY171" s="387"/>
      <c r="GZ171" s="387"/>
      <c r="HA171" s="387"/>
      <c r="HB171" s="387"/>
      <c r="HC171" s="387"/>
      <c r="HD171" s="387"/>
      <c r="HE171" s="391"/>
      <c r="HF171" s="417"/>
      <c r="HG171" s="387"/>
      <c r="HH171" s="387"/>
      <c r="HI171" s="387"/>
      <c r="HJ171" s="387"/>
      <c r="HK171" s="387"/>
      <c r="HL171" s="387"/>
      <c r="HM171" s="387"/>
      <c r="HN171" s="387"/>
      <c r="HO171" s="387"/>
      <c r="HP171" s="387"/>
      <c r="HQ171" s="387"/>
      <c r="HR171" s="387"/>
      <c r="HS171" s="387"/>
      <c r="HT171" s="387"/>
      <c r="HU171" s="387"/>
      <c r="HV171" s="387"/>
      <c r="HW171" s="387"/>
      <c r="HX171" s="387"/>
      <c r="HY171" s="387"/>
      <c r="HZ171" s="387"/>
      <c r="IA171" s="387"/>
      <c r="IB171" s="387"/>
      <c r="IC171" s="392"/>
    </row>
    <row r="172" spans="190:237">
      <c r="GH172" s="390"/>
      <c r="GI172" s="387"/>
      <c r="GJ172" s="387"/>
      <c r="GK172" s="387"/>
      <c r="GL172" s="387"/>
      <c r="GM172" s="387"/>
      <c r="GN172" s="387"/>
      <c r="GO172" s="387"/>
      <c r="GP172" s="387"/>
      <c r="GQ172" s="387"/>
      <c r="GR172" s="387"/>
      <c r="GS172" s="387"/>
      <c r="GT172" s="387"/>
      <c r="GU172" s="387"/>
      <c r="GV172" s="387"/>
      <c r="GW172" s="387"/>
      <c r="GX172" s="387"/>
      <c r="GY172" s="387"/>
      <c r="GZ172" s="387"/>
      <c r="HA172" s="387"/>
      <c r="HB172" s="387"/>
      <c r="HC172" s="387"/>
      <c r="HD172" s="387"/>
      <c r="HE172" s="391"/>
      <c r="HF172" s="417"/>
      <c r="HG172" s="387"/>
      <c r="HH172" s="387"/>
      <c r="HI172" s="387"/>
      <c r="HJ172" s="387"/>
      <c r="HK172" s="387"/>
      <c r="HL172" s="387"/>
      <c r="HM172" s="387"/>
      <c r="HN172" s="387"/>
      <c r="HO172" s="387"/>
      <c r="HP172" s="387"/>
      <c r="HQ172" s="387"/>
      <c r="HR172" s="387"/>
      <c r="HS172" s="387"/>
      <c r="HT172" s="387"/>
      <c r="HU172" s="387"/>
      <c r="HV172" s="387"/>
      <c r="HW172" s="387"/>
      <c r="HX172" s="387"/>
      <c r="HY172" s="387"/>
      <c r="HZ172" s="387"/>
      <c r="IA172" s="387"/>
      <c r="IB172" s="387"/>
      <c r="IC172" s="392"/>
    </row>
    <row r="173" spans="190:237">
      <c r="GH173" s="390"/>
      <c r="GI173" s="387"/>
      <c r="GJ173" s="387"/>
      <c r="GK173" s="387"/>
      <c r="GL173" s="387"/>
      <c r="GM173" s="387"/>
      <c r="GN173" s="387"/>
      <c r="GO173" s="387"/>
      <c r="GP173" s="387"/>
      <c r="GQ173" s="387"/>
      <c r="GR173" s="387"/>
      <c r="GS173" s="387"/>
      <c r="GT173" s="387"/>
      <c r="GU173" s="387"/>
      <c r="GV173" s="387"/>
      <c r="GW173" s="387"/>
      <c r="GX173" s="387"/>
      <c r="GY173" s="387"/>
      <c r="GZ173" s="387"/>
      <c r="HA173" s="387"/>
      <c r="HB173" s="387"/>
      <c r="HC173" s="387"/>
      <c r="HD173" s="387"/>
      <c r="HE173" s="391"/>
      <c r="HF173" s="417"/>
      <c r="HG173" s="387"/>
      <c r="HH173" s="387"/>
      <c r="HI173" s="387"/>
      <c r="HJ173" s="387"/>
      <c r="HK173" s="387"/>
      <c r="HL173" s="387"/>
      <c r="HM173" s="387"/>
      <c r="HN173" s="387"/>
      <c r="HO173" s="387"/>
      <c r="HP173" s="387"/>
      <c r="HQ173" s="387"/>
      <c r="HR173" s="387"/>
      <c r="HS173" s="387"/>
      <c r="HT173" s="387"/>
      <c r="HU173" s="387"/>
      <c r="HV173" s="387"/>
      <c r="HW173" s="387"/>
      <c r="HX173" s="387"/>
      <c r="HY173" s="387"/>
      <c r="HZ173" s="387"/>
      <c r="IA173" s="387"/>
      <c r="IB173" s="387"/>
      <c r="IC173" s="392"/>
    </row>
    <row r="174" spans="190:237">
      <c r="GH174" s="390"/>
      <c r="GI174" s="387"/>
      <c r="GJ174" s="387"/>
      <c r="GK174" s="387"/>
      <c r="GL174" s="387"/>
      <c r="GM174" s="387"/>
      <c r="GN174" s="387"/>
      <c r="GO174" s="387"/>
      <c r="GP174" s="387"/>
      <c r="GQ174" s="387"/>
      <c r="GR174" s="387"/>
      <c r="GS174" s="387"/>
      <c r="GT174" s="387"/>
      <c r="GU174" s="387"/>
      <c r="GV174" s="387"/>
      <c r="GW174" s="387"/>
      <c r="GX174" s="387"/>
      <c r="GY174" s="387"/>
      <c r="GZ174" s="387"/>
      <c r="HA174" s="387"/>
      <c r="HB174" s="387"/>
      <c r="HC174" s="387"/>
      <c r="HD174" s="387"/>
      <c r="HE174" s="391"/>
      <c r="HF174" s="417"/>
      <c r="HG174" s="387"/>
      <c r="HH174" s="387"/>
      <c r="HI174" s="387"/>
      <c r="HJ174" s="387"/>
      <c r="HK174" s="387"/>
      <c r="HL174" s="387"/>
      <c r="HM174" s="387"/>
      <c r="HN174" s="387"/>
      <c r="HO174" s="387"/>
      <c r="HP174" s="387"/>
      <c r="HQ174" s="387"/>
      <c r="HR174" s="387"/>
      <c r="HS174" s="387"/>
      <c r="HT174" s="387"/>
      <c r="HU174" s="387"/>
      <c r="HV174" s="387"/>
      <c r="HW174" s="387"/>
      <c r="HX174" s="387"/>
      <c r="HY174" s="387"/>
      <c r="HZ174" s="387"/>
      <c r="IA174" s="387"/>
      <c r="IB174" s="387"/>
      <c r="IC174" s="392"/>
    </row>
    <row r="175" spans="190:237">
      <c r="GH175" s="390"/>
      <c r="GI175" s="387"/>
      <c r="GJ175" s="387"/>
      <c r="GK175" s="387"/>
      <c r="GL175" s="387"/>
      <c r="GM175" s="387"/>
      <c r="GN175" s="387"/>
      <c r="GO175" s="387"/>
      <c r="GP175" s="387"/>
      <c r="GQ175" s="387"/>
      <c r="GR175" s="387"/>
      <c r="GS175" s="387"/>
      <c r="GT175" s="387"/>
      <c r="GU175" s="387"/>
      <c r="GV175" s="387"/>
      <c r="GW175" s="387"/>
      <c r="GX175" s="387"/>
      <c r="GY175" s="387"/>
      <c r="GZ175" s="387"/>
      <c r="HA175" s="387"/>
      <c r="HB175" s="387"/>
      <c r="HC175" s="387"/>
      <c r="HD175" s="387"/>
      <c r="HE175" s="391"/>
      <c r="HF175" s="417"/>
      <c r="HG175" s="387"/>
      <c r="HH175" s="387"/>
      <c r="HI175" s="387"/>
      <c r="HJ175" s="387"/>
      <c r="HK175" s="387"/>
      <c r="HL175" s="387"/>
      <c r="HM175" s="387"/>
      <c r="HN175" s="387"/>
      <c r="HO175" s="387"/>
      <c r="HP175" s="387"/>
      <c r="HQ175" s="387"/>
      <c r="HR175" s="387"/>
      <c r="HS175" s="387"/>
      <c r="HT175" s="387"/>
      <c r="HU175" s="387"/>
      <c r="HV175" s="387"/>
      <c r="HW175" s="387"/>
      <c r="HX175" s="387"/>
      <c r="HY175" s="387"/>
      <c r="HZ175" s="387"/>
      <c r="IA175" s="387"/>
      <c r="IB175" s="387"/>
      <c r="IC175" s="392"/>
    </row>
    <row r="176" spans="190:237">
      <c r="GH176" s="390"/>
      <c r="GI176" s="387"/>
      <c r="GJ176" s="387"/>
      <c r="GK176" s="387"/>
      <c r="GL176" s="387"/>
      <c r="GM176" s="387"/>
      <c r="GN176" s="387"/>
      <c r="GO176" s="387"/>
      <c r="GP176" s="387"/>
      <c r="GQ176" s="387"/>
      <c r="GR176" s="387"/>
      <c r="GS176" s="387"/>
      <c r="GT176" s="387"/>
      <c r="GU176" s="387"/>
      <c r="GV176" s="387"/>
      <c r="GW176" s="387"/>
      <c r="GX176" s="387"/>
      <c r="GY176" s="387"/>
      <c r="GZ176" s="387"/>
      <c r="HA176" s="387"/>
      <c r="HB176" s="387"/>
      <c r="HC176" s="387"/>
      <c r="HD176" s="387"/>
      <c r="HE176" s="391"/>
      <c r="HF176" s="417"/>
      <c r="HG176" s="387"/>
      <c r="HH176" s="387"/>
      <c r="HI176" s="387"/>
      <c r="HJ176" s="387"/>
      <c r="HK176" s="387"/>
      <c r="HL176" s="387"/>
      <c r="HM176" s="387"/>
      <c r="HN176" s="387"/>
      <c r="HO176" s="387"/>
      <c r="HP176" s="387"/>
      <c r="HQ176" s="387"/>
      <c r="HR176" s="387"/>
      <c r="HS176" s="387"/>
      <c r="HT176" s="387"/>
      <c r="HU176" s="387"/>
      <c r="HV176" s="387"/>
      <c r="HW176" s="387"/>
      <c r="HX176" s="387"/>
      <c r="HY176" s="387"/>
      <c r="HZ176" s="387"/>
      <c r="IA176" s="387"/>
      <c r="IB176" s="387"/>
      <c r="IC176" s="392"/>
    </row>
    <row r="177" spans="190:237">
      <c r="GH177" s="390"/>
      <c r="GI177" s="387"/>
      <c r="GJ177" s="387"/>
      <c r="GK177" s="387"/>
      <c r="GL177" s="387"/>
      <c r="GM177" s="387"/>
      <c r="GN177" s="387"/>
      <c r="GO177" s="387"/>
      <c r="GP177" s="387"/>
      <c r="GQ177" s="387"/>
      <c r="GR177" s="387"/>
      <c r="GS177" s="387"/>
      <c r="GT177" s="387"/>
      <c r="GU177" s="387"/>
      <c r="GV177" s="387"/>
      <c r="GW177" s="387"/>
      <c r="GX177" s="387"/>
      <c r="GY177" s="387"/>
      <c r="GZ177" s="387"/>
      <c r="HA177" s="387"/>
      <c r="HB177" s="387"/>
      <c r="HC177" s="387"/>
      <c r="HD177" s="387"/>
      <c r="HE177" s="391"/>
      <c r="HF177" s="417"/>
      <c r="HG177" s="387"/>
      <c r="HH177" s="387"/>
      <c r="HI177" s="387"/>
      <c r="HJ177" s="387"/>
      <c r="HK177" s="387"/>
      <c r="HL177" s="387"/>
      <c r="HM177" s="387"/>
      <c r="HN177" s="387"/>
      <c r="HO177" s="387"/>
      <c r="HP177" s="387"/>
      <c r="HQ177" s="387"/>
      <c r="HR177" s="387"/>
      <c r="HS177" s="387"/>
      <c r="HT177" s="387"/>
      <c r="HU177" s="387"/>
      <c r="HV177" s="387"/>
      <c r="HW177" s="387"/>
      <c r="HX177" s="387"/>
      <c r="HY177" s="387"/>
      <c r="HZ177" s="387"/>
      <c r="IA177" s="387"/>
      <c r="IB177" s="387"/>
      <c r="IC177" s="392"/>
    </row>
    <row r="178" spans="190:237">
      <c r="GH178" s="390"/>
      <c r="GI178" s="387"/>
      <c r="GJ178" s="387"/>
      <c r="GK178" s="387"/>
      <c r="GL178" s="387"/>
      <c r="GM178" s="387"/>
      <c r="GN178" s="387"/>
      <c r="GO178" s="387"/>
      <c r="GP178" s="387"/>
      <c r="GQ178" s="387"/>
      <c r="GR178" s="387"/>
      <c r="GS178" s="387"/>
      <c r="GT178" s="387"/>
      <c r="GU178" s="387"/>
      <c r="GV178" s="387"/>
      <c r="GW178" s="387"/>
      <c r="GX178" s="387"/>
      <c r="GY178" s="387"/>
      <c r="GZ178" s="387"/>
      <c r="HA178" s="387"/>
      <c r="HB178" s="387"/>
      <c r="HC178" s="387"/>
      <c r="HD178" s="387"/>
      <c r="HE178" s="391"/>
      <c r="HF178" s="417"/>
      <c r="HG178" s="387"/>
      <c r="HH178" s="387"/>
      <c r="HI178" s="387"/>
      <c r="HJ178" s="387"/>
      <c r="HK178" s="387"/>
      <c r="HL178" s="387"/>
      <c r="HM178" s="387"/>
      <c r="HN178" s="387"/>
      <c r="HO178" s="387"/>
      <c r="HP178" s="387"/>
      <c r="HQ178" s="387"/>
      <c r="HR178" s="387"/>
      <c r="HS178" s="387"/>
      <c r="HT178" s="387"/>
      <c r="HU178" s="387"/>
      <c r="HV178" s="387"/>
      <c r="HW178" s="387"/>
      <c r="HX178" s="387"/>
      <c r="HY178" s="387"/>
      <c r="HZ178" s="387"/>
      <c r="IA178" s="387"/>
      <c r="IB178" s="387"/>
      <c r="IC178" s="392"/>
    </row>
    <row r="179" spans="190:237">
      <c r="GH179" s="390"/>
      <c r="GI179" s="387"/>
      <c r="GJ179" s="387"/>
      <c r="GK179" s="387"/>
      <c r="GL179" s="387"/>
      <c r="GM179" s="387"/>
      <c r="GN179" s="387"/>
      <c r="GO179" s="387"/>
      <c r="GP179" s="387"/>
      <c r="GQ179" s="387"/>
      <c r="GR179" s="387"/>
      <c r="GS179" s="387"/>
      <c r="GT179" s="387"/>
      <c r="GU179" s="387"/>
      <c r="GV179" s="387"/>
      <c r="GW179" s="387"/>
      <c r="GX179" s="387"/>
      <c r="GY179" s="387"/>
      <c r="GZ179" s="387"/>
      <c r="HA179" s="387"/>
      <c r="HB179" s="387"/>
      <c r="HC179" s="387"/>
      <c r="HD179" s="387"/>
      <c r="HE179" s="391"/>
      <c r="HF179" s="417"/>
      <c r="HG179" s="387"/>
      <c r="HH179" s="387"/>
      <c r="HI179" s="387"/>
      <c r="HJ179" s="387"/>
      <c r="HK179" s="387"/>
      <c r="HL179" s="387"/>
      <c r="HM179" s="387"/>
      <c r="HN179" s="387"/>
      <c r="HO179" s="387"/>
      <c r="HP179" s="387"/>
      <c r="HQ179" s="387"/>
      <c r="HR179" s="387"/>
      <c r="HS179" s="387"/>
      <c r="HT179" s="387"/>
      <c r="HU179" s="387"/>
      <c r="HV179" s="387"/>
      <c r="HW179" s="387"/>
      <c r="HX179" s="387"/>
      <c r="HY179" s="387"/>
      <c r="HZ179" s="387"/>
      <c r="IA179" s="387"/>
      <c r="IB179" s="387"/>
      <c r="IC179" s="392"/>
    </row>
    <row r="180" spans="190:237">
      <c r="GH180" s="390"/>
      <c r="GI180" s="387"/>
      <c r="GJ180" s="387"/>
      <c r="GK180" s="387"/>
      <c r="GL180" s="387"/>
      <c r="GM180" s="387"/>
      <c r="GN180" s="387"/>
      <c r="GO180" s="387"/>
      <c r="GP180" s="387"/>
      <c r="GQ180" s="387"/>
      <c r="GR180" s="387"/>
      <c r="GS180" s="387"/>
      <c r="GT180" s="387"/>
      <c r="GU180" s="387"/>
      <c r="GV180" s="387"/>
      <c r="GW180" s="387"/>
      <c r="GX180" s="387"/>
      <c r="GY180" s="387"/>
      <c r="GZ180" s="387"/>
      <c r="HA180" s="387"/>
      <c r="HB180" s="387"/>
      <c r="HC180" s="387"/>
      <c r="HD180" s="387"/>
      <c r="HE180" s="391"/>
      <c r="HF180" s="417"/>
      <c r="HG180" s="387"/>
      <c r="HH180" s="387"/>
      <c r="HI180" s="387"/>
      <c r="HJ180" s="387"/>
      <c r="HK180" s="387"/>
      <c r="HL180" s="387"/>
      <c r="HM180" s="387"/>
      <c r="HN180" s="387"/>
      <c r="HO180" s="387"/>
      <c r="HP180" s="387"/>
      <c r="HQ180" s="387"/>
      <c r="HR180" s="387"/>
      <c r="HS180" s="387"/>
      <c r="HT180" s="387"/>
      <c r="HU180" s="387"/>
      <c r="HV180" s="387"/>
      <c r="HW180" s="387"/>
      <c r="HX180" s="387"/>
      <c r="HY180" s="387"/>
      <c r="HZ180" s="387"/>
      <c r="IA180" s="387"/>
      <c r="IB180" s="387"/>
      <c r="IC180" s="392"/>
    </row>
    <row r="181" spans="190:237">
      <c r="GH181" s="390"/>
      <c r="GI181" s="387"/>
      <c r="GJ181" s="387"/>
      <c r="GK181" s="387"/>
      <c r="GL181" s="387"/>
      <c r="GM181" s="387"/>
      <c r="GN181" s="387"/>
      <c r="GO181" s="387"/>
      <c r="GP181" s="387"/>
      <c r="GQ181" s="387"/>
      <c r="GR181" s="387"/>
      <c r="GS181" s="387"/>
      <c r="GT181" s="387"/>
      <c r="GU181" s="387"/>
      <c r="GV181" s="387"/>
      <c r="GW181" s="387"/>
      <c r="GX181" s="387"/>
      <c r="GY181" s="387"/>
      <c r="GZ181" s="387"/>
      <c r="HA181" s="387"/>
      <c r="HB181" s="387"/>
      <c r="HC181" s="387"/>
      <c r="HD181" s="387"/>
      <c r="HE181" s="391"/>
      <c r="HF181" s="417"/>
      <c r="HG181" s="387"/>
      <c r="HH181" s="387"/>
      <c r="HI181" s="387"/>
      <c r="HJ181" s="387"/>
      <c r="HK181" s="387"/>
      <c r="HL181" s="387"/>
      <c r="HM181" s="387"/>
      <c r="HN181" s="387"/>
      <c r="HO181" s="387"/>
      <c r="HP181" s="387"/>
      <c r="HQ181" s="387"/>
      <c r="HR181" s="387"/>
      <c r="HS181" s="387"/>
      <c r="HT181" s="387"/>
      <c r="HU181" s="387"/>
      <c r="HV181" s="387"/>
      <c r="HW181" s="387"/>
      <c r="HX181" s="387"/>
      <c r="HY181" s="387"/>
      <c r="HZ181" s="387"/>
      <c r="IA181" s="387"/>
      <c r="IB181" s="387"/>
      <c r="IC181" s="392"/>
    </row>
    <row r="182" spans="190:237">
      <c r="GH182" s="390"/>
      <c r="GI182" s="387"/>
      <c r="GJ182" s="387"/>
      <c r="GK182" s="387"/>
      <c r="GL182" s="387"/>
      <c r="GM182" s="387"/>
      <c r="GN182" s="387"/>
      <c r="GO182" s="387"/>
      <c r="GP182" s="387"/>
      <c r="GQ182" s="387"/>
      <c r="GR182" s="387"/>
      <c r="GS182" s="387"/>
      <c r="GT182" s="387"/>
      <c r="GU182" s="387"/>
      <c r="GV182" s="387"/>
      <c r="GW182" s="387"/>
      <c r="GX182" s="387"/>
      <c r="GY182" s="387"/>
      <c r="GZ182" s="387"/>
      <c r="HA182" s="387"/>
      <c r="HB182" s="387"/>
      <c r="HC182" s="387"/>
      <c r="HD182" s="387"/>
      <c r="HE182" s="391"/>
      <c r="HF182" s="417"/>
      <c r="HG182" s="387"/>
      <c r="HH182" s="387"/>
      <c r="HI182" s="387"/>
      <c r="HJ182" s="387"/>
      <c r="HK182" s="387"/>
      <c r="HL182" s="387"/>
      <c r="HM182" s="387"/>
      <c r="HN182" s="387"/>
      <c r="HO182" s="387"/>
      <c r="HP182" s="387"/>
      <c r="HQ182" s="387"/>
      <c r="HR182" s="387"/>
      <c r="HS182" s="387"/>
      <c r="HT182" s="387"/>
      <c r="HU182" s="387"/>
      <c r="HV182" s="387"/>
      <c r="HW182" s="387"/>
      <c r="HX182" s="387"/>
      <c r="HY182" s="387"/>
      <c r="HZ182" s="387"/>
      <c r="IA182" s="387"/>
      <c r="IB182" s="387"/>
      <c r="IC182" s="392"/>
    </row>
    <row r="183" spans="190:237">
      <c r="GH183" s="390"/>
      <c r="GI183" s="387"/>
      <c r="GJ183" s="387"/>
      <c r="GK183" s="387"/>
      <c r="GL183" s="387"/>
      <c r="GM183" s="387"/>
      <c r="GN183" s="387"/>
      <c r="GO183" s="387"/>
      <c r="GP183" s="387"/>
      <c r="GQ183" s="387"/>
      <c r="GR183" s="387"/>
      <c r="GS183" s="387"/>
      <c r="GT183" s="387"/>
      <c r="GU183" s="387"/>
      <c r="GV183" s="387"/>
      <c r="GW183" s="387"/>
      <c r="GX183" s="387"/>
      <c r="GY183" s="387"/>
      <c r="GZ183" s="387"/>
      <c r="HA183" s="387"/>
      <c r="HB183" s="387"/>
      <c r="HC183" s="387"/>
      <c r="HD183" s="387"/>
      <c r="HE183" s="391"/>
      <c r="HF183" s="417"/>
      <c r="HG183" s="387"/>
      <c r="HH183" s="387"/>
      <c r="HI183" s="387"/>
      <c r="HJ183" s="387"/>
      <c r="HK183" s="387"/>
      <c r="HL183" s="387"/>
      <c r="HM183" s="387"/>
      <c r="HN183" s="387"/>
      <c r="HO183" s="387"/>
      <c r="HP183" s="387"/>
      <c r="HQ183" s="387"/>
      <c r="HR183" s="387"/>
      <c r="HS183" s="387"/>
      <c r="HT183" s="387"/>
      <c r="HU183" s="387"/>
      <c r="HV183" s="387"/>
      <c r="HW183" s="387"/>
      <c r="HX183" s="387"/>
      <c r="HY183" s="387"/>
      <c r="HZ183" s="387"/>
      <c r="IA183" s="387"/>
      <c r="IB183" s="387"/>
      <c r="IC183" s="392"/>
    </row>
    <row r="184" spans="190:237">
      <c r="GH184" s="390"/>
      <c r="GI184" s="387"/>
      <c r="GJ184" s="387"/>
      <c r="GK184" s="387"/>
      <c r="GL184" s="387"/>
      <c r="GM184" s="387"/>
      <c r="GN184" s="387"/>
      <c r="GO184" s="387"/>
      <c r="GP184" s="387"/>
      <c r="GQ184" s="387"/>
      <c r="GR184" s="387"/>
      <c r="GS184" s="387"/>
      <c r="GT184" s="387"/>
      <c r="GU184" s="387"/>
      <c r="GV184" s="387"/>
      <c r="GW184" s="387"/>
      <c r="GX184" s="387"/>
      <c r="GY184" s="387"/>
      <c r="GZ184" s="387"/>
      <c r="HA184" s="387"/>
      <c r="HB184" s="387"/>
      <c r="HC184" s="387"/>
      <c r="HD184" s="387"/>
      <c r="HE184" s="391"/>
      <c r="HF184" s="417"/>
      <c r="HG184" s="387"/>
      <c r="HH184" s="387"/>
      <c r="HI184" s="387"/>
      <c r="HJ184" s="387"/>
      <c r="HK184" s="387"/>
      <c r="HL184" s="387"/>
      <c r="HM184" s="387"/>
      <c r="HN184" s="387"/>
      <c r="HO184" s="387"/>
      <c r="HP184" s="387"/>
      <c r="HQ184" s="387"/>
      <c r="HR184" s="387"/>
      <c r="HS184" s="387"/>
      <c r="HT184" s="387"/>
      <c r="HU184" s="387"/>
      <c r="HV184" s="387"/>
      <c r="HW184" s="387"/>
      <c r="HX184" s="387"/>
      <c r="HY184" s="387"/>
      <c r="HZ184" s="387"/>
      <c r="IA184" s="387"/>
      <c r="IB184" s="387"/>
      <c r="IC184" s="392"/>
    </row>
    <row r="185" spans="190:237">
      <c r="GH185" s="390"/>
      <c r="GI185" s="387"/>
      <c r="GJ185" s="387"/>
      <c r="GK185" s="387"/>
      <c r="GL185" s="387"/>
      <c r="GM185" s="387"/>
      <c r="GN185" s="387"/>
      <c r="GO185" s="387"/>
      <c r="GP185" s="387"/>
      <c r="GQ185" s="387"/>
      <c r="GR185" s="387"/>
      <c r="GS185" s="387"/>
      <c r="GT185" s="387"/>
      <c r="GU185" s="387"/>
      <c r="GV185" s="387"/>
      <c r="GW185" s="387"/>
      <c r="GX185" s="387"/>
      <c r="GY185" s="387"/>
      <c r="GZ185" s="387"/>
      <c r="HA185" s="387"/>
      <c r="HB185" s="387"/>
      <c r="HC185" s="387"/>
      <c r="HD185" s="387"/>
      <c r="HE185" s="391"/>
      <c r="HF185" s="417"/>
      <c r="HG185" s="387"/>
      <c r="HH185" s="387"/>
      <c r="HI185" s="387"/>
      <c r="HJ185" s="387"/>
      <c r="HK185" s="387"/>
      <c r="HL185" s="387"/>
      <c r="HM185" s="387"/>
      <c r="HN185" s="387"/>
      <c r="HO185" s="387"/>
      <c r="HP185" s="387"/>
      <c r="HQ185" s="387"/>
      <c r="HR185" s="387"/>
      <c r="HS185" s="387"/>
      <c r="HT185" s="387"/>
      <c r="HU185" s="387"/>
      <c r="HV185" s="387"/>
      <c r="HW185" s="387"/>
      <c r="HX185" s="387"/>
      <c r="HY185" s="387"/>
      <c r="HZ185" s="387"/>
      <c r="IA185" s="387"/>
      <c r="IB185" s="387"/>
      <c r="IC185" s="392"/>
    </row>
    <row r="186" spans="190:237">
      <c r="GH186" s="390"/>
      <c r="GI186" s="387"/>
      <c r="GJ186" s="387"/>
      <c r="GK186" s="387"/>
      <c r="GL186" s="387"/>
      <c r="GM186" s="387"/>
      <c r="GN186" s="387"/>
      <c r="GO186" s="387"/>
      <c r="GP186" s="387"/>
      <c r="GQ186" s="387"/>
      <c r="GR186" s="387"/>
      <c r="GS186" s="387"/>
      <c r="GT186" s="387"/>
      <c r="GU186" s="387"/>
      <c r="GV186" s="387"/>
      <c r="GW186" s="387"/>
      <c r="GX186" s="387"/>
      <c r="GY186" s="387"/>
      <c r="GZ186" s="387"/>
      <c r="HA186" s="387"/>
      <c r="HB186" s="387"/>
      <c r="HC186" s="387"/>
      <c r="HD186" s="387"/>
      <c r="HE186" s="391"/>
      <c r="HF186" s="417"/>
      <c r="HG186" s="387"/>
      <c r="HH186" s="387"/>
      <c r="HI186" s="387"/>
      <c r="HJ186" s="387"/>
      <c r="HK186" s="387"/>
      <c r="HL186" s="387"/>
      <c r="HM186" s="387"/>
      <c r="HN186" s="387"/>
      <c r="HO186" s="387"/>
      <c r="HP186" s="387"/>
      <c r="HQ186" s="387"/>
      <c r="HR186" s="387"/>
      <c r="HS186" s="387"/>
      <c r="HT186" s="387"/>
      <c r="HU186" s="387"/>
      <c r="HV186" s="387"/>
      <c r="HW186" s="387"/>
      <c r="HX186" s="387"/>
      <c r="HY186" s="387"/>
      <c r="HZ186" s="387"/>
      <c r="IA186" s="387"/>
      <c r="IB186" s="387"/>
      <c r="IC186" s="392"/>
    </row>
  </sheetData>
  <mergeCells count="174">
    <mergeCell ref="A1:A4"/>
    <mergeCell ref="B1:B4"/>
    <mergeCell ref="G1:R1"/>
    <mergeCell ref="W2:X2"/>
    <mergeCell ref="W3:W4"/>
    <mergeCell ref="X3:X4"/>
    <mergeCell ref="Y2:Z2"/>
    <mergeCell ref="Y3:Y4"/>
    <mergeCell ref="Z3:Z4"/>
    <mergeCell ref="D2:D4"/>
    <mergeCell ref="N2:N4"/>
    <mergeCell ref="O2:O4"/>
    <mergeCell ref="R2:R4"/>
    <mergeCell ref="M2:M4"/>
    <mergeCell ref="S1:CT1"/>
    <mergeCell ref="CE3:CF3"/>
    <mergeCell ref="CG3:CH3"/>
    <mergeCell ref="CI3:CJ3"/>
    <mergeCell ref="CK3:CL3"/>
    <mergeCell ref="AW3:AX3"/>
    <mergeCell ref="AI3:AJ3"/>
    <mergeCell ref="AK3:AL3"/>
    <mergeCell ref="AM3:AN3"/>
    <mergeCell ref="AA2:AX2"/>
    <mergeCell ref="BG3:BH3"/>
    <mergeCell ref="BI3:BJ3"/>
    <mergeCell ref="CM3:CN3"/>
    <mergeCell ref="CO3:CP3"/>
    <mergeCell ref="AG3:AH3"/>
    <mergeCell ref="BW2:CT2"/>
    <mergeCell ref="BW3:BX3"/>
    <mergeCell ref="BY3:BZ3"/>
    <mergeCell ref="CA3:CB3"/>
    <mergeCell ref="BK3:BL3"/>
    <mergeCell ref="BM3:BN3"/>
    <mergeCell ref="BO3:BP3"/>
    <mergeCell ref="BQ3:BR3"/>
    <mergeCell ref="BS3:BT3"/>
    <mergeCell ref="BU3:BV3"/>
    <mergeCell ref="AY2:BV2"/>
    <mergeCell ref="AY3:AZ3"/>
    <mergeCell ref="BA3:BB3"/>
    <mergeCell ref="BC3:BD3"/>
    <mergeCell ref="BE3:BF3"/>
    <mergeCell ref="G2:G4"/>
    <mergeCell ref="H2:H4"/>
    <mergeCell ref="I2:I4"/>
    <mergeCell ref="J2:J4"/>
    <mergeCell ref="L2:L4"/>
    <mergeCell ref="AO3:AP3"/>
    <mergeCell ref="AQ3:AR3"/>
    <mergeCell ref="AS3:AT3"/>
    <mergeCell ref="AU3:AV3"/>
    <mergeCell ref="V3:V4"/>
    <mergeCell ref="AA3:AB3"/>
    <mergeCell ref="AC3:AD3"/>
    <mergeCell ref="K2:K4"/>
    <mergeCell ref="P2:P4"/>
    <mergeCell ref="Q2:Q4"/>
    <mergeCell ref="S2:T2"/>
    <mergeCell ref="U2:V2"/>
    <mergeCell ref="AE3:AF3"/>
    <mergeCell ref="S3:S4"/>
    <mergeCell ref="T3:T4"/>
    <mergeCell ref="U3:U4"/>
    <mergeCell ref="DM2:DT2"/>
    <mergeCell ref="DU2:DU4"/>
    <mergeCell ref="DV2:DW2"/>
    <mergeCell ref="DM3:DN3"/>
    <mergeCell ref="DO3:DP3"/>
    <mergeCell ref="DQ3:DR3"/>
    <mergeCell ref="DS3:DT3"/>
    <mergeCell ref="DV3:DV4"/>
    <mergeCell ref="DW3:DW4"/>
    <mergeCell ref="DJ2:DJ4"/>
    <mergeCell ref="CC3:CD3"/>
    <mergeCell ref="CV3:CV4"/>
    <mergeCell ref="CW3:CW4"/>
    <mergeCell ref="CX3:CX4"/>
    <mergeCell ref="CY3:CY4"/>
    <mergeCell ref="DB3:DC3"/>
    <mergeCell ref="DL3:DL4"/>
    <mergeCell ref="DK3:DK4"/>
    <mergeCell ref="DK2:DL2"/>
    <mergeCell ref="CZ2:CZ4"/>
    <mergeCell ref="CQ3:CR3"/>
    <mergeCell ref="CS3:CT3"/>
    <mergeCell ref="DA2:DA4"/>
    <mergeCell ref="DD3:DE3"/>
    <mergeCell ref="DB2:DI2"/>
    <mergeCell ref="DH3:DI3"/>
    <mergeCell ref="CU2:CU4"/>
    <mergeCell ref="CV2:CY2"/>
    <mergeCell ref="DF3:DG3"/>
    <mergeCell ref="EI3:EI4"/>
    <mergeCell ref="EV2:EZ2"/>
    <mergeCell ref="EV3:EV4"/>
    <mergeCell ref="EW3:EW4"/>
    <mergeCell ref="FX3:FY3"/>
    <mergeCell ref="FD3:FD4"/>
    <mergeCell ref="FE3:FE4"/>
    <mergeCell ref="FJ3:FK3"/>
    <mergeCell ref="FP3:FQ3"/>
    <mergeCell ref="FF2:FG2"/>
    <mergeCell ref="FL3:FM3"/>
    <mergeCell ref="FN3:FO3"/>
    <mergeCell ref="FD2:FE2"/>
    <mergeCell ref="EX3:EX4"/>
    <mergeCell ref="EY3:EY4"/>
    <mergeCell ref="EI2:EL2"/>
    <mergeCell ref="EM2:EU2"/>
    <mergeCell ref="EM3:EO3"/>
    <mergeCell ref="EP3:ER3"/>
    <mergeCell ref="ES3:EU3"/>
    <mergeCell ref="FA2:FC2"/>
    <mergeCell ref="FA3:FC3"/>
    <mergeCell ref="FF3:FF4"/>
    <mergeCell ref="FG3:FG4"/>
    <mergeCell ref="DX2:EE2"/>
    <mergeCell ref="EF2:EF4"/>
    <mergeCell ref="EG2:EH2"/>
    <mergeCell ref="DX3:DY3"/>
    <mergeCell ref="DZ3:EA3"/>
    <mergeCell ref="EB3:EC3"/>
    <mergeCell ref="ED3:EE3"/>
    <mergeCell ref="EG3:EG4"/>
    <mergeCell ref="EH3:EH4"/>
    <mergeCell ref="FH2:FI2"/>
    <mergeCell ref="FH3:FH4"/>
    <mergeCell ref="FI3:FI4"/>
    <mergeCell ref="EJ3:EJ4"/>
    <mergeCell ref="EK3:EK4"/>
    <mergeCell ref="EL3:EL4"/>
    <mergeCell ref="HF2:IC2"/>
    <mergeCell ref="HF3:HG3"/>
    <mergeCell ref="HH3:HI3"/>
    <mergeCell ref="HJ3:HK3"/>
    <mergeCell ref="HL3:HM3"/>
    <mergeCell ref="HN3:HO3"/>
    <mergeCell ref="HP3:HQ3"/>
    <mergeCell ref="HR3:HS3"/>
    <mergeCell ref="HT3:HU3"/>
    <mergeCell ref="HV3:HW3"/>
    <mergeCell ref="HX3:HY3"/>
    <mergeCell ref="HZ3:IA3"/>
    <mergeCell ref="IB3:IC3"/>
    <mergeCell ref="FJ2:GG2"/>
    <mergeCell ref="FR3:FS3"/>
    <mergeCell ref="FT3:FU3"/>
    <mergeCell ref="FV3:FW3"/>
    <mergeCell ref="C1:C4"/>
    <mergeCell ref="D1:F1"/>
    <mergeCell ref="E2:E4"/>
    <mergeCell ref="F2:F4"/>
    <mergeCell ref="CU1:EH1"/>
    <mergeCell ref="GD3:GE3"/>
    <mergeCell ref="GF3:GG3"/>
    <mergeCell ref="FZ3:GA3"/>
    <mergeCell ref="GB3:GC3"/>
    <mergeCell ref="EZ3:EZ4"/>
    <mergeCell ref="EI1:IC1"/>
    <mergeCell ref="GH2:HE2"/>
    <mergeCell ref="GH3:GI3"/>
    <mergeCell ref="GJ3:GK3"/>
    <mergeCell ref="GL3:GM3"/>
    <mergeCell ref="GN3:GO3"/>
    <mergeCell ref="GP3:GQ3"/>
    <mergeCell ref="GR3:GS3"/>
    <mergeCell ref="GT3:GU3"/>
    <mergeCell ref="GV3:GW3"/>
    <mergeCell ref="GX3:GY3"/>
    <mergeCell ref="GZ3:HA3"/>
    <mergeCell ref="HB3:HC3"/>
    <mergeCell ref="HD3:HE3"/>
  </mergeCells>
  <phoneticPr fontId="1" type="noConversion"/>
  <pageMargins left="0.7" right="0.7" top="0.75" bottom="0.75" header="0.3" footer="0.3"/>
  <pageSetup paperSize="9"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累積半月報</vt:lpstr>
      <vt:lpstr>半月報</vt:lpstr>
      <vt:lpstr>代租 </vt:lpstr>
      <vt:lpstr>包租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蔣明柔</dc:creator>
  <cp:lastModifiedBy>A14650</cp:lastModifiedBy>
  <cp:lastPrinted>2026-05-26T08:51:22Z</cp:lastPrinted>
  <dcterms:created xsi:type="dcterms:W3CDTF">2020-04-20T08:04:39Z</dcterms:created>
  <dcterms:modified xsi:type="dcterms:W3CDTF">2026-06-25T03:42:35Z</dcterms:modified>
</cp:coreProperties>
</file>